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SE-AIU\Desktop\Study Map\"/>
    </mc:Choice>
  </mc:AlternateContent>
  <xr:revisionPtr revIDLastSave="0" documentId="13_ncr:1_{2DF2F5DD-2BE1-4975-95B3-E19FAF45590E}" xr6:coauthVersionLast="47" xr6:coauthVersionMax="47" xr10:uidLastSave="{00000000-0000-0000-0000-000000000000}"/>
  <bookViews>
    <workbookView xWindow="-108" yWindow="-108" windowWidth="23256" windowHeight="12456" tabRatio="668" firstSheet="2" activeTab="2" xr2:uid="{00000000-000D-0000-FFFF-FFFF00000000}"/>
  </bookViews>
  <sheets>
    <sheet name="AIE" sheetId="1" state="hidden" r:id="rId1"/>
    <sheet name="CE-IOT" sheetId="2" state="hidden" r:id="rId2"/>
    <sheet name="CE-Embedded (2)" sheetId="21" r:id="rId3"/>
    <sheet name="CE-Security" sheetId="3" state="hidden" r:id="rId4"/>
    <sheet name="CE-cloud" sheetId="4" state="hidden" r:id="rId5"/>
    <sheet name="CE-Cloud (2)" sheetId="19" r:id="rId6"/>
    <sheet name="CE-HPC" sheetId="5" state="hidden" r:id="rId7"/>
    <sheet name="CE-HPC (2)" sheetId="17" r:id="rId8"/>
    <sheet name="Bio" sheetId="9" state="hidden" r:id="rId9"/>
    <sheet name="CE-Security (2)" sheetId="20" r:id="rId10"/>
    <sheet name="AIE (2)" sheetId="22" r:id="rId11"/>
    <sheet name="AIS" sheetId="10" state="hidden" r:id="rId12"/>
    <sheet name="CS-BD" sheetId="7" state="hidden" r:id="rId13"/>
    <sheet name="CS-BD (2)" sheetId="13" r:id="rId14"/>
    <sheet name="CS-vision" sheetId="6" state="hidden" r:id="rId15"/>
    <sheet name="CS-vision (2)" sheetId="23" r:id="rId16"/>
    <sheet name="CS-SE" sheetId="8" state="hidden" r:id="rId17"/>
    <sheet name="CS-SE (2)" sheetId="25" r:id="rId18"/>
    <sheet name="AIS (2)" sheetId="11" r:id="rId19"/>
    <sheet name="Bio (2)" sheetId="26" r:id="rId20"/>
    <sheet name="IT (2)" sheetId="27" r:id="rId21"/>
  </sheets>
  <definedNames>
    <definedName name="_xlnm.Print_Area" localSheetId="0">AIE!$A$1:$CB$93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9" i="25" l="1"/>
  <c r="F71" i="25"/>
  <c r="E71" i="25"/>
  <c r="G69" i="23"/>
  <c r="F71" i="23"/>
  <c r="E71" i="23"/>
  <c r="G69" i="13"/>
  <c r="F71" i="13"/>
  <c r="E71" i="13"/>
  <c r="G33" i="25"/>
  <c r="F35" i="25"/>
  <c r="E35" i="25"/>
  <c r="E35" i="23"/>
  <c r="G33" i="23"/>
  <c r="F35" i="23"/>
  <c r="E35" i="13"/>
  <c r="G33" i="13"/>
  <c r="G43" i="13"/>
  <c r="F35" i="13"/>
  <c r="F9" i="22"/>
  <c r="E9" i="22"/>
  <c r="F9" i="20"/>
  <c r="G7" i="20"/>
  <c r="E9" i="20"/>
  <c r="G7" i="17"/>
  <c r="F9" i="17"/>
  <c r="E9" i="17"/>
  <c r="G7" i="21"/>
  <c r="G7" i="19"/>
  <c r="F9" i="19"/>
  <c r="E9" i="19"/>
  <c r="F9" i="21"/>
  <c r="E9" i="21"/>
  <c r="E27" i="27"/>
  <c r="F71" i="27"/>
  <c r="E71" i="27"/>
  <c r="G69" i="27"/>
  <c r="F63" i="27"/>
  <c r="E63" i="27"/>
  <c r="G61" i="27"/>
  <c r="F53" i="27"/>
  <c r="E53" i="27"/>
  <c r="G51" i="27"/>
  <c r="F45" i="27"/>
  <c r="E45" i="27"/>
  <c r="G43" i="27"/>
  <c r="F35" i="27"/>
  <c r="E35" i="27"/>
  <c r="G33" i="27"/>
  <c r="F27" i="27"/>
  <c r="G25" i="27"/>
  <c r="F17" i="27"/>
  <c r="E17" i="27"/>
  <c r="G15" i="27"/>
  <c r="F9" i="27"/>
  <c r="E9" i="27"/>
  <c r="G7" i="27"/>
  <c r="G69" i="26"/>
  <c r="F71" i="26"/>
  <c r="E71" i="26"/>
  <c r="G61" i="26"/>
  <c r="F63" i="26"/>
  <c r="E63" i="26"/>
  <c r="E53" i="26"/>
  <c r="F35" i="26"/>
  <c r="E35" i="26"/>
  <c r="G25" i="26"/>
  <c r="E27" i="26"/>
  <c r="F9" i="26"/>
  <c r="G15" i="26"/>
  <c r="F53" i="11"/>
  <c r="E53" i="11"/>
  <c r="G51" i="11"/>
  <c r="F81" i="22"/>
  <c r="F81" i="20"/>
  <c r="F81" i="17"/>
  <c r="F17" i="17"/>
  <c r="E17" i="17"/>
  <c r="F81" i="19"/>
  <c r="F53" i="19"/>
  <c r="E53" i="19"/>
  <c r="G51" i="19"/>
  <c r="E35" i="19"/>
  <c r="G33" i="19"/>
  <c r="F53" i="21"/>
  <c r="E53" i="21"/>
  <c r="G51" i="21"/>
  <c r="F35" i="21"/>
  <c r="E35" i="21"/>
  <c r="G33" i="21"/>
  <c r="E27" i="21"/>
  <c r="E17" i="21"/>
  <c r="F53" i="26"/>
  <c r="G51" i="26"/>
  <c r="E27" i="11"/>
  <c r="F27" i="26"/>
  <c r="G33" i="11"/>
  <c r="F35" i="11"/>
  <c r="E35" i="11"/>
  <c r="G69" i="11"/>
  <c r="F71" i="11"/>
  <c r="E71" i="11"/>
  <c r="G43" i="25"/>
  <c r="F45" i="25"/>
  <c r="E45" i="25"/>
  <c r="E45" i="23"/>
  <c r="G43" i="23"/>
  <c r="F45" i="23"/>
  <c r="F45" i="13"/>
  <c r="E45" i="13"/>
  <c r="G79" i="17"/>
  <c r="G79" i="20"/>
  <c r="E81" i="20"/>
  <c r="E81" i="22"/>
  <c r="G79" i="22"/>
  <c r="G79" i="19"/>
  <c r="E81" i="19"/>
  <c r="E81" i="17"/>
  <c r="G79" i="21"/>
  <c r="G87" i="21"/>
  <c r="G61" i="13"/>
  <c r="F81" i="21"/>
  <c r="E81" i="21"/>
  <c r="G69" i="21"/>
  <c r="E71" i="21"/>
  <c r="G43" i="21"/>
  <c r="E45" i="21"/>
  <c r="F45" i="26"/>
  <c r="E45" i="26"/>
  <c r="G43" i="26"/>
  <c r="G33" i="26"/>
  <c r="F17" i="26"/>
  <c r="E17" i="26"/>
  <c r="E9" i="26"/>
  <c r="G7" i="26"/>
  <c r="F63" i="25"/>
  <c r="E63" i="25"/>
  <c r="G61" i="25"/>
  <c r="F53" i="25"/>
  <c r="E53" i="25"/>
  <c r="G51" i="25"/>
  <c r="F27" i="25"/>
  <c r="E27" i="25"/>
  <c r="G25" i="25"/>
  <c r="F17" i="25"/>
  <c r="E17" i="25"/>
  <c r="G15" i="25"/>
  <c r="F9" i="25"/>
  <c r="E9" i="25"/>
  <c r="G7" i="25"/>
  <c r="F63" i="23"/>
  <c r="E63" i="23"/>
  <c r="G61" i="23"/>
  <c r="F53" i="23"/>
  <c r="E53" i="23"/>
  <c r="G51" i="23"/>
  <c r="F27" i="23"/>
  <c r="E27" i="23"/>
  <c r="G25" i="23"/>
  <c r="F17" i="23"/>
  <c r="E17" i="23"/>
  <c r="G15" i="23"/>
  <c r="F9" i="23"/>
  <c r="E9" i="23"/>
  <c r="G7" i="23"/>
  <c r="F89" i="22"/>
  <c r="E89" i="22"/>
  <c r="G87" i="22"/>
  <c r="F71" i="22"/>
  <c r="E71" i="22"/>
  <c r="G69" i="22"/>
  <c r="F63" i="22"/>
  <c r="E63" i="22"/>
  <c r="G61" i="22"/>
  <c r="F53" i="22"/>
  <c r="E53" i="22"/>
  <c r="G51" i="22"/>
  <c r="F45" i="22"/>
  <c r="E45" i="22"/>
  <c r="G43" i="22"/>
  <c r="F35" i="22"/>
  <c r="E35" i="22"/>
  <c r="G33" i="22"/>
  <c r="F27" i="22"/>
  <c r="E27" i="22"/>
  <c r="G25" i="22"/>
  <c r="F17" i="22"/>
  <c r="E17" i="22"/>
  <c r="G15" i="22"/>
  <c r="G7" i="22"/>
  <c r="F89" i="21"/>
  <c r="E89" i="21"/>
  <c r="F71" i="21"/>
  <c r="F63" i="21"/>
  <c r="E63" i="21"/>
  <c r="G61" i="21"/>
  <c r="F45" i="21"/>
  <c r="F27" i="21"/>
  <c r="G25" i="21"/>
  <c r="F17" i="21"/>
  <c r="G15" i="21"/>
  <c r="F89" i="20"/>
  <c r="E89" i="20"/>
  <c r="G87" i="20"/>
  <c r="F71" i="20"/>
  <c r="E71" i="20"/>
  <c r="G69" i="20"/>
  <c r="F63" i="20"/>
  <c r="E63" i="20"/>
  <c r="G61" i="20"/>
  <c r="F53" i="20"/>
  <c r="E53" i="20"/>
  <c r="G51" i="20"/>
  <c r="F45" i="20"/>
  <c r="E45" i="20"/>
  <c r="G43" i="20"/>
  <c r="F35" i="20"/>
  <c r="E35" i="20"/>
  <c r="G33" i="20"/>
  <c r="F27" i="20"/>
  <c r="E27" i="20"/>
  <c r="G25" i="20"/>
  <c r="F17" i="20"/>
  <c r="E17" i="20"/>
  <c r="G15" i="20"/>
  <c r="F89" i="19"/>
  <c r="E89" i="19"/>
  <c r="G87" i="19"/>
  <c r="F71" i="19"/>
  <c r="E71" i="19"/>
  <c r="G69" i="19"/>
  <c r="F63" i="19"/>
  <c r="E63" i="19"/>
  <c r="G61" i="19"/>
  <c r="F45" i="19"/>
  <c r="E45" i="19"/>
  <c r="G43" i="19"/>
  <c r="F35" i="19"/>
  <c r="F27" i="19"/>
  <c r="E27" i="19"/>
  <c r="G25" i="19"/>
  <c r="F17" i="19"/>
  <c r="E17" i="19"/>
  <c r="G15" i="19"/>
  <c r="G15" i="17"/>
  <c r="F89" i="17"/>
  <c r="E89" i="17"/>
  <c r="G87" i="17"/>
  <c r="F71" i="17"/>
  <c r="E71" i="17"/>
  <c r="G69" i="17"/>
  <c r="F63" i="17"/>
  <c r="E63" i="17"/>
  <c r="G61" i="17"/>
  <c r="F53" i="17"/>
  <c r="E53" i="17"/>
  <c r="G51" i="17"/>
  <c r="F45" i="17"/>
  <c r="E45" i="17"/>
  <c r="G43" i="17"/>
  <c r="F35" i="17"/>
  <c r="E35" i="17"/>
  <c r="G33" i="17"/>
  <c r="F27" i="17"/>
  <c r="E27" i="17"/>
  <c r="G25" i="17"/>
  <c r="F63" i="13"/>
  <c r="E63" i="13"/>
  <c r="F53" i="13"/>
  <c r="E53" i="13"/>
  <c r="G51" i="13"/>
  <c r="F27" i="13"/>
  <c r="E27" i="13"/>
  <c r="G25" i="13"/>
  <c r="F17" i="13"/>
  <c r="E17" i="13"/>
  <c r="G15" i="13"/>
  <c r="F9" i="13"/>
  <c r="E9" i="13"/>
  <c r="G7" i="13"/>
  <c r="G7" i="11"/>
  <c r="F63" i="11"/>
  <c r="F45" i="11"/>
  <c r="F27" i="11"/>
  <c r="F17" i="11"/>
  <c r="F9" i="11"/>
  <c r="G25" i="11"/>
  <c r="E17" i="11"/>
  <c r="G15" i="11"/>
  <c r="E9" i="11"/>
  <c r="E63" i="11"/>
  <c r="G61" i="11"/>
  <c r="E45" i="11"/>
  <c r="G43" i="11"/>
  <c r="G7" i="1"/>
  <c r="G7" i="5"/>
  <c r="G7" i="4"/>
  <c r="G61" i="2"/>
  <c r="G7" i="3"/>
  <c r="G7" i="2"/>
  <c r="F63" i="9"/>
  <c r="E53" i="9"/>
  <c r="F53" i="9"/>
  <c r="G51" i="9"/>
  <c r="E27" i="9"/>
  <c r="F27" i="9"/>
  <c r="G25" i="9"/>
  <c r="F71" i="10"/>
  <c r="E53" i="10"/>
  <c r="F53" i="10"/>
  <c r="G51" i="10"/>
  <c r="E27" i="10"/>
  <c r="F27" i="10"/>
  <c r="G25" i="10"/>
  <c r="G51" i="8"/>
  <c r="E53" i="8"/>
  <c r="F53" i="8"/>
  <c r="E27" i="8"/>
  <c r="F27" i="8"/>
  <c r="G25" i="8"/>
  <c r="E53" i="6"/>
  <c r="F53" i="6"/>
  <c r="G51" i="6"/>
  <c r="E27" i="6"/>
  <c r="F27" i="6"/>
  <c r="G25" i="6"/>
  <c r="E53" i="7"/>
  <c r="F53" i="7"/>
  <c r="G51" i="7"/>
  <c r="E27" i="7"/>
  <c r="F27" i="7"/>
  <c r="G25" i="7"/>
  <c r="G7" i="7"/>
  <c r="F89" i="1"/>
  <c r="E71" i="1"/>
  <c r="F71" i="1"/>
  <c r="G69" i="1"/>
  <c r="E53" i="1"/>
  <c r="F53" i="1"/>
  <c r="G51" i="1"/>
  <c r="F35" i="1"/>
  <c r="F89" i="3"/>
  <c r="E71" i="3"/>
  <c r="F71" i="3"/>
  <c r="G69" i="3"/>
  <c r="E53" i="3"/>
  <c r="F53" i="3"/>
  <c r="G51" i="3"/>
  <c r="F89" i="5"/>
  <c r="E71" i="5"/>
  <c r="F71" i="5"/>
  <c r="E53" i="5"/>
  <c r="F53" i="5"/>
  <c r="G51" i="5"/>
  <c r="F35" i="5"/>
  <c r="F89" i="4"/>
  <c r="F63" i="4"/>
  <c r="E71" i="4"/>
  <c r="F71" i="4"/>
  <c r="G69" i="4"/>
  <c r="G51" i="4"/>
  <c r="F53" i="4"/>
  <c r="F35" i="2"/>
  <c r="F35" i="4"/>
  <c r="F89" i="2"/>
  <c r="E71" i="2"/>
  <c r="F71" i="2"/>
  <c r="F63" i="2"/>
  <c r="G51" i="2"/>
  <c r="F53" i="2"/>
  <c r="F27" i="2"/>
  <c r="G69" i="9"/>
  <c r="G61" i="9"/>
  <c r="G43" i="9"/>
  <c r="G33" i="9"/>
  <c r="G15" i="9"/>
  <c r="G7" i="9"/>
  <c r="G69" i="8"/>
  <c r="G61" i="8"/>
  <c r="G43" i="8"/>
  <c r="G33" i="8"/>
  <c r="G15" i="8"/>
  <c r="G7" i="8"/>
  <c r="G69" i="7"/>
  <c r="G61" i="7"/>
  <c r="G43" i="7"/>
  <c r="G33" i="7"/>
  <c r="G15" i="7"/>
  <c r="G69" i="6"/>
  <c r="G61" i="6"/>
  <c r="G43" i="6"/>
  <c r="G33" i="6"/>
  <c r="G15" i="6"/>
  <c r="G7" i="6"/>
  <c r="G69" i="10"/>
  <c r="G61" i="10"/>
  <c r="G43" i="10"/>
  <c r="G33" i="10"/>
  <c r="G15" i="10"/>
  <c r="G7" i="10"/>
  <c r="G87" i="5"/>
  <c r="G79" i="5"/>
  <c r="G69" i="5"/>
  <c r="G61" i="5"/>
  <c r="G43" i="5"/>
  <c r="G33" i="5"/>
  <c r="G25" i="5"/>
  <c r="G15" i="5"/>
  <c r="G87" i="4"/>
  <c r="G79" i="4"/>
  <c r="G61" i="4"/>
  <c r="G43" i="4"/>
  <c r="G33" i="4"/>
  <c r="G25" i="4"/>
  <c r="G15" i="4"/>
  <c r="G87" i="3"/>
  <c r="G79" i="3"/>
  <c r="G61" i="3"/>
  <c r="G43" i="3"/>
  <c r="G33" i="3"/>
  <c r="G25" i="3"/>
  <c r="G15" i="3"/>
  <c r="G87" i="2"/>
  <c r="G79" i="2"/>
  <c r="G69" i="2"/>
  <c r="G43" i="2"/>
  <c r="G33" i="2"/>
  <c r="G25" i="2"/>
  <c r="G15" i="2"/>
  <c r="G87" i="1"/>
  <c r="G79" i="1"/>
  <c r="G61" i="1"/>
  <c r="G43" i="1"/>
  <c r="G33" i="1"/>
  <c r="G25" i="1"/>
  <c r="G15" i="1"/>
  <c r="E71" i="10"/>
  <c r="F63" i="10"/>
  <c r="E63" i="10"/>
  <c r="F45" i="10"/>
  <c r="E45" i="10"/>
  <c r="F35" i="10"/>
  <c r="E35" i="10"/>
  <c r="F17" i="10"/>
  <c r="E17" i="10"/>
  <c r="F9" i="10"/>
  <c r="E9" i="10"/>
  <c r="F71" i="9"/>
  <c r="E71" i="9"/>
  <c r="E63" i="9"/>
  <c r="F45" i="9"/>
  <c r="E45" i="9"/>
  <c r="F35" i="9"/>
  <c r="E35" i="9"/>
  <c r="F17" i="9"/>
  <c r="E17" i="9"/>
  <c r="F9" i="9"/>
  <c r="E9" i="9"/>
  <c r="F71" i="8"/>
  <c r="E71" i="8"/>
  <c r="F63" i="8"/>
  <c r="E63" i="8"/>
  <c r="F45" i="8"/>
  <c r="E45" i="8"/>
  <c r="F35" i="8"/>
  <c r="E35" i="8"/>
  <c r="F17" i="8"/>
  <c r="E17" i="8"/>
  <c r="F9" i="8"/>
  <c r="E9" i="8"/>
  <c r="F71" i="7"/>
  <c r="E71" i="7"/>
  <c r="F63" i="7"/>
  <c r="E63" i="7"/>
  <c r="F45" i="7"/>
  <c r="E45" i="7"/>
  <c r="F35" i="7"/>
  <c r="E35" i="7"/>
  <c r="F17" i="7"/>
  <c r="E17" i="7"/>
  <c r="F9" i="7"/>
  <c r="E9" i="7"/>
  <c r="F71" i="6"/>
  <c r="E71" i="6"/>
  <c r="F63" i="6"/>
  <c r="E63" i="6"/>
  <c r="F45" i="6"/>
  <c r="E45" i="6"/>
  <c r="F35" i="6"/>
  <c r="E35" i="6"/>
  <c r="F17" i="6"/>
  <c r="E17" i="6"/>
  <c r="F9" i="6"/>
  <c r="E9" i="6"/>
  <c r="E89" i="5"/>
  <c r="F81" i="5"/>
  <c r="E81" i="5"/>
  <c r="F63" i="5"/>
  <c r="E63" i="5"/>
  <c r="F45" i="5"/>
  <c r="E45" i="5"/>
  <c r="E35" i="5"/>
  <c r="F27" i="5"/>
  <c r="E27" i="5"/>
  <c r="F17" i="5"/>
  <c r="E17" i="5"/>
  <c r="F9" i="5"/>
  <c r="E9" i="5"/>
  <c r="E89" i="4"/>
  <c r="F81" i="4"/>
  <c r="E81" i="4"/>
  <c r="E63" i="4"/>
  <c r="E53" i="4"/>
  <c r="F45" i="4"/>
  <c r="E45" i="4"/>
  <c r="E35" i="4"/>
  <c r="F27" i="4"/>
  <c r="E27" i="4"/>
  <c r="F17" i="4"/>
  <c r="E17" i="4"/>
  <c r="F9" i="4"/>
  <c r="E9" i="4"/>
  <c r="E89" i="3"/>
  <c r="F81" i="3"/>
  <c r="E81" i="3"/>
  <c r="F63" i="3"/>
  <c r="E63" i="3"/>
  <c r="F45" i="3"/>
  <c r="E45" i="3"/>
  <c r="F35" i="3"/>
  <c r="E35" i="3"/>
  <c r="F27" i="3"/>
  <c r="E27" i="3"/>
  <c r="F17" i="3"/>
  <c r="E17" i="3"/>
  <c r="F9" i="3"/>
  <c r="E9" i="3"/>
  <c r="E89" i="2"/>
  <c r="F81" i="2"/>
  <c r="E81" i="2"/>
  <c r="E63" i="2"/>
  <c r="E53" i="2"/>
  <c r="F45" i="2"/>
  <c r="E45" i="2"/>
  <c r="E35" i="2"/>
  <c r="E27" i="2"/>
  <c r="F17" i="2"/>
  <c r="E17" i="2"/>
  <c r="F9" i="2"/>
  <c r="E9" i="2"/>
  <c r="E89" i="1"/>
  <c r="E45" i="1"/>
  <c r="F45" i="1"/>
  <c r="F63" i="1"/>
  <c r="E63" i="1"/>
  <c r="F81" i="1"/>
  <c r="E81" i="1"/>
  <c r="E35" i="1"/>
  <c r="F27" i="1"/>
  <c r="E27" i="1"/>
  <c r="F17" i="1"/>
  <c r="E17" i="1"/>
  <c r="F9" i="1"/>
  <c r="E9" i="1"/>
</calcChain>
</file>

<file path=xl/sharedStrings.xml><?xml version="1.0" encoding="utf-8"?>
<sst xmlns="http://schemas.openxmlformats.org/spreadsheetml/2006/main" count="3623" uniqueCount="273">
  <si>
    <t>LEVEL 0</t>
  </si>
  <si>
    <t>LEVEL 4</t>
  </si>
  <si>
    <t>LEVEL 3</t>
  </si>
  <si>
    <t>LEVEL 2</t>
  </si>
  <si>
    <t>LEVEL 1</t>
  </si>
  <si>
    <t>FALL</t>
  </si>
  <si>
    <t>SPRING</t>
  </si>
  <si>
    <t>COURSE CODE</t>
  </si>
  <si>
    <t>COURSE NAME</t>
  </si>
  <si>
    <t>CR</t>
  </si>
  <si>
    <t>STWL</t>
  </si>
  <si>
    <t>LEC</t>
  </si>
  <si>
    <t>TUT</t>
  </si>
  <si>
    <t>LAB</t>
  </si>
  <si>
    <t>MAJOR ELECTIVE</t>
  </si>
  <si>
    <t>COURSE MAP LEGEND</t>
  </si>
  <si>
    <t>CREDIT HOURS</t>
  </si>
  <si>
    <t>CONTACT HOURS</t>
  </si>
  <si>
    <t>CNTC</t>
  </si>
  <si>
    <t>CSE</t>
  </si>
  <si>
    <t>Univ Elect2</t>
  </si>
  <si>
    <t>Univ Elect1</t>
  </si>
  <si>
    <t>Basic Science and Eng</t>
  </si>
  <si>
    <t>Mechanics</t>
  </si>
  <si>
    <t>Electric and Electronic Ciruits</t>
  </si>
  <si>
    <t xml:space="preserve">ELE </t>
  </si>
  <si>
    <t>Discrete Mathematics</t>
  </si>
  <si>
    <t>Digital Signals Processing</t>
  </si>
  <si>
    <t>ENG Elect 1</t>
  </si>
  <si>
    <t>ENG Elect 2</t>
  </si>
  <si>
    <t>Comp Science and Eng</t>
  </si>
  <si>
    <t>University Req</t>
  </si>
  <si>
    <t>Structured Programming</t>
  </si>
  <si>
    <t>014</t>
  </si>
  <si>
    <t>Object Oriented Programming</t>
  </si>
  <si>
    <t>015</t>
  </si>
  <si>
    <t>Data Structures</t>
  </si>
  <si>
    <t>Logic Design</t>
  </si>
  <si>
    <t>Design and Analysis of Algorithms</t>
  </si>
  <si>
    <t>Computer Architecture and Organization</t>
  </si>
  <si>
    <t>Operating Systems</t>
  </si>
  <si>
    <t>Computer Networks</t>
  </si>
  <si>
    <t>Image Processing</t>
  </si>
  <si>
    <t>Database Systems</t>
  </si>
  <si>
    <t>Computer Vision</t>
  </si>
  <si>
    <t>Embedded Systems</t>
  </si>
  <si>
    <t>Major Compulsory</t>
  </si>
  <si>
    <t>Artificial Intelligence</t>
  </si>
  <si>
    <t>AIE</t>
  </si>
  <si>
    <t>Machine Learning</t>
  </si>
  <si>
    <t>Neural Networks</t>
  </si>
  <si>
    <t>Natural Language Processing</t>
  </si>
  <si>
    <t>Knowledge-based Systems</t>
  </si>
  <si>
    <t>Optimization techniques</t>
  </si>
  <si>
    <t>Advanced Machine Learning</t>
  </si>
  <si>
    <t>AI-based programming</t>
  </si>
  <si>
    <t>Robotics Design</t>
  </si>
  <si>
    <t>Data Mining</t>
  </si>
  <si>
    <t>Deep Learning</t>
  </si>
  <si>
    <t>Intelligent Recommender Systems</t>
  </si>
  <si>
    <t>Intelligent Decision Support Systems</t>
  </si>
  <si>
    <t>ELECT 3</t>
  </si>
  <si>
    <t>Graduation Project</t>
  </si>
  <si>
    <t>Graduation Project 1</t>
  </si>
  <si>
    <t>Graduation Project 2</t>
  </si>
  <si>
    <t>AI Courses</t>
  </si>
  <si>
    <t>Web Programming</t>
  </si>
  <si>
    <t>Software Engineering</t>
  </si>
  <si>
    <t>Parallel and distributed Systems</t>
  </si>
  <si>
    <t>Cryptography</t>
  </si>
  <si>
    <t>Real Time and Embedded Systems Design</t>
  </si>
  <si>
    <t>Cyber Security</t>
  </si>
  <si>
    <t>Cloud Computing</t>
  </si>
  <si>
    <t>Big Data Analytics 1</t>
  </si>
  <si>
    <t>Internet of Things</t>
  </si>
  <si>
    <t>Selected Topics in embedded systems</t>
  </si>
  <si>
    <t>Information and Computer Networks Security</t>
  </si>
  <si>
    <t xml:space="preserve">Selected Topics in IoT </t>
  </si>
  <si>
    <t>Security of Information Systems</t>
  </si>
  <si>
    <t>Secure Programming</t>
  </si>
  <si>
    <t>Selected Topics in Information Security</t>
  </si>
  <si>
    <t>Selected Topics in Computer Security</t>
  </si>
  <si>
    <t>Introduction to Parallel Computings</t>
  </si>
  <si>
    <t>Industrial Networks</t>
  </si>
  <si>
    <t>Selected Topics in Big Data</t>
  </si>
  <si>
    <t>Selected Topics in cloud computing</t>
  </si>
  <si>
    <t>Theory of Computation and Compilers</t>
  </si>
  <si>
    <t>Parallel programming</t>
  </si>
  <si>
    <t>High Performance computing</t>
  </si>
  <si>
    <t>Selected Topics in high performance  computing</t>
  </si>
  <si>
    <t>PHY</t>
  </si>
  <si>
    <t>Systems Analysis and Design</t>
  </si>
  <si>
    <t>Computer Graphics</t>
  </si>
  <si>
    <t>Interactive Multimedia</t>
  </si>
  <si>
    <t>Advanced Methods for Data Analysis</t>
  </si>
  <si>
    <t>Advanced database systems</t>
  </si>
  <si>
    <t>Distributed Information systems</t>
  </si>
  <si>
    <t>Human physiology</t>
  </si>
  <si>
    <t>BMD</t>
  </si>
  <si>
    <t>Introduction to Bioinformatics</t>
  </si>
  <si>
    <t>Biomedical Data Acquisition</t>
  </si>
  <si>
    <t>Clinical Informatics</t>
  </si>
  <si>
    <t>Biomedical Statistics</t>
  </si>
  <si>
    <t>Biomedical Information systems</t>
  </si>
  <si>
    <t>Medical Image Informatics</t>
  </si>
  <si>
    <t>Structural bioinformatics</t>
  </si>
  <si>
    <t>Univ Elect3</t>
  </si>
  <si>
    <t>Machine Learning for Text Mining</t>
  </si>
  <si>
    <t>Advanced software Engineering</t>
  </si>
  <si>
    <t>1xx</t>
  </si>
  <si>
    <t>2xx</t>
  </si>
  <si>
    <t>3xx</t>
  </si>
  <si>
    <t>4xx</t>
  </si>
  <si>
    <t>CSC</t>
  </si>
  <si>
    <t>MAT</t>
  </si>
  <si>
    <t>123</t>
  </si>
  <si>
    <t>212</t>
  </si>
  <si>
    <t>Analytical Geometry &amp; Calculus I</t>
  </si>
  <si>
    <t>Introduction to Engineering Physics</t>
  </si>
  <si>
    <t>UC1</t>
  </si>
  <si>
    <t>Univ Req1</t>
  </si>
  <si>
    <t>UE1</t>
  </si>
  <si>
    <t>UC2</t>
  </si>
  <si>
    <t>Univ Req2</t>
  </si>
  <si>
    <t>Statistics</t>
  </si>
  <si>
    <t>Differential Equations &amp; Numerical Analysis</t>
  </si>
  <si>
    <t>Mathematics II</t>
  </si>
  <si>
    <t>UC3</t>
  </si>
  <si>
    <t>Univ Req3</t>
  </si>
  <si>
    <t>UC4</t>
  </si>
  <si>
    <t>Univ Req4</t>
  </si>
  <si>
    <t>UE2</t>
  </si>
  <si>
    <t>Univ Req5</t>
  </si>
  <si>
    <t>UC5</t>
  </si>
  <si>
    <t>Univ Req6</t>
  </si>
  <si>
    <t>UC6</t>
  </si>
  <si>
    <t>E1</t>
  </si>
  <si>
    <t>E2</t>
  </si>
  <si>
    <t>Tech ELECT 1</t>
  </si>
  <si>
    <t>Tech ELECT 2</t>
  </si>
  <si>
    <t>Tech ELECT 3</t>
  </si>
  <si>
    <t>UC7</t>
  </si>
  <si>
    <t>Univ Req7</t>
  </si>
  <si>
    <t>Tech ELECT 4</t>
  </si>
  <si>
    <t>UE3</t>
  </si>
  <si>
    <t>Tech ELECT 5</t>
  </si>
  <si>
    <t>Tech ELECT 6</t>
  </si>
  <si>
    <t>Biophysics</t>
  </si>
  <si>
    <t xml:space="preserve">Probability &amp; Statistics </t>
  </si>
  <si>
    <t>BIO</t>
  </si>
  <si>
    <t>Field Training 1 in AI Engineering</t>
  </si>
  <si>
    <t>Field Training 2 in AI Engineering</t>
  </si>
  <si>
    <t xml:space="preserve">Field Training 1 in Computer Engineering </t>
  </si>
  <si>
    <t xml:space="preserve">Field Training 2 in Computer Engineering </t>
  </si>
  <si>
    <t>Field Training 1 in AI Science</t>
  </si>
  <si>
    <t>Field Training 2 in AI Science</t>
  </si>
  <si>
    <t>Field Training 1 in Computer Science</t>
  </si>
  <si>
    <t>Field Training 2 in Computer Science</t>
  </si>
  <si>
    <t xml:space="preserve">Field Training 2 in Biomedical Informatics </t>
  </si>
  <si>
    <t xml:space="preserve">Field Training 1 in Biomedical Informatics </t>
  </si>
  <si>
    <t>Biology II</t>
  </si>
  <si>
    <t>Mathematics I</t>
  </si>
  <si>
    <t>MEC</t>
  </si>
  <si>
    <t>Engineering Drawing (1)</t>
  </si>
  <si>
    <t>211</t>
  </si>
  <si>
    <t>Physics II</t>
  </si>
  <si>
    <t xml:space="preserve">	
Electrical Circuits and Measurements</t>
  </si>
  <si>
    <t>ELE</t>
  </si>
  <si>
    <t>Electronics and Digital Circuits</t>
  </si>
  <si>
    <t>011</t>
  </si>
  <si>
    <r>
      <t xml:space="preserve">Alamen- CE PROGRAM/IOT Track- COURSE MAP 2020 - </t>
    </r>
    <r>
      <rPr>
        <b/>
        <sz val="26"/>
        <color rgb="FFFFFF00"/>
        <rFont val="Century Gothic"/>
        <family val="2"/>
      </rPr>
      <t>165</t>
    </r>
    <r>
      <rPr>
        <b/>
        <sz val="26"/>
        <color theme="0"/>
        <rFont val="Century Gothic"/>
        <family val="2"/>
      </rPr>
      <t xml:space="preserve"> CR HRS</t>
    </r>
  </si>
  <si>
    <r>
      <t xml:space="preserve">Alamen- CE PROGRAM/Security Track- COURSE MAP 2020 - </t>
    </r>
    <r>
      <rPr>
        <b/>
        <sz val="26"/>
        <color rgb="FFFFFF00"/>
        <rFont val="Century Gothic"/>
        <family val="2"/>
      </rPr>
      <t>165</t>
    </r>
    <r>
      <rPr>
        <b/>
        <sz val="26"/>
        <color theme="0"/>
        <rFont val="Century Gothic"/>
        <family val="2"/>
      </rPr>
      <t xml:space="preserve"> CR HRS</t>
    </r>
  </si>
  <si>
    <r>
      <t xml:space="preserve">Alamen- CE PROGRAM/cloud Track- COURSE MAP 2020 - </t>
    </r>
    <r>
      <rPr>
        <b/>
        <sz val="26"/>
        <color rgb="FFFFFF00"/>
        <rFont val="Century Gothic"/>
        <family val="2"/>
      </rPr>
      <t>165</t>
    </r>
    <r>
      <rPr>
        <b/>
        <sz val="26"/>
        <color theme="0"/>
        <rFont val="Century Gothic"/>
        <family val="2"/>
      </rPr>
      <t xml:space="preserve"> CR HRS</t>
    </r>
  </si>
  <si>
    <r>
      <t xml:space="preserve">Alamen- CE PROGRAM/HPC Track- COURSE MAP 2020 - </t>
    </r>
    <r>
      <rPr>
        <b/>
        <sz val="26"/>
        <color rgb="FFFFFF00"/>
        <rFont val="Century Gothic"/>
        <family val="2"/>
      </rPr>
      <t>165</t>
    </r>
    <r>
      <rPr>
        <b/>
        <sz val="26"/>
        <color theme="0"/>
        <rFont val="Century Gothic"/>
        <family val="2"/>
      </rPr>
      <t xml:space="preserve"> CR HRS</t>
    </r>
  </si>
  <si>
    <r>
      <t xml:space="preserve">Alamen- AIS PROGRAM- COURSE MAP 2020 - </t>
    </r>
    <r>
      <rPr>
        <b/>
        <sz val="26"/>
        <color rgb="FFFFFF00"/>
        <rFont val="Century Gothic"/>
        <family val="2"/>
      </rPr>
      <t>140</t>
    </r>
    <r>
      <rPr>
        <b/>
        <sz val="26"/>
        <color theme="0"/>
        <rFont val="Century Gothic"/>
        <family val="2"/>
      </rPr>
      <t xml:space="preserve"> CR HRS</t>
    </r>
  </si>
  <si>
    <r>
      <t xml:space="preserve">Alamen- CS PROGRAM/Vision Track- COURSE MAP 2020 - </t>
    </r>
    <r>
      <rPr>
        <b/>
        <sz val="26"/>
        <color rgb="FFFFFF00"/>
        <rFont val="Century Gothic"/>
        <family val="2"/>
      </rPr>
      <t>127</t>
    </r>
    <r>
      <rPr>
        <b/>
        <sz val="26"/>
        <color theme="0"/>
        <rFont val="Century Gothic"/>
        <family val="2"/>
      </rPr>
      <t xml:space="preserve"> CR HRS</t>
    </r>
  </si>
  <si>
    <r>
      <t xml:space="preserve">Alamen- CS PROGRAM/Big data Track- COURSE MAP 2020 - </t>
    </r>
    <r>
      <rPr>
        <b/>
        <sz val="26"/>
        <color rgb="FFFFFF00"/>
        <rFont val="Century Gothic"/>
        <family val="2"/>
      </rPr>
      <t>127</t>
    </r>
    <r>
      <rPr>
        <b/>
        <sz val="26"/>
        <color theme="0"/>
        <rFont val="Century Gothic"/>
        <family val="2"/>
      </rPr>
      <t xml:space="preserve"> CR HRS</t>
    </r>
  </si>
  <si>
    <r>
      <t xml:space="preserve">Alamen- CS PROGRAM/SE Track- COURSE MAP 2020 - </t>
    </r>
    <r>
      <rPr>
        <b/>
        <sz val="26"/>
        <color rgb="FFFFFF00"/>
        <rFont val="Century Gothic"/>
        <family val="2"/>
      </rPr>
      <t>127</t>
    </r>
    <r>
      <rPr>
        <b/>
        <sz val="26"/>
        <color theme="0"/>
        <rFont val="Century Gothic"/>
        <family val="2"/>
      </rPr>
      <t xml:space="preserve"> CR HRS</t>
    </r>
  </si>
  <si>
    <t>281</t>
  </si>
  <si>
    <t>Molecular Biology I</t>
  </si>
  <si>
    <t xml:space="preserve">Mathematics I </t>
  </si>
  <si>
    <t xml:space="preserve">MAT </t>
  </si>
  <si>
    <t>Linear Algebra</t>
  </si>
  <si>
    <t>Field Training 1 In Computer Science</t>
  </si>
  <si>
    <t>Introduction to Parallel Computing</t>
  </si>
  <si>
    <t>Field Training 2 Computer Science</t>
  </si>
  <si>
    <t>Parallel Programming</t>
  </si>
  <si>
    <t>Systems Analysis &amp; Design</t>
  </si>
  <si>
    <t>Theory of Computation &amp; Compilers</t>
  </si>
  <si>
    <t>Probability &amp; Statistics I</t>
  </si>
  <si>
    <t xml:space="preserve">Probability &amp; Statistics II </t>
  </si>
  <si>
    <t>Advanced Software Engineering</t>
  </si>
  <si>
    <t>Distributed Information Systems</t>
  </si>
  <si>
    <t>Optimization Techniques</t>
  </si>
  <si>
    <t>Knowledge-Based Systems</t>
  </si>
  <si>
    <t>AI-Based Programming</t>
  </si>
  <si>
    <t xml:space="preserve">Electric &amp; Electronic Circuits </t>
  </si>
  <si>
    <t xml:space="preserve">Logic Design </t>
  </si>
  <si>
    <t xml:space="preserve">Computer Architecture &amp; Organization </t>
  </si>
  <si>
    <t>Probability &amp; Statistics II</t>
  </si>
  <si>
    <t xml:space="preserve">Embedded Systems </t>
  </si>
  <si>
    <t xml:space="preserve">Web Programming </t>
  </si>
  <si>
    <t xml:space="preserve">Introduction to Parallel Computing </t>
  </si>
  <si>
    <t xml:space="preserve">Parallel &amp; Distributed Systems </t>
  </si>
  <si>
    <t xml:space="preserve">Introduction to Cyber Security </t>
  </si>
  <si>
    <t xml:space="preserve">Parallel Programming </t>
  </si>
  <si>
    <t xml:space="preserve">Information &amp; Computer Networks Security </t>
  </si>
  <si>
    <t xml:space="preserve">High Performance Computing </t>
  </si>
  <si>
    <t xml:space="preserve">Theory of Computation &amp; Compilers </t>
  </si>
  <si>
    <t xml:space="preserve">Selected Topics in High Performance Computing </t>
  </si>
  <si>
    <t>x`x`x`</t>
  </si>
  <si>
    <t xml:space="preserve">Big Data Analytics 1 </t>
  </si>
  <si>
    <t xml:space="preserve">Selected Topics in Cloud Computing </t>
  </si>
  <si>
    <t xml:space="preserve">Selected Topics in Big Data </t>
  </si>
  <si>
    <t xml:space="preserve">Security of Information Systems </t>
  </si>
  <si>
    <t xml:space="preserve">Cryptography </t>
  </si>
  <si>
    <t xml:space="preserve">Secure Programming </t>
  </si>
  <si>
    <t xml:space="preserve">Selected Topics in Information Security </t>
  </si>
  <si>
    <t xml:space="preserve">Selected Topics in Computer Security </t>
  </si>
  <si>
    <t xml:space="preserve">Image Processing  </t>
  </si>
  <si>
    <t xml:space="preserve">Real Time &amp; Embedded Systems Design </t>
  </si>
  <si>
    <t xml:space="preserve">Selected Topics in Embedded Systems  </t>
  </si>
  <si>
    <r>
      <t xml:space="preserve">Alamen- Biomedical Info PROGRAM- COURSE MAP 2020- </t>
    </r>
    <r>
      <rPr>
        <b/>
        <sz val="26"/>
        <color rgb="FFFFFF00"/>
        <rFont val="Century Gothic"/>
        <family val="2"/>
      </rPr>
      <t>133</t>
    </r>
    <r>
      <rPr>
        <b/>
        <sz val="26"/>
        <color theme="0"/>
        <rFont val="Century Gothic"/>
        <family val="2"/>
      </rPr>
      <t xml:space="preserve"> CR HRS</t>
    </r>
  </si>
  <si>
    <r>
      <t xml:space="preserve">Alamen- AIE PROGRAM- COURSE MAP 2020 - </t>
    </r>
    <r>
      <rPr>
        <b/>
        <sz val="26"/>
        <color rgb="FFFFFF00"/>
        <rFont val="Century Gothic"/>
        <family val="2"/>
      </rPr>
      <t>157</t>
    </r>
    <r>
      <rPr>
        <b/>
        <sz val="26"/>
        <color theme="0"/>
        <rFont val="Century Gothic"/>
        <family val="2"/>
      </rPr>
      <t xml:space="preserve"> CR HRS</t>
    </r>
  </si>
  <si>
    <t xml:space="preserve">Natural Language Processing </t>
  </si>
  <si>
    <t xml:space="preserve">Data Mining </t>
  </si>
  <si>
    <t xml:space="preserve">Computer Vision </t>
  </si>
  <si>
    <t xml:space="preserve">Knowledge-Based Systems </t>
  </si>
  <si>
    <t xml:space="preserve">Optimization Techniques </t>
  </si>
  <si>
    <t xml:space="preserve">Neural Networks </t>
  </si>
  <si>
    <t xml:space="preserve">Field Training 2 in Artificial Intelligence Engineering </t>
  </si>
  <si>
    <t xml:space="preserve">Field Training 1 in Artificial Intelligence Engineering </t>
  </si>
  <si>
    <t xml:space="preserve">Robotics Design </t>
  </si>
  <si>
    <t xml:space="preserve">Deep Learning </t>
  </si>
  <si>
    <t>Computer Architecture &amp; Organization</t>
  </si>
  <si>
    <t>251</t>
  </si>
  <si>
    <t xml:space="preserve">Introduction to Bioinformatics </t>
  </si>
  <si>
    <t xml:space="preserve">Software Engineering </t>
  </si>
  <si>
    <t xml:space="preserve">Design &amp; Analysis of Algorithms </t>
  </si>
  <si>
    <r>
      <t xml:space="preserve">Alamein- CS PROGRAM/Big data Track- COURSE MAP 2020 - </t>
    </r>
    <r>
      <rPr>
        <b/>
        <sz val="26"/>
        <color rgb="FFFFFF00"/>
        <rFont val="Century Gothic"/>
        <family val="2"/>
      </rPr>
      <t>127</t>
    </r>
    <r>
      <rPr>
        <b/>
        <sz val="26"/>
        <color theme="0"/>
        <rFont val="Century Gothic"/>
        <family val="2"/>
      </rPr>
      <t xml:space="preserve"> CR HRS</t>
    </r>
  </si>
  <si>
    <t>Alamein- CS PROGRAM/Vision Track- COURSE MAP 2020 - 127 CR HRS</t>
  </si>
  <si>
    <r>
      <t xml:space="preserve">Alamein- AIS PROGRAM- COURSE MAP 2020 - </t>
    </r>
    <r>
      <rPr>
        <b/>
        <sz val="26"/>
        <color rgb="FFFFFF00"/>
        <rFont val="Century Gothic"/>
        <family val="2"/>
      </rPr>
      <t>133</t>
    </r>
    <r>
      <rPr>
        <b/>
        <sz val="26"/>
        <color theme="0"/>
        <rFont val="Century Gothic"/>
        <family val="2"/>
      </rPr>
      <t xml:space="preserve"> CR HRS</t>
    </r>
  </si>
  <si>
    <r>
      <t xml:space="preserve">Alamein- Biomedical Info PROGRAM- COURSE MAP 2020- </t>
    </r>
    <r>
      <rPr>
        <b/>
        <sz val="26"/>
        <color rgb="FFFFFF00"/>
        <rFont val="Century Gothic"/>
        <family val="2"/>
      </rPr>
      <t>133</t>
    </r>
    <r>
      <rPr>
        <b/>
        <sz val="26"/>
        <color theme="0"/>
        <rFont val="Century Gothic"/>
        <family val="2"/>
      </rPr>
      <t xml:space="preserve"> CR HRS</t>
    </r>
  </si>
  <si>
    <r>
      <t xml:space="preserve">Alamein- CE PROGRAM/HPC Track- COURSE MAP 2020 - </t>
    </r>
    <r>
      <rPr>
        <b/>
        <sz val="26"/>
        <color rgb="FFFFFF00"/>
        <rFont val="Century Gothic"/>
        <family val="2"/>
      </rPr>
      <t>157</t>
    </r>
    <r>
      <rPr>
        <b/>
        <sz val="26"/>
        <color theme="0"/>
        <rFont val="Century Gothic"/>
        <family val="2"/>
      </rPr>
      <t xml:space="preserve"> CR HRS</t>
    </r>
  </si>
  <si>
    <t>Alamein- AIE PROGRAM- COURSE MAP 2020 - 157 CR HRS</t>
  </si>
  <si>
    <t>Alamein- CE PROGRAM/cloud Track- COURSE MAP 2020 - 157 CR HRS</t>
  </si>
  <si>
    <t>Alamein- CE PROGRAM/Security Track- COURSE MAP 2020 - 157 CR HRS</t>
  </si>
  <si>
    <t>Alamein- CE PROGRAM/Embedded Systems Track- COURSE MAP 2020 - 157 CR HRS</t>
  </si>
  <si>
    <t>Field Training 1 in Computer Engineering</t>
  </si>
  <si>
    <t>Field Training 2 in Computer Engineering</t>
  </si>
  <si>
    <t>Differential Equations</t>
  </si>
  <si>
    <t>Advanced Database Systems</t>
  </si>
  <si>
    <t>E3</t>
  </si>
  <si>
    <t>Structural Bioinformatics</t>
  </si>
  <si>
    <t>E4</t>
  </si>
  <si>
    <t>E5</t>
  </si>
  <si>
    <t>E6</t>
  </si>
  <si>
    <t>BIS</t>
  </si>
  <si>
    <t>Business Information Systems</t>
  </si>
  <si>
    <t>Numerical Analysis</t>
  </si>
  <si>
    <t xml:space="preserve">Field Training 1 in Information Technology </t>
  </si>
  <si>
    <t>Information Technology Governance</t>
  </si>
  <si>
    <t>Operating Systems Administration</t>
  </si>
  <si>
    <t>Introduction to Telecommunications, Networking and Security</t>
  </si>
  <si>
    <t>Basics of Machine Learning and Data Science</t>
  </si>
  <si>
    <t xml:space="preserve">Field Training 2 in Information Technology </t>
  </si>
  <si>
    <t>Societal and Ethical Issues in Information Technology</t>
  </si>
  <si>
    <t>IT Management and Operations</t>
  </si>
  <si>
    <t>Database Systems Administration</t>
  </si>
  <si>
    <t>Networks Virtualization and Administration</t>
  </si>
  <si>
    <t>Interaction Design</t>
  </si>
  <si>
    <t>Advanced Networking</t>
  </si>
  <si>
    <r>
      <t xml:space="preserve">Alamein- Information Technology PROGRAM- COURSE MAP 2020- </t>
    </r>
    <r>
      <rPr>
        <b/>
        <sz val="26"/>
        <color rgb="FFFFFF00"/>
        <rFont val="Century Gothic"/>
        <family val="2"/>
      </rPr>
      <t>132</t>
    </r>
    <r>
      <rPr>
        <b/>
        <sz val="26"/>
        <color theme="0"/>
        <rFont val="Century Gothic"/>
        <family val="2"/>
      </rPr>
      <t xml:space="preserve"> CR HRS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</si>
</sst>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6"/>
      <color theme="0"/>
      <name val="Century Gothic"/>
      <family val="2"/>
    </font>
    <font>
      <b/>
      <sz val="26"/>
      <color rgb="FFFFFF00"/>
      <name val="Century Gothic"/>
      <family val="2"/>
    </font>
    <font>
      <sz val="2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color theme="0"/>
      <name val="Century Gothic"/>
      <family val="2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D8BB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4" borderId="0" xfId="0" applyFont="1" applyFill="1" applyAlignment="1">
      <alignment horizontal="center" vertical="center" textRotation="90"/>
    </xf>
    <xf numFmtId="0" fontId="0" fillId="7" borderId="0" xfId="0" applyFill="1"/>
    <xf numFmtId="0" fontId="1" fillId="0" borderId="0" xfId="0" applyFont="1" applyAlignment="1">
      <alignment horizontal="center" vertical="center" textRotation="90"/>
    </xf>
    <xf numFmtId="0" fontId="0" fillId="4" borderId="0" xfId="0" applyFill="1"/>
    <xf numFmtId="0" fontId="0" fillId="0" borderId="18" xfId="0" applyBorder="1"/>
    <xf numFmtId="0" fontId="0" fillId="0" borderId="19" xfId="0" applyBorder="1"/>
    <xf numFmtId="0" fontId="0" fillId="0" borderId="0" xfId="0" applyAlignment="1">
      <alignment vertical="center" textRotation="90"/>
    </xf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2" fillId="7" borderId="0" xfId="0" applyFont="1" applyFill="1" applyAlignment="1">
      <alignment horizontal="center" vertical="center" textRotation="90"/>
    </xf>
    <xf numFmtId="0" fontId="5" fillId="0" borderId="0" xfId="0" applyFont="1"/>
    <xf numFmtId="0" fontId="6" fillId="7" borderId="0" xfId="0" applyFont="1" applyFill="1" applyAlignment="1">
      <alignment horizontal="center" textRotation="90"/>
    </xf>
    <xf numFmtId="0" fontId="0" fillId="12" borderId="0" xfId="0" applyFill="1"/>
    <xf numFmtId="0" fontId="7" fillId="3" borderId="0" xfId="0" applyFont="1" applyFill="1" applyAlignment="1">
      <alignment vertical="center" textRotation="90"/>
    </xf>
    <xf numFmtId="0" fontId="7" fillId="12" borderId="0" xfId="0" applyFont="1" applyFill="1" applyAlignment="1">
      <alignment vertical="center" textRotation="90"/>
    </xf>
    <xf numFmtId="0" fontId="8" fillId="12" borderId="0" xfId="0" applyFont="1" applyFill="1" applyAlignment="1">
      <alignment vertical="center" textRotation="90"/>
    </xf>
    <xf numFmtId="0" fontId="0" fillId="8" borderId="0" xfId="0" applyFill="1"/>
    <xf numFmtId="0" fontId="9" fillId="4" borderId="0" xfId="0" applyFont="1" applyFill="1"/>
    <xf numFmtId="0" fontId="0" fillId="3" borderId="1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12" borderId="25" xfId="0" applyFill="1" applyBorder="1" applyAlignment="1">
      <alignment horizontal="right" vertical="center"/>
    </xf>
    <xf numFmtId="0" fontId="0" fillId="12" borderId="26" xfId="0" applyFill="1" applyBorder="1" applyAlignment="1">
      <alignment horizontal="right" vertical="center"/>
    </xf>
    <xf numFmtId="0" fontId="0" fillId="12" borderId="7" xfId="0" applyFill="1" applyBorder="1" applyAlignment="1">
      <alignment horizontal="right" vertical="center"/>
    </xf>
    <xf numFmtId="49" fontId="0" fillId="12" borderId="27" xfId="0" applyNumberFormat="1" applyFill="1" applyBorder="1" applyAlignment="1">
      <alignment horizontal="left" vertical="center"/>
    </xf>
    <xf numFmtId="49" fontId="0" fillId="12" borderId="26" xfId="0" applyNumberFormat="1" applyFill="1" applyBorder="1" applyAlignment="1">
      <alignment horizontal="left" vertical="center"/>
    </xf>
    <xf numFmtId="49" fontId="0" fillId="12" borderId="28" xfId="0" applyNumberFormat="1" applyFill="1" applyBorder="1" applyAlignment="1">
      <alignment horizontal="left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12" borderId="27" xfId="0" applyFill="1" applyBorder="1" applyAlignment="1">
      <alignment horizontal="left" vertical="center"/>
    </xf>
    <xf numFmtId="0" fontId="0" fillId="12" borderId="26" xfId="0" applyFill="1" applyBorder="1" applyAlignment="1">
      <alignment horizontal="left" vertical="center"/>
    </xf>
    <xf numFmtId="0" fontId="0" fillId="12" borderId="28" xfId="0" applyFill="1" applyBorder="1" applyAlignment="1">
      <alignment horizontal="left" vertical="center"/>
    </xf>
    <xf numFmtId="0" fontId="0" fillId="13" borderId="4" xfId="0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 wrapText="1"/>
    </xf>
    <xf numFmtId="0" fontId="0" fillId="13" borderId="10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 textRotation="90"/>
    </xf>
    <xf numFmtId="0" fontId="1" fillId="13" borderId="0" xfId="0" applyFont="1" applyFill="1" applyAlignment="1">
      <alignment horizontal="center" vertical="center" textRotation="90"/>
    </xf>
    <xf numFmtId="0" fontId="1" fillId="8" borderId="0" xfId="0" applyFont="1" applyFill="1" applyAlignment="1">
      <alignment horizontal="center" vertical="center" textRotation="90"/>
    </xf>
    <xf numFmtId="0" fontId="1" fillId="0" borderId="17" xfId="0" applyFont="1" applyBorder="1" applyAlignment="1">
      <alignment horizontal="center" vertical="center" textRotation="90"/>
    </xf>
    <xf numFmtId="0" fontId="1" fillId="0" borderId="20" xfId="0" applyFont="1" applyBorder="1" applyAlignment="1">
      <alignment horizontal="center" vertical="center" textRotation="90"/>
    </xf>
    <xf numFmtId="0" fontId="1" fillId="0" borderId="22" xfId="0" applyFont="1" applyBorder="1" applyAlignment="1">
      <alignment horizontal="center" vertical="center" textRotation="90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textRotation="90"/>
    </xf>
    <xf numFmtId="0" fontId="1" fillId="5" borderId="0" xfId="0" applyFont="1" applyFill="1" applyAlignment="1">
      <alignment horizontal="center" vertical="center" textRotation="90"/>
    </xf>
    <xf numFmtId="0" fontId="0" fillId="8" borderId="10" xfId="0" applyFill="1" applyBorder="1" applyAlignment="1">
      <alignment horizontal="center" vertical="center" wrapText="1"/>
    </xf>
    <xf numFmtId="0" fontId="0" fillId="8" borderId="29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 wrapText="1"/>
    </xf>
    <xf numFmtId="0" fontId="0" fillId="13" borderId="29" xfId="0" applyFill="1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textRotation="90"/>
    </xf>
    <xf numFmtId="0" fontId="0" fillId="5" borderId="14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1" fontId="0" fillId="12" borderId="26" xfId="0" applyNumberFormat="1" applyFill="1" applyBorder="1" applyAlignment="1">
      <alignment horizontal="left" vertical="center"/>
    </xf>
    <xf numFmtId="1" fontId="0" fillId="12" borderId="28" xfId="0" applyNumberFormat="1" applyFill="1" applyBorder="1" applyAlignment="1">
      <alignment horizontal="left" vertical="center"/>
    </xf>
    <xf numFmtId="0" fontId="3" fillId="11" borderId="0" xfId="0" applyFont="1" applyFill="1" applyAlignment="1" applyProtection="1">
      <alignment horizontal="center" vertical="center"/>
      <protection locked="0"/>
    </xf>
    <xf numFmtId="0" fontId="6" fillId="7" borderId="0" xfId="0" applyFont="1" applyFill="1" applyAlignment="1">
      <alignment horizontal="center" textRotation="90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textRotation="90"/>
    </xf>
    <xf numFmtId="0" fontId="1" fillId="10" borderId="0" xfId="0" applyFont="1" applyFill="1" applyAlignment="1">
      <alignment horizontal="center" vertical="center" textRotation="90"/>
    </xf>
    <xf numFmtId="0" fontId="2" fillId="7" borderId="0" xfId="0" applyFont="1" applyFill="1" applyAlignment="1">
      <alignment horizontal="center" textRotation="90"/>
    </xf>
    <xf numFmtId="0" fontId="0" fillId="7" borderId="0" xfId="0" applyFill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14" borderId="0" xfId="0" applyFont="1" applyFill="1" applyAlignment="1">
      <alignment horizontal="center" vertical="center" textRotation="90"/>
    </xf>
    <xf numFmtId="0" fontId="0" fillId="14" borderId="10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 wrapText="1"/>
    </xf>
    <xf numFmtId="0" fontId="0" fillId="14" borderId="8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1" fillId="14" borderId="18" xfId="0" applyFont="1" applyFill="1" applyBorder="1" applyAlignment="1">
      <alignment horizontal="center" vertical="center" textRotation="90"/>
    </xf>
    <xf numFmtId="0" fontId="1" fillId="6" borderId="30" xfId="0" applyFont="1" applyFill="1" applyBorder="1" applyAlignment="1">
      <alignment horizontal="center" vertical="center" textRotation="90"/>
    </xf>
    <xf numFmtId="0" fontId="1" fillId="5" borderId="30" xfId="0" applyFont="1" applyFill="1" applyBorder="1" applyAlignment="1">
      <alignment horizontal="center" vertical="center" textRotation="90"/>
    </xf>
    <xf numFmtId="0" fontId="1" fillId="13" borderId="30" xfId="0" applyFont="1" applyFill="1" applyBorder="1" applyAlignment="1">
      <alignment horizontal="center" vertical="center" textRotation="90"/>
    </xf>
    <xf numFmtId="0" fontId="0" fillId="8" borderId="4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10" fillId="11" borderId="0" xfId="0" applyFont="1" applyFill="1" applyAlignment="1" applyProtection="1">
      <alignment horizontal="center" vertical="center"/>
      <protection locked="0"/>
    </xf>
    <xf numFmtId="0" fontId="1" fillId="7" borderId="0" xfId="0" applyFont="1" applyFill="1" applyAlignment="1">
      <alignment horizontal="center" vertical="center" textRotation="90"/>
    </xf>
    <xf numFmtId="0" fontId="1" fillId="7" borderId="16" xfId="0" applyFont="1" applyFill="1" applyBorder="1" applyAlignment="1">
      <alignment horizontal="center" vertical="center" textRotation="90"/>
    </xf>
    <xf numFmtId="0" fontId="0" fillId="6" borderId="10" xfId="0" applyFill="1" applyBorder="1" applyAlignment="1">
      <alignment horizontal="center" vertical="center" wrapText="1"/>
    </xf>
    <xf numFmtId="0" fontId="0" fillId="6" borderId="29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49" fontId="0" fillId="8" borderId="27" xfId="0" applyNumberFormat="1" applyFill="1" applyBorder="1" applyAlignment="1">
      <alignment horizontal="left" vertical="center"/>
    </xf>
    <xf numFmtId="49" fontId="0" fillId="8" borderId="26" xfId="0" applyNumberFormat="1" applyFill="1" applyBorder="1" applyAlignment="1">
      <alignment horizontal="left" vertical="center"/>
    </xf>
    <xf numFmtId="49" fontId="0" fillId="8" borderId="28" xfId="0" applyNumberFormat="1" applyFill="1" applyBorder="1" applyAlignment="1">
      <alignment horizontal="left" vertical="center"/>
    </xf>
    <xf numFmtId="0" fontId="0" fillId="5" borderId="10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8B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/>
      </xdr:nvCxnSpPr>
      <xdr:spPr>
        <a:xfrm>
          <a:off x="12853276" y="4868333"/>
          <a:ext cx="0" cy="3453593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123825</xdr:colOff>
      <xdr:row>9</xdr:row>
      <xdr:rowOff>9525</xdr:rowOff>
    </xdr:from>
    <xdr:to>
      <xdr:col>31</xdr:col>
      <xdr:colOff>123825</xdr:colOff>
      <xdr:row>10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5067300" y="2333625"/>
          <a:ext cx="0" cy="1143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</xdr:row>
      <xdr:rowOff>9525</xdr:rowOff>
    </xdr:from>
    <xdr:to>
      <xdr:col>31</xdr:col>
      <xdr:colOff>142875</xdr:colOff>
      <xdr:row>10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619500" y="2457450"/>
          <a:ext cx="14668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</xdr:colOff>
      <xdr:row>10</xdr:row>
      <xdr:rowOff>19050</xdr:rowOff>
    </xdr:from>
    <xdr:to>
      <xdr:col>22</xdr:col>
      <xdr:colOff>9526</xdr:colOff>
      <xdr:row>13</xdr:row>
      <xdr:rowOff>19050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>
          <a:off x="3629025" y="2466975"/>
          <a:ext cx="1" cy="3714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190500</xdr:colOff>
      <xdr:row>9</xdr:row>
      <xdr:rowOff>9525</xdr:rowOff>
    </xdr:from>
    <xdr:to>
      <xdr:col>41</xdr:col>
      <xdr:colOff>190500</xdr:colOff>
      <xdr:row>13</xdr:row>
      <xdr:rowOff>9525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6677025" y="233362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190500</xdr:colOff>
      <xdr:row>11</xdr:row>
      <xdr:rowOff>0</xdr:rowOff>
    </xdr:from>
    <xdr:to>
      <xdr:col>52</xdr:col>
      <xdr:colOff>19050</xdr:colOff>
      <xdr:row>11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6677025" y="2571750"/>
          <a:ext cx="1590675" cy="0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10</xdr:row>
      <xdr:rowOff>117231</xdr:rowOff>
    </xdr:from>
    <xdr:to>
      <xdr:col>52</xdr:col>
      <xdr:colOff>0</xdr:colOff>
      <xdr:row>13</xdr:row>
      <xdr:rowOff>9525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8140212" y="2571750"/>
          <a:ext cx="0" cy="26596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95250</xdr:colOff>
      <xdr:row>8</xdr:row>
      <xdr:rowOff>190500</xdr:rowOff>
    </xdr:from>
    <xdr:to>
      <xdr:col>50</xdr:col>
      <xdr:colOff>95250</xdr:colOff>
      <xdr:row>11</xdr:row>
      <xdr:rowOff>95250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7905750" y="2314575"/>
          <a:ext cx="0" cy="3524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76201</xdr:colOff>
      <xdr:row>11</xdr:row>
      <xdr:rowOff>102577</xdr:rowOff>
    </xdr:from>
    <xdr:to>
      <xdr:col>50</xdr:col>
      <xdr:colOff>102577</xdr:colOff>
      <xdr:row>11</xdr:row>
      <xdr:rowOff>104775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6882913" y="2681654"/>
          <a:ext cx="920260" cy="219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76200</xdr:colOff>
      <xdr:row>11</xdr:row>
      <xdr:rowOff>114300</xdr:rowOff>
    </xdr:from>
    <xdr:to>
      <xdr:col>43</xdr:col>
      <xdr:colOff>85725</xdr:colOff>
      <xdr:row>13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7000875" y="2686050"/>
          <a:ext cx="9525" cy="1333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9</xdr:row>
      <xdr:rowOff>19050</xdr:rowOff>
    </xdr:from>
    <xdr:to>
      <xdr:col>62</xdr:col>
      <xdr:colOff>0</xdr:colOff>
      <xdr:row>13</xdr:row>
      <xdr:rowOff>9525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9791700" y="2343150"/>
          <a:ext cx="0" cy="485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9525</xdr:colOff>
      <xdr:row>16</xdr:row>
      <xdr:rowOff>190500</xdr:rowOff>
    </xdr:from>
    <xdr:to>
      <xdr:col>52</xdr:col>
      <xdr:colOff>9525</xdr:colOff>
      <xdr:row>20</xdr:row>
      <xdr:rowOff>19050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8258175" y="4010025"/>
          <a:ext cx="0" cy="4000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</xdr:colOff>
      <xdr:row>20</xdr:row>
      <xdr:rowOff>0</xdr:rowOff>
    </xdr:from>
    <xdr:to>
      <xdr:col>52</xdr:col>
      <xdr:colOff>1</xdr:colOff>
      <xdr:row>20</xdr:row>
      <xdr:rowOff>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CxnSpPr/>
      </xdr:nvCxnSpPr>
      <xdr:spPr>
        <a:xfrm flipH="1">
          <a:off x="5191125" y="4391025"/>
          <a:ext cx="305752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</xdr:colOff>
      <xdr:row>20</xdr:row>
      <xdr:rowOff>9525</xdr:rowOff>
    </xdr:from>
    <xdr:to>
      <xdr:col>32</xdr:col>
      <xdr:colOff>28576</xdr:colOff>
      <xdr:row>22</xdr:row>
      <xdr:rowOff>95250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/>
      </xdr:nvCxnSpPr>
      <xdr:spPr>
        <a:xfrm flipH="1">
          <a:off x="5191125" y="4400550"/>
          <a:ext cx="1" cy="3333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171450</xdr:colOff>
      <xdr:row>17</xdr:row>
      <xdr:rowOff>0</xdr:rowOff>
    </xdr:from>
    <xdr:to>
      <xdr:col>61</xdr:col>
      <xdr:colOff>171450</xdr:colOff>
      <xdr:row>20</xdr:row>
      <xdr:rowOff>76200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CxnSpPr/>
      </xdr:nvCxnSpPr>
      <xdr:spPr>
        <a:xfrm>
          <a:off x="9744075" y="4019550"/>
          <a:ext cx="0" cy="4476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85725</xdr:colOff>
      <xdr:row>20</xdr:row>
      <xdr:rowOff>85725</xdr:rowOff>
    </xdr:from>
    <xdr:to>
      <xdr:col>61</xdr:col>
      <xdr:colOff>180975</xdr:colOff>
      <xdr:row>20</xdr:row>
      <xdr:rowOff>85725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/>
      </xdr:nvCxnSpPr>
      <xdr:spPr>
        <a:xfrm flipH="1">
          <a:off x="6791325" y="4476750"/>
          <a:ext cx="296227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85725</xdr:colOff>
      <xdr:row>20</xdr:row>
      <xdr:rowOff>85725</xdr:rowOff>
    </xdr:from>
    <xdr:to>
      <xdr:col>42</xdr:col>
      <xdr:colOff>85725</xdr:colOff>
      <xdr:row>23</xdr:row>
      <xdr:rowOff>9525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CxnSpPr/>
      </xdr:nvCxnSpPr>
      <xdr:spPr>
        <a:xfrm>
          <a:off x="6791325" y="4476750"/>
          <a:ext cx="0" cy="2952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152400</xdr:colOff>
      <xdr:row>16</xdr:row>
      <xdr:rowOff>190500</xdr:rowOff>
    </xdr:from>
    <xdr:to>
      <xdr:col>53</xdr:col>
      <xdr:colOff>152400</xdr:colOff>
      <xdr:row>22</xdr:row>
      <xdr:rowOff>114300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>
          <a:off x="8620125" y="4010025"/>
          <a:ext cx="0" cy="7429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14</xdr:row>
      <xdr:rowOff>395654</xdr:rowOff>
    </xdr:from>
    <xdr:to>
      <xdr:col>49</xdr:col>
      <xdr:colOff>19051</xdr:colOff>
      <xdr:row>14</xdr:row>
      <xdr:rowOff>400051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CxnSpPr/>
      </xdr:nvCxnSpPr>
      <xdr:spPr>
        <a:xfrm flipH="1" flipV="1">
          <a:off x="7363558" y="3414346"/>
          <a:ext cx="136281" cy="439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14</xdr:row>
      <xdr:rowOff>409575</xdr:rowOff>
    </xdr:from>
    <xdr:to>
      <xdr:col>47</xdr:col>
      <xdr:colOff>0</xdr:colOff>
      <xdr:row>29</xdr:row>
      <xdr:rowOff>104775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CxnSpPr/>
      </xdr:nvCxnSpPr>
      <xdr:spPr>
        <a:xfrm>
          <a:off x="7477125" y="3419475"/>
          <a:ext cx="0" cy="28956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133350</xdr:colOff>
      <xdr:row>29</xdr:row>
      <xdr:rowOff>104775</xdr:rowOff>
    </xdr:from>
    <xdr:to>
      <xdr:col>47</xdr:col>
      <xdr:colOff>7327</xdr:colOff>
      <xdr:row>29</xdr:row>
      <xdr:rowOff>109903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/>
      </xdr:nvCxnSpPr>
      <xdr:spPr>
        <a:xfrm flipH="1" flipV="1">
          <a:off x="5166946" y="6332660"/>
          <a:ext cx="2203939" cy="512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142875</xdr:colOff>
      <xdr:row>29</xdr:row>
      <xdr:rowOff>85725</xdr:rowOff>
    </xdr:from>
    <xdr:to>
      <xdr:col>32</xdr:col>
      <xdr:colOff>142875</xdr:colOff>
      <xdr:row>31</xdr:row>
      <xdr:rowOff>19050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CxnSpPr/>
      </xdr:nvCxnSpPr>
      <xdr:spPr>
        <a:xfrm>
          <a:off x="5305425" y="6296025"/>
          <a:ext cx="0" cy="1809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9525</xdr:colOff>
      <xdr:row>27</xdr:row>
      <xdr:rowOff>9525</xdr:rowOff>
    </xdr:from>
    <xdr:to>
      <xdr:col>42</xdr:col>
      <xdr:colOff>9525</xdr:colOff>
      <xdr:row>31</xdr:row>
      <xdr:rowOff>9525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CxnSpPr/>
      </xdr:nvCxnSpPr>
      <xdr:spPr>
        <a:xfrm>
          <a:off x="6715125" y="597217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28575</xdr:colOff>
      <xdr:row>26</xdr:row>
      <xdr:rowOff>190500</xdr:rowOff>
    </xdr:from>
    <xdr:to>
      <xdr:col>52</xdr:col>
      <xdr:colOff>28575</xdr:colOff>
      <xdr:row>30</xdr:row>
      <xdr:rowOff>114300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>
          <a:off x="8277225" y="595312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209550</xdr:colOff>
      <xdr:row>27</xdr:row>
      <xdr:rowOff>9525</xdr:rowOff>
    </xdr:from>
    <xdr:to>
      <xdr:col>61</xdr:col>
      <xdr:colOff>209550</xdr:colOff>
      <xdr:row>31</xdr:row>
      <xdr:rowOff>9525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>
          <a:off x="9782175" y="597217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35</xdr:row>
      <xdr:rowOff>9525</xdr:rowOff>
    </xdr:from>
    <xdr:to>
      <xdr:col>62</xdr:col>
      <xdr:colOff>0</xdr:colOff>
      <xdr:row>38</xdr:row>
      <xdr:rowOff>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/>
      </xdr:nvCxnSpPr>
      <xdr:spPr>
        <a:xfrm>
          <a:off x="9791700" y="7667625"/>
          <a:ext cx="0" cy="3619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95250</xdr:colOff>
      <xdr:row>38</xdr:row>
      <xdr:rowOff>9525</xdr:rowOff>
    </xdr:from>
    <xdr:to>
      <xdr:col>62</xdr:col>
      <xdr:colOff>19050</xdr:colOff>
      <xdr:row>38</xdr:row>
      <xdr:rowOff>9525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 flipH="1">
          <a:off x="8343900" y="8039100"/>
          <a:ext cx="14668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104776</xdr:colOff>
      <xdr:row>38</xdr:row>
      <xdr:rowOff>19050</xdr:rowOff>
    </xdr:from>
    <xdr:to>
      <xdr:col>52</xdr:col>
      <xdr:colOff>104776</xdr:colOff>
      <xdr:row>41</xdr:row>
      <xdr:rowOff>19050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/>
      </xdr:nvCxnSpPr>
      <xdr:spPr>
        <a:xfrm>
          <a:off x="8353426" y="8048625"/>
          <a:ext cx="0" cy="3714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28575</xdr:colOff>
      <xdr:row>34</xdr:row>
      <xdr:rowOff>190500</xdr:rowOff>
    </xdr:from>
    <xdr:to>
      <xdr:col>63</xdr:col>
      <xdr:colOff>28575</xdr:colOff>
      <xdr:row>41</xdr:row>
      <xdr:rowOff>9525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/>
      </xdr:nvCxnSpPr>
      <xdr:spPr>
        <a:xfrm>
          <a:off x="10039350" y="7648575"/>
          <a:ext cx="0" cy="762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139212</xdr:colOff>
      <xdr:row>45</xdr:row>
      <xdr:rowOff>0</xdr:rowOff>
    </xdr:from>
    <xdr:to>
      <xdr:col>41</xdr:col>
      <xdr:colOff>142876</xdr:colOff>
      <xdr:row>47</xdr:row>
      <xdr:rowOff>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>
          <a:off x="6506308" y="9620250"/>
          <a:ext cx="3664" cy="24911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47</xdr:row>
      <xdr:rowOff>0</xdr:rowOff>
    </xdr:from>
    <xdr:to>
      <xdr:col>41</xdr:col>
      <xdr:colOff>152400</xdr:colOff>
      <xdr:row>47</xdr:row>
      <xdr:rowOff>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 flipH="1">
          <a:off x="5172075" y="9839325"/>
          <a:ext cx="14668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46</xdr:row>
      <xdr:rowOff>114300</xdr:rowOff>
    </xdr:from>
    <xdr:to>
      <xdr:col>32</xdr:col>
      <xdr:colOff>9526</xdr:colOff>
      <xdr:row>49</xdr:row>
      <xdr:rowOff>9525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/>
      </xdr:nvCxnSpPr>
      <xdr:spPr>
        <a:xfrm flipH="1">
          <a:off x="5172075" y="9829800"/>
          <a:ext cx="1" cy="2667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14654</xdr:colOff>
      <xdr:row>32</xdr:row>
      <xdr:rowOff>400050</xdr:rowOff>
    </xdr:from>
    <xdr:to>
      <xdr:col>48</xdr:col>
      <xdr:colOff>38101</xdr:colOff>
      <xdr:row>32</xdr:row>
      <xdr:rowOff>402981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CxnSpPr/>
      </xdr:nvCxnSpPr>
      <xdr:spPr>
        <a:xfrm flipH="1">
          <a:off x="7378212" y="7067550"/>
          <a:ext cx="82062" cy="293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9525</xdr:colOff>
      <xdr:row>32</xdr:row>
      <xdr:rowOff>400050</xdr:rowOff>
    </xdr:from>
    <xdr:to>
      <xdr:col>47</xdr:col>
      <xdr:colOff>19050</xdr:colOff>
      <xdr:row>47</xdr:row>
      <xdr:rowOff>76200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CxnSpPr/>
      </xdr:nvCxnSpPr>
      <xdr:spPr>
        <a:xfrm>
          <a:off x="7486650" y="7048500"/>
          <a:ext cx="9525" cy="28670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161192</xdr:colOff>
      <xdr:row>47</xdr:row>
      <xdr:rowOff>65943</xdr:rowOff>
    </xdr:from>
    <xdr:to>
      <xdr:col>47</xdr:col>
      <xdr:colOff>28575</xdr:colOff>
      <xdr:row>47</xdr:row>
      <xdr:rowOff>66675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CxnSpPr/>
      </xdr:nvCxnSpPr>
      <xdr:spPr>
        <a:xfrm flipH="1" flipV="1">
          <a:off x="6748096" y="9935308"/>
          <a:ext cx="644037" cy="73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161925</xdr:colOff>
      <xdr:row>47</xdr:row>
      <xdr:rowOff>66675</xdr:rowOff>
    </xdr:from>
    <xdr:to>
      <xdr:col>42</xdr:col>
      <xdr:colOff>171450</xdr:colOff>
      <xdr:row>48</xdr:row>
      <xdr:rowOff>114300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CxnSpPr/>
      </xdr:nvCxnSpPr>
      <xdr:spPr>
        <a:xfrm>
          <a:off x="6867525" y="9906000"/>
          <a:ext cx="9525" cy="171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9525</xdr:colOff>
      <xdr:row>24</xdr:row>
      <xdr:rowOff>329711</xdr:rowOff>
    </xdr:from>
    <xdr:to>
      <xdr:col>67</xdr:col>
      <xdr:colOff>29308</xdr:colOff>
      <xdr:row>24</xdr:row>
      <xdr:rowOff>333375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CxnSpPr/>
      </xdr:nvCxnSpPr>
      <xdr:spPr>
        <a:xfrm flipV="1">
          <a:off x="10362467" y="5297365"/>
          <a:ext cx="137014" cy="366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9525</xdr:colOff>
      <xdr:row>24</xdr:row>
      <xdr:rowOff>342900</xdr:rowOff>
    </xdr:from>
    <xdr:to>
      <xdr:col>67</xdr:col>
      <xdr:colOff>28575</xdr:colOff>
      <xdr:row>65</xdr:row>
      <xdr:rowOff>9525</xdr:rowOff>
    </xdr:to>
    <xdr:cxnSp macro="">
      <xdr:nvCxnSpPr>
        <xdr:cNvPr id="159" name="Straight Connector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CxnSpPr/>
      </xdr:nvCxnSpPr>
      <xdr:spPr>
        <a:xfrm flipH="1">
          <a:off x="10572750" y="5295900"/>
          <a:ext cx="19050" cy="81915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156882</xdr:colOff>
      <xdr:row>64</xdr:row>
      <xdr:rowOff>112059</xdr:rowOff>
    </xdr:from>
    <xdr:to>
      <xdr:col>67</xdr:col>
      <xdr:colOff>28576</xdr:colOff>
      <xdr:row>65</xdr:row>
      <xdr:rowOff>9526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H="1" flipV="1">
          <a:off x="3597088" y="13435853"/>
          <a:ext cx="7155517" cy="2073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161925</xdr:colOff>
      <xdr:row>65</xdr:row>
      <xdr:rowOff>0</xdr:rowOff>
    </xdr:from>
    <xdr:to>
      <xdr:col>21</xdr:col>
      <xdr:colOff>171450</xdr:colOff>
      <xdr:row>67</xdr:row>
      <xdr:rowOff>9525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/>
      </xdr:nvCxnSpPr>
      <xdr:spPr>
        <a:xfrm flipH="1">
          <a:off x="3562350" y="13477875"/>
          <a:ext cx="9525" cy="2571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205154</xdr:colOff>
      <xdr:row>47</xdr:row>
      <xdr:rowOff>28575</xdr:rowOff>
    </xdr:from>
    <xdr:to>
      <xdr:col>67</xdr:col>
      <xdr:colOff>9525</xdr:colOff>
      <xdr:row>47</xdr:row>
      <xdr:rowOff>29308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 flipH="1">
          <a:off x="8125558" y="9897940"/>
          <a:ext cx="2354140" cy="733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209550</xdr:colOff>
      <xdr:row>47</xdr:row>
      <xdr:rowOff>38100</xdr:rowOff>
    </xdr:from>
    <xdr:to>
      <xdr:col>51</xdr:col>
      <xdr:colOff>209550</xdr:colOff>
      <xdr:row>49</xdr:row>
      <xdr:rowOff>9525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/>
      </xdr:nvCxnSpPr>
      <xdr:spPr>
        <a:xfrm>
          <a:off x="8239125" y="9877425"/>
          <a:ext cx="0" cy="2190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</xdr:colOff>
      <xdr:row>24</xdr:row>
      <xdr:rowOff>447675</xdr:rowOff>
    </xdr:from>
    <xdr:to>
      <xdr:col>18</xdr:col>
      <xdr:colOff>38100</xdr:colOff>
      <xdr:row>24</xdr:row>
      <xdr:rowOff>457200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/>
      </xdr:nvCxnSpPr>
      <xdr:spPr>
        <a:xfrm flipH="1" flipV="1">
          <a:off x="2819400" y="5400675"/>
          <a:ext cx="12382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</xdr:colOff>
      <xdr:row>24</xdr:row>
      <xdr:rowOff>428625</xdr:rowOff>
    </xdr:from>
    <xdr:to>
      <xdr:col>17</xdr:col>
      <xdr:colOff>7327</xdr:colOff>
      <xdr:row>46</xdr:row>
      <xdr:rowOff>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>
          <a:off x="2673594" y="5396279"/>
          <a:ext cx="37368" cy="434852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14653</xdr:colOff>
      <xdr:row>46</xdr:row>
      <xdr:rowOff>0</xdr:rowOff>
    </xdr:from>
    <xdr:to>
      <xdr:col>61</xdr:col>
      <xdr:colOff>123825</xdr:colOff>
      <xdr:row>46</xdr:row>
      <xdr:rowOff>9525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/>
      </xdr:nvCxnSpPr>
      <xdr:spPr>
        <a:xfrm>
          <a:off x="2718288" y="9744808"/>
          <a:ext cx="6879249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117230</xdr:colOff>
      <xdr:row>46</xdr:row>
      <xdr:rowOff>14654</xdr:rowOff>
    </xdr:from>
    <xdr:to>
      <xdr:col>61</xdr:col>
      <xdr:colOff>123825</xdr:colOff>
      <xdr:row>49</xdr:row>
      <xdr:rowOff>9525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CxnSpPr/>
      </xdr:nvCxnSpPr>
      <xdr:spPr>
        <a:xfrm>
          <a:off x="9590942" y="9759462"/>
          <a:ext cx="6595" cy="36854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19050</xdr:colOff>
      <xdr:row>32</xdr:row>
      <xdr:rowOff>295275</xdr:rowOff>
    </xdr:from>
    <xdr:to>
      <xdr:col>58</xdr:col>
      <xdr:colOff>38100</xdr:colOff>
      <xdr:row>32</xdr:row>
      <xdr:rowOff>295275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CxnSpPr/>
      </xdr:nvCxnSpPr>
      <xdr:spPr>
        <a:xfrm flipH="1">
          <a:off x="9039225" y="6943725"/>
          <a:ext cx="762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14654</xdr:colOff>
      <xdr:row>32</xdr:row>
      <xdr:rowOff>300404</xdr:rowOff>
    </xdr:from>
    <xdr:to>
      <xdr:col>57</xdr:col>
      <xdr:colOff>28575</xdr:colOff>
      <xdr:row>56</xdr:row>
      <xdr:rowOff>28575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/>
      </xdr:nvCxnSpPr>
      <xdr:spPr>
        <a:xfrm>
          <a:off x="8931519" y="6967904"/>
          <a:ext cx="13921" cy="47544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209550</xdr:colOff>
      <xdr:row>56</xdr:row>
      <xdr:rowOff>19050</xdr:rowOff>
    </xdr:from>
    <xdr:to>
      <xdr:col>57</xdr:col>
      <xdr:colOff>38100</xdr:colOff>
      <xdr:row>56</xdr:row>
      <xdr:rowOff>19050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CxnSpPr/>
      </xdr:nvCxnSpPr>
      <xdr:spPr>
        <a:xfrm flipH="1">
          <a:off x="5153025" y="11677650"/>
          <a:ext cx="39052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200025</xdr:colOff>
      <xdr:row>56</xdr:row>
      <xdr:rowOff>28575</xdr:rowOff>
    </xdr:from>
    <xdr:to>
      <xdr:col>31</xdr:col>
      <xdr:colOff>200025</xdr:colOff>
      <xdr:row>59</xdr:row>
      <xdr:rowOff>0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/>
      </xdr:nvCxnSpPr>
      <xdr:spPr>
        <a:xfrm>
          <a:off x="5143500" y="11687175"/>
          <a:ext cx="0" cy="3429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21980</xdr:colOff>
      <xdr:row>52</xdr:row>
      <xdr:rowOff>197396</xdr:rowOff>
    </xdr:from>
    <xdr:to>
      <xdr:col>52</xdr:col>
      <xdr:colOff>23491</xdr:colOff>
      <xdr:row>55</xdr:row>
      <xdr:rowOff>29307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CxnSpPr/>
      </xdr:nvCxnSpPr>
      <xdr:spPr>
        <a:xfrm flipH="1">
          <a:off x="8162192" y="11319665"/>
          <a:ext cx="1511" cy="27885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14654</xdr:colOff>
      <xdr:row>55</xdr:row>
      <xdr:rowOff>25774</xdr:rowOff>
    </xdr:from>
    <xdr:to>
      <xdr:col>52</xdr:col>
      <xdr:colOff>21293</xdr:colOff>
      <xdr:row>55</xdr:row>
      <xdr:rowOff>29307</xdr:rowOff>
    </xdr:to>
    <xdr:cxnSp macro="">
      <xdr:nvCxnSpPr>
        <xdr:cNvPr id="166" name="Straight Connector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CxnSpPr/>
      </xdr:nvCxnSpPr>
      <xdr:spPr>
        <a:xfrm flipH="1">
          <a:off x="6601558" y="11594986"/>
          <a:ext cx="1559947" cy="353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9525</xdr:colOff>
      <xdr:row>55</xdr:row>
      <xdr:rowOff>22412</xdr:rowOff>
    </xdr:from>
    <xdr:to>
      <xdr:col>42</xdr:col>
      <xdr:colOff>11205</xdr:colOff>
      <xdr:row>58</xdr:row>
      <xdr:rowOff>112620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CxnSpPr/>
      </xdr:nvCxnSpPr>
      <xdr:spPr>
        <a:xfrm flipH="1">
          <a:off x="6811496" y="11530853"/>
          <a:ext cx="1680" cy="46000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56</xdr:row>
      <xdr:rowOff>33618</xdr:rowOff>
    </xdr:from>
    <xdr:to>
      <xdr:col>37</xdr:col>
      <xdr:colOff>11207</xdr:colOff>
      <xdr:row>65</xdr:row>
      <xdr:rowOff>87923</xdr:rowOff>
    </xdr:to>
    <xdr:cxnSp macro="">
      <xdr:nvCxnSpPr>
        <xdr:cNvPr id="172" name="Straight Connector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CxnSpPr/>
      </xdr:nvCxnSpPr>
      <xdr:spPr>
        <a:xfrm flipH="1">
          <a:off x="5810250" y="11727387"/>
          <a:ext cx="11207" cy="1878709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11206</xdr:colOff>
      <xdr:row>65</xdr:row>
      <xdr:rowOff>89647</xdr:rowOff>
    </xdr:from>
    <xdr:to>
      <xdr:col>37</xdr:col>
      <xdr:colOff>0</xdr:colOff>
      <xdr:row>65</xdr:row>
      <xdr:rowOff>89647</xdr:rowOff>
    </xdr:to>
    <xdr:cxnSp macro="">
      <xdr:nvCxnSpPr>
        <xdr:cNvPr id="174" name="Straight Connector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CxnSpPr/>
      </xdr:nvCxnSpPr>
      <xdr:spPr>
        <a:xfrm flipH="1">
          <a:off x="5244353" y="13536706"/>
          <a:ext cx="77320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65</xdr:row>
      <xdr:rowOff>78441</xdr:rowOff>
    </xdr:from>
    <xdr:to>
      <xdr:col>32</xdr:col>
      <xdr:colOff>1</xdr:colOff>
      <xdr:row>67</xdr:row>
      <xdr:rowOff>22412</xdr:rowOff>
    </xdr:to>
    <xdr:cxnSp macro="">
      <xdr:nvCxnSpPr>
        <xdr:cNvPr id="176" name="Straight Arrow Connector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CxnSpPr/>
      </xdr:nvCxnSpPr>
      <xdr:spPr>
        <a:xfrm>
          <a:off x="5233147" y="13525500"/>
          <a:ext cx="1" cy="190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43961</xdr:colOff>
      <xdr:row>42</xdr:row>
      <xdr:rowOff>359020</xdr:rowOff>
    </xdr:from>
    <xdr:to>
      <xdr:col>48</xdr:col>
      <xdr:colOff>58615</xdr:colOff>
      <xdr:row>42</xdr:row>
      <xdr:rowOff>366346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CxnSpPr/>
      </xdr:nvCxnSpPr>
      <xdr:spPr>
        <a:xfrm flipH="1">
          <a:off x="7290288" y="8975482"/>
          <a:ext cx="190500" cy="732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44823</xdr:colOff>
      <xdr:row>42</xdr:row>
      <xdr:rowOff>358588</xdr:rowOff>
    </xdr:from>
    <xdr:to>
      <xdr:col>46</xdr:col>
      <xdr:colOff>14654</xdr:colOff>
      <xdr:row>65</xdr:row>
      <xdr:rowOff>73269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CxnSpPr/>
      </xdr:nvCxnSpPr>
      <xdr:spPr>
        <a:xfrm>
          <a:off x="7291150" y="8975050"/>
          <a:ext cx="28446" cy="461639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65</xdr:row>
      <xdr:rowOff>73269</xdr:rowOff>
    </xdr:from>
    <xdr:to>
      <xdr:col>46</xdr:col>
      <xdr:colOff>21981</xdr:colOff>
      <xdr:row>65</xdr:row>
      <xdr:rowOff>73270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CxnSpPr/>
      </xdr:nvCxnSpPr>
      <xdr:spPr>
        <a:xfrm flipH="1">
          <a:off x="6586904" y="13591442"/>
          <a:ext cx="740019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7327</xdr:colOff>
      <xdr:row>65</xdr:row>
      <xdr:rowOff>80596</xdr:rowOff>
    </xdr:from>
    <xdr:to>
      <xdr:col>42</xdr:col>
      <xdr:colOff>22411</xdr:colOff>
      <xdr:row>66</xdr:row>
      <xdr:rowOff>100852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CxnSpPr/>
      </xdr:nvCxnSpPr>
      <xdr:spPr>
        <a:xfrm>
          <a:off x="6594231" y="13598769"/>
          <a:ext cx="15084" cy="14481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172011</xdr:colOff>
      <xdr:row>70</xdr:row>
      <xdr:rowOff>174812</xdr:rowOff>
    </xdr:from>
    <xdr:to>
      <xdr:col>31</xdr:col>
      <xdr:colOff>179294</xdr:colOff>
      <xdr:row>73</xdr:row>
      <xdr:rowOff>44824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CxnSpPr/>
      </xdr:nvCxnSpPr>
      <xdr:spPr>
        <a:xfrm>
          <a:off x="5024158" y="14865724"/>
          <a:ext cx="7283" cy="31824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174811</xdr:colOff>
      <xdr:row>73</xdr:row>
      <xdr:rowOff>33618</xdr:rowOff>
    </xdr:from>
    <xdr:to>
      <xdr:col>31</xdr:col>
      <xdr:colOff>179294</xdr:colOff>
      <xdr:row>73</xdr:row>
      <xdr:rowOff>40342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CxnSpPr/>
      </xdr:nvCxnSpPr>
      <xdr:spPr>
        <a:xfrm flipH="1">
          <a:off x="3458135" y="15172765"/>
          <a:ext cx="1573306" cy="672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184337</xdr:colOff>
      <xdr:row>73</xdr:row>
      <xdr:rowOff>29136</xdr:rowOff>
    </xdr:from>
    <xdr:to>
      <xdr:col>21</xdr:col>
      <xdr:colOff>186017</xdr:colOff>
      <xdr:row>76</xdr:row>
      <xdr:rowOff>119344</xdr:rowOff>
    </xdr:to>
    <xdr:cxnSp macro="">
      <xdr:nvCxnSpPr>
        <xdr:cNvPr id="191" name="Straight Arrow Connector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CxnSpPr/>
      </xdr:nvCxnSpPr>
      <xdr:spPr>
        <a:xfrm flipH="1">
          <a:off x="3624543" y="15168283"/>
          <a:ext cx="1680" cy="46000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51288</xdr:colOff>
      <xdr:row>73</xdr:row>
      <xdr:rowOff>33618</xdr:rowOff>
    </xdr:from>
    <xdr:to>
      <xdr:col>27</xdr:col>
      <xdr:colOff>1</xdr:colOff>
      <xdr:row>83</xdr:row>
      <xdr:rowOff>7327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CxnSpPr/>
      </xdr:nvCxnSpPr>
      <xdr:spPr>
        <a:xfrm flipH="1">
          <a:off x="4249615" y="15251637"/>
          <a:ext cx="7328" cy="1922671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11207</xdr:colOff>
      <xdr:row>83</xdr:row>
      <xdr:rowOff>7327</xdr:rowOff>
    </xdr:from>
    <xdr:to>
      <xdr:col>26</xdr:col>
      <xdr:colOff>43961</xdr:colOff>
      <xdr:row>83</xdr:row>
      <xdr:rowOff>11205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CxnSpPr/>
      </xdr:nvCxnSpPr>
      <xdr:spPr>
        <a:xfrm flipH="1">
          <a:off x="3491495" y="17174308"/>
          <a:ext cx="750793" cy="387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212912</xdr:colOff>
      <xdr:row>82</xdr:row>
      <xdr:rowOff>123264</xdr:rowOff>
    </xdr:from>
    <xdr:to>
      <xdr:col>22</xdr:col>
      <xdr:colOff>0</xdr:colOff>
      <xdr:row>85</xdr:row>
      <xdr:rowOff>22412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CxnSpPr/>
      </xdr:nvCxnSpPr>
      <xdr:spPr>
        <a:xfrm flipH="1">
          <a:off x="3653118" y="17077764"/>
          <a:ext cx="11206" cy="26894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201706</xdr:colOff>
      <xdr:row>81</xdr:row>
      <xdr:rowOff>0</xdr:rowOff>
    </xdr:from>
    <xdr:to>
      <xdr:col>51</xdr:col>
      <xdr:colOff>201706</xdr:colOff>
      <xdr:row>84</xdr:row>
      <xdr:rowOff>123264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CxnSpPr/>
      </xdr:nvCxnSpPr>
      <xdr:spPr>
        <a:xfrm>
          <a:off x="8348382" y="16831235"/>
          <a:ext cx="0" cy="4930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38100</xdr:colOff>
      <xdr:row>14</xdr:row>
      <xdr:rowOff>390525</xdr:rowOff>
    </xdr:from>
    <xdr:to>
      <xdr:col>48</xdr:col>
      <xdr:colOff>47626</xdr:colOff>
      <xdr:row>14</xdr:row>
      <xdr:rowOff>390526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/>
      </xdr:nvCxnSpPr>
      <xdr:spPr>
        <a:xfrm flipH="1" flipV="1">
          <a:off x="7296150" y="3400425"/>
          <a:ext cx="123826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12439650" y="4953000"/>
          <a:ext cx="0" cy="350767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89876</xdr:colOff>
      <xdr:row>9</xdr:row>
      <xdr:rowOff>7327</xdr:rowOff>
    </xdr:from>
    <xdr:to>
      <xdr:col>31</xdr:col>
      <xdr:colOff>89876</xdr:colOff>
      <xdr:row>9</xdr:row>
      <xdr:rowOff>121627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4903664" y="2337289"/>
          <a:ext cx="0" cy="1143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219807</xdr:colOff>
      <xdr:row>9</xdr:row>
      <xdr:rowOff>117230</xdr:rowOff>
    </xdr:from>
    <xdr:to>
      <xdr:col>31</xdr:col>
      <xdr:colOff>101600</xdr:colOff>
      <xdr:row>9</xdr:row>
      <xdr:rowOff>117230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H="1">
          <a:off x="3480288" y="2447192"/>
          <a:ext cx="14351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</xdr:colOff>
      <xdr:row>10</xdr:row>
      <xdr:rowOff>6350</xdr:rowOff>
    </xdr:from>
    <xdr:to>
      <xdr:col>22</xdr:col>
      <xdr:colOff>9526</xdr:colOff>
      <xdr:row>13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H="1">
          <a:off x="3629025" y="2454275"/>
          <a:ext cx="1" cy="365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209550</xdr:colOff>
      <xdr:row>9</xdr:row>
      <xdr:rowOff>9525</xdr:rowOff>
    </xdr:from>
    <xdr:to>
      <xdr:col>41</xdr:col>
      <xdr:colOff>209550</xdr:colOff>
      <xdr:row>13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696075" y="233362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209550</xdr:colOff>
      <xdr:row>11</xdr:row>
      <xdr:rowOff>0</xdr:rowOff>
    </xdr:from>
    <xdr:to>
      <xdr:col>52</xdr:col>
      <xdr:colOff>38100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696075" y="2571750"/>
          <a:ext cx="1590675" cy="0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28575</xdr:colOff>
      <xdr:row>11</xdr:row>
      <xdr:rowOff>9525</xdr:rowOff>
    </xdr:from>
    <xdr:to>
      <xdr:col>52</xdr:col>
      <xdr:colOff>38100</xdr:colOff>
      <xdr:row>13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8277225" y="2581275"/>
          <a:ext cx="9525" cy="238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85725</xdr:colOff>
      <xdr:row>9</xdr:row>
      <xdr:rowOff>0</xdr:rowOff>
    </xdr:from>
    <xdr:to>
      <xdr:col>51</xdr:col>
      <xdr:colOff>85725</xdr:colOff>
      <xdr:row>11</xdr:row>
      <xdr:rowOff>104775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8115300" y="2324100"/>
          <a:ext cx="0" cy="3524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66675</xdr:colOff>
      <xdr:row>11</xdr:row>
      <xdr:rowOff>109904</xdr:rowOff>
    </xdr:from>
    <xdr:to>
      <xdr:col>51</xdr:col>
      <xdr:colOff>95250</xdr:colOff>
      <xdr:row>11</xdr:row>
      <xdr:rowOff>114300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>
          <a:off x="7093194" y="2688981"/>
          <a:ext cx="922460" cy="439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66675</xdr:colOff>
      <xdr:row>12</xdr:row>
      <xdr:rowOff>0</xdr:rowOff>
    </xdr:from>
    <xdr:to>
      <xdr:col>44</xdr:col>
      <xdr:colOff>76200</xdr:colOff>
      <xdr:row>13</xdr:row>
      <xdr:rowOff>9525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210425" y="2695575"/>
          <a:ext cx="9525" cy="1333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28575</xdr:colOff>
      <xdr:row>9</xdr:row>
      <xdr:rowOff>9525</xdr:rowOff>
    </xdr:from>
    <xdr:to>
      <xdr:col>62</xdr:col>
      <xdr:colOff>28575</xdr:colOff>
      <xdr:row>13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9820275" y="2333625"/>
          <a:ext cx="0" cy="485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142875</xdr:colOff>
      <xdr:row>16</xdr:row>
      <xdr:rowOff>197094</xdr:rowOff>
    </xdr:from>
    <xdr:to>
      <xdr:col>51</xdr:col>
      <xdr:colOff>142875</xdr:colOff>
      <xdr:row>20</xdr:row>
      <xdr:rowOff>27842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8063279" y="4029075"/>
          <a:ext cx="0" cy="40224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161925</xdr:colOff>
      <xdr:row>20</xdr:row>
      <xdr:rowOff>29307</xdr:rowOff>
    </xdr:from>
    <xdr:to>
      <xdr:col>51</xdr:col>
      <xdr:colOff>153865</xdr:colOff>
      <xdr:row>20</xdr:row>
      <xdr:rowOff>38100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 flipH="1">
          <a:off x="4975713" y="4432788"/>
          <a:ext cx="3098556" cy="879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161925</xdr:colOff>
      <xdr:row>20</xdr:row>
      <xdr:rowOff>47625</xdr:rowOff>
    </xdr:from>
    <xdr:to>
      <xdr:col>31</xdr:col>
      <xdr:colOff>161926</xdr:colOff>
      <xdr:row>23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 flipH="1">
          <a:off x="5105400" y="4438650"/>
          <a:ext cx="1" cy="3333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152400</xdr:colOff>
      <xdr:row>17</xdr:row>
      <xdr:rowOff>19050</xdr:rowOff>
    </xdr:from>
    <xdr:to>
      <xdr:col>61</xdr:col>
      <xdr:colOff>152400</xdr:colOff>
      <xdr:row>20</xdr:row>
      <xdr:rowOff>95250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9725025" y="4038600"/>
          <a:ext cx="0" cy="4476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66675</xdr:colOff>
      <xdr:row>20</xdr:row>
      <xdr:rowOff>104775</xdr:rowOff>
    </xdr:from>
    <xdr:to>
      <xdr:col>61</xdr:col>
      <xdr:colOff>161925</xdr:colOff>
      <xdr:row>20</xdr:row>
      <xdr:rowOff>104775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 flipH="1">
          <a:off x="6772275" y="4495800"/>
          <a:ext cx="296227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66675</xdr:colOff>
      <xdr:row>20</xdr:row>
      <xdr:rowOff>104775</xdr:rowOff>
    </xdr:from>
    <xdr:to>
      <xdr:col>42</xdr:col>
      <xdr:colOff>66675</xdr:colOff>
      <xdr:row>23</xdr:row>
      <xdr:rowOff>28575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6772275" y="4495800"/>
          <a:ext cx="0" cy="2952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47625</xdr:colOff>
      <xdr:row>17</xdr:row>
      <xdr:rowOff>9525</xdr:rowOff>
    </xdr:from>
    <xdr:to>
      <xdr:col>53</xdr:col>
      <xdr:colOff>47625</xdr:colOff>
      <xdr:row>23</xdr:row>
      <xdr:rowOff>9525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8515350" y="4029075"/>
          <a:ext cx="0" cy="7429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38100</xdr:colOff>
      <xdr:row>14</xdr:row>
      <xdr:rowOff>390525</xdr:rowOff>
    </xdr:from>
    <xdr:to>
      <xdr:col>48</xdr:col>
      <xdr:colOff>47626</xdr:colOff>
      <xdr:row>14</xdr:row>
      <xdr:rowOff>390526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H="1" flipV="1">
          <a:off x="7458075" y="3400425"/>
          <a:ext cx="123826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28575</xdr:colOff>
      <xdr:row>14</xdr:row>
      <xdr:rowOff>400050</xdr:rowOff>
    </xdr:from>
    <xdr:to>
      <xdr:col>46</xdr:col>
      <xdr:colOff>28575</xdr:colOff>
      <xdr:row>29</xdr:row>
      <xdr:rowOff>95250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7448550" y="3409950"/>
          <a:ext cx="0" cy="28956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104775</xdr:colOff>
      <xdr:row>29</xdr:row>
      <xdr:rowOff>95250</xdr:rowOff>
    </xdr:from>
    <xdr:to>
      <xdr:col>46</xdr:col>
      <xdr:colOff>29308</xdr:colOff>
      <xdr:row>29</xdr:row>
      <xdr:rowOff>95250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 flipH="1">
          <a:off x="5138371" y="6323135"/>
          <a:ext cx="2195879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114300</xdr:colOff>
      <xdr:row>29</xdr:row>
      <xdr:rowOff>76200</xdr:rowOff>
    </xdr:from>
    <xdr:to>
      <xdr:col>32</xdr:col>
      <xdr:colOff>114300</xdr:colOff>
      <xdr:row>31</xdr:row>
      <xdr:rowOff>9525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>
          <a:off x="5276850" y="6286500"/>
          <a:ext cx="0" cy="1809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38100</xdr:colOff>
      <xdr:row>26</xdr:row>
      <xdr:rowOff>190500</xdr:rowOff>
    </xdr:from>
    <xdr:to>
      <xdr:col>42</xdr:col>
      <xdr:colOff>38100</xdr:colOff>
      <xdr:row>30</xdr:row>
      <xdr:rowOff>114300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>
          <a:off x="6743700" y="595312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66675</xdr:colOff>
      <xdr:row>27</xdr:row>
      <xdr:rowOff>9525</xdr:rowOff>
    </xdr:from>
    <xdr:to>
      <xdr:col>52</xdr:col>
      <xdr:colOff>66675</xdr:colOff>
      <xdr:row>31</xdr:row>
      <xdr:rowOff>9525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/>
      </xdr:nvCxnSpPr>
      <xdr:spPr>
        <a:xfrm>
          <a:off x="8315325" y="597217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190500</xdr:colOff>
      <xdr:row>26</xdr:row>
      <xdr:rowOff>190500</xdr:rowOff>
    </xdr:from>
    <xdr:to>
      <xdr:col>61</xdr:col>
      <xdr:colOff>190500</xdr:colOff>
      <xdr:row>30</xdr:row>
      <xdr:rowOff>114300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>
          <a:off x="9763125" y="595312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19050</xdr:colOff>
      <xdr:row>32</xdr:row>
      <xdr:rowOff>438150</xdr:rowOff>
    </xdr:from>
    <xdr:to>
      <xdr:col>48</xdr:col>
      <xdr:colOff>38100</xdr:colOff>
      <xdr:row>32</xdr:row>
      <xdr:rowOff>438150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flipH="1">
          <a:off x="7496175" y="7086600"/>
          <a:ext cx="762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9525</xdr:colOff>
      <xdr:row>32</xdr:row>
      <xdr:rowOff>438150</xdr:rowOff>
    </xdr:from>
    <xdr:to>
      <xdr:col>47</xdr:col>
      <xdr:colOff>19050</xdr:colOff>
      <xdr:row>47</xdr:row>
      <xdr:rowOff>114300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>
        <a:xfrm>
          <a:off x="7486650" y="7086600"/>
          <a:ext cx="9525" cy="2867025"/>
        </a:xfrm>
        <a:prstGeom prst="line">
          <a:avLst/>
        </a:prstGeom>
        <a:ln>
          <a:tail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190502</xdr:colOff>
      <xdr:row>47</xdr:row>
      <xdr:rowOff>104775</xdr:rowOff>
    </xdr:from>
    <xdr:to>
      <xdr:col>52</xdr:col>
      <xdr:colOff>38100</xdr:colOff>
      <xdr:row>47</xdr:row>
      <xdr:rowOff>104776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/>
      </xdr:nvCxnSpPr>
      <xdr:spPr>
        <a:xfrm flipH="1">
          <a:off x="6896102" y="9944100"/>
          <a:ext cx="1390648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161925</xdr:colOff>
      <xdr:row>47</xdr:row>
      <xdr:rowOff>104775</xdr:rowOff>
    </xdr:from>
    <xdr:to>
      <xdr:col>42</xdr:col>
      <xdr:colOff>171450</xdr:colOff>
      <xdr:row>49</xdr:row>
      <xdr:rowOff>28575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/>
      </xdr:nvCxnSpPr>
      <xdr:spPr>
        <a:xfrm>
          <a:off x="6867525" y="9944100"/>
          <a:ext cx="9525" cy="171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2198</xdr:colOff>
      <xdr:row>80</xdr:row>
      <xdr:rowOff>189768</xdr:rowOff>
    </xdr:from>
    <xdr:to>
      <xdr:col>52</xdr:col>
      <xdr:colOff>2198</xdr:colOff>
      <xdr:row>84</xdr:row>
      <xdr:rowOff>114257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/>
      </xdr:nvCxnSpPr>
      <xdr:spPr>
        <a:xfrm>
          <a:off x="8142410" y="16909806"/>
          <a:ext cx="0" cy="49598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51288</xdr:colOff>
      <xdr:row>42</xdr:row>
      <xdr:rowOff>556846</xdr:rowOff>
    </xdr:from>
    <xdr:to>
      <xdr:col>29</xdr:col>
      <xdr:colOff>19051</xdr:colOff>
      <xdr:row>42</xdr:row>
      <xdr:rowOff>561976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 flipH="1" flipV="1">
          <a:off x="4249615" y="9173308"/>
          <a:ext cx="143609" cy="513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47625</xdr:colOff>
      <xdr:row>42</xdr:row>
      <xdr:rowOff>552450</xdr:rowOff>
    </xdr:from>
    <xdr:to>
      <xdr:col>27</xdr:col>
      <xdr:colOff>0</xdr:colOff>
      <xdr:row>73</xdr:row>
      <xdr:rowOff>114300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>
          <a:off x="4381500" y="9144000"/>
          <a:ext cx="9525" cy="61436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171451</xdr:colOff>
      <xdr:row>73</xdr:row>
      <xdr:rowOff>95250</xdr:rowOff>
    </xdr:from>
    <xdr:to>
      <xdr:col>27</xdr:col>
      <xdr:colOff>9525</xdr:colOff>
      <xdr:row>73</xdr:row>
      <xdr:rowOff>95251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CxnSpPr/>
      </xdr:nvCxnSpPr>
      <xdr:spPr>
        <a:xfrm flipH="1">
          <a:off x="3790951" y="15268575"/>
          <a:ext cx="609599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171450</xdr:colOff>
      <xdr:row>73</xdr:row>
      <xdr:rowOff>95250</xdr:rowOff>
    </xdr:from>
    <xdr:to>
      <xdr:col>22</xdr:col>
      <xdr:colOff>171450</xdr:colOff>
      <xdr:row>77</xdr:row>
      <xdr:rowOff>19050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/>
      </xdr:nvCxnSpPr>
      <xdr:spPr>
        <a:xfrm>
          <a:off x="3790950" y="15268575"/>
          <a:ext cx="0" cy="4191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190500</xdr:colOff>
      <xdr:row>64</xdr:row>
      <xdr:rowOff>109904</xdr:rowOff>
    </xdr:from>
    <xdr:to>
      <xdr:col>26</xdr:col>
      <xdr:colOff>38101</xdr:colOff>
      <xdr:row>64</xdr:row>
      <xdr:rowOff>114300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/>
      </xdr:nvCxnSpPr>
      <xdr:spPr>
        <a:xfrm flipH="1" flipV="1">
          <a:off x="3450981" y="13503519"/>
          <a:ext cx="785447" cy="4396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190500</xdr:colOff>
      <xdr:row>64</xdr:row>
      <xdr:rowOff>104775</xdr:rowOff>
    </xdr:from>
    <xdr:to>
      <xdr:col>21</xdr:col>
      <xdr:colOff>190500</xdr:colOff>
      <xdr:row>67</xdr:row>
      <xdr:rowOff>9525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>
          <a:off x="3590925" y="13458825"/>
          <a:ext cx="0" cy="2762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19050</xdr:colOff>
      <xdr:row>47</xdr:row>
      <xdr:rowOff>85725</xdr:rowOff>
    </xdr:from>
    <xdr:to>
      <xdr:col>52</xdr:col>
      <xdr:colOff>28575</xdr:colOff>
      <xdr:row>49</xdr:row>
      <xdr:rowOff>9525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>
          <a:off x="8267700" y="9925050"/>
          <a:ext cx="9525" cy="171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32</xdr:row>
      <xdr:rowOff>447675</xdr:rowOff>
    </xdr:from>
    <xdr:to>
      <xdr:col>39</xdr:col>
      <xdr:colOff>14654</xdr:colOff>
      <xdr:row>32</xdr:row>
      <xdr:rowOff>454269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/>
      </xdr:nvCxnSpPr>
      <xdr:spPr>
        <a:xfrm flipH="1" flipV="1">
          <a:off x="5810250" y="7115175"/>
          <a:ext cx="131885" cy="659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47625</xdr:colOff>
      <xdr:row>32</xdr:row>
      <xdr:rowOff>457200</xdr:rowOff>
    </xdr:from>
    <xdr:to>
      <xdr:col>37</xdr:col>
      <xdr:colOff>0</xdr:colOff>
      <xdr:row>46</xdr:row>
      <xdr:rowOff>19050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5924550" y="7105650"/>
          <a:ext cx="9525" cy="26289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9525</xdr:colOff>
      <xdr:row>46</xdr:row>
      <xdr:rowOff>7327</xdr:rowOff>
    </xdr:from>
    <xdr:to>
      <xdr:col>62</xdr:col>
      <xdr:colOff>7327</xdr:colOff>
      <xdr:row>46</xdr:row>
      <xdr:rowOff>9525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/>
      </xdr:nvCxnSpPr>
      <xdr:spPr>
        <a:xfrm flipV="1">
          <a:off x="5819775" y="9752135"/>
          <a:ext cx="3881071" cy="219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9525</xdr:colOff>
      <xdr:row>46</xdr:row>
      <xdr:rowOff>9525</xdr:rowOff>
    </xdr:from>
    <xdr:to>
      <xdr:col>62</xdr:col>
      <xdr:colOff>9525</xdr:colOff>
      <xdr:row>49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CxnSpPr/>
      </xdr:nvCxnSpPr>
      <xdr:spPr>
        <a:xfrm>
          <a:off x="9801225" y="9725025"/>
          <a:ext cx="0" cy="3619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9525</xdr:colOff>
      <xdr:row>14</xdr:row>
      <xdr:rowOff>381000</xdr:rowOff>
    </xdr:from>
    <xdr:to>
      <xdr:col>67</xdr:col>
      <xdr:colOff>29308</xdr:colOff>
      <xdr:row>14</xdr:row>
      <xdr:rowOff>381000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CxnSpPr/>
      </xdr:nvCxnSpPr>
      <xdr:spPr>
        <a:xfrm>
          <a:off x="10362467" y="3399692"/>
          <a:ext cx="137014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19051</xdr:colOff>
      <xdr:row>14</xdr:row>
      <xdr:rowOff>366346</xdr:rowOff>
    </xdr:from>
    <xdr:to>
      <xdr:col>67</xdr:col>
      <xdr:colOff>21981</xdr:colOff>
      <xdr:row>37</xdr:row>
      <xdr:rowOff>95250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CxnSpPr/>
      </xdr:nvCxnSpPr>
      <xdr:spPr>
        <a:xfrm flipH="1">
          <a:off x="10489224" y="3385038"/>
          <a:ext cx="2930" cy="463794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171450</xdr:colOff>
      <xdr:row>37</xdr:row>
      <xdr:rowOff>95250</xdr:rowOff>
    </xdr:from>
    <xdr:to>
      <xdr:col>67</xdr:col>
      <xdr:colOff>19050</xdr:colOff>
      <xdr:row>37</xdr:row>
      <xdr:rowOff>95250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 flipH="1">
          <a:off x="9744075" y="8001000"/>
          <a:ext cx="8382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180975</xdr:colOff>
      <xdr:row>37</xdr:row>
      <xdr:rowOff>95250</xdr:rowOff>
    </xdr:from>
    <xdr:to>
      <xdr:col>61</xdr:col>
      <xdr:colOff>190500</xdr:colOff>
      <xdr:row>41</xdr:row>
      <xdr:rowOff>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/>
      </xdr:nvCxnSpPr>
      <xdr:spPr>
        <a:xfrm>
          <a:off x="9753600" y="8001000"/>
          <a:ext cx="9525" cy="400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212481</xdr:colOff>
      <xdr:row>53</xdr:row>
      <xdr:rowOff>0</xdr:rowOff>
    </xdr:from>
    <xdr:to>
      <xdr:col>41</xdr:col>
      <xdr:colOff>213473</xdr:colOff>
      <xdr:row>55</xdr:row>
      <xdr:rowOff>80596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CxnSpPr/>
      </xdr:nvCxnSpPr>
      <xdr:spPr>
        <a:xfrm flipH="1">
          <a:off x="6579577" y="11320096"/>
          <a:ext cx="992" cy="32971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190500</xdr:colOff>
      <xdr:row>55</xdr:row>
      <xdr:rowOff>65942</xdr:rowOff>
    </xdr:from>
    <xdr:to>
      <xdr:col>42</xdr:col>
      <xdr:colOff>0</xdr:colOff>
      <xdr:row>55</xdr:row>
      <xdr:rowOff>66115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 flipH="1">
          <a:off x="5004288" y="11635154"/>
          <a:ext cx="1582616" cy="17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200026</xdr:colOff>
      <xdr:row>55</xdr:row>
      <xdr:rowOff>54909</xdr:rowOff>
    </xdr:from>
    <xdr:to>
      <xdr:col>31</xdr:col>
      <xdr:colOff>201706</xdr:colOff>
      <xdr:row>59</xdr:row>
      <xdr:rowOff>19611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 flipH="1">
          <a:off x="5143501" y="11589684"/>
          <a:ext cx="1680" cy="46000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47625</xdr:colOff>
      <xdr:row>55</xdr:row>
      <xdr:rowOff>76200</xdr:rowOff>
    </xdr:from>
    <xdr:to>
      <xdr:col>36</xdr:col>
      <xdr:colOff>47626</xdr:colOff>
      <xdr:row>73</xdr:row>
      <xdr:rowOff>47625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CxnSpPr/>
      </xdr:nvCxnSpPr>
      <xdr:spPr>
        <a:xfrm flipH="1">
          <a:off x="5924550" y="11610975"/>
          <a:ext cx="1" cy="3609975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161925</xdr:colOff>
      <xdr:row>73</xdr:row>
      <xdr:rowOff>47625</xdr:rowOff>
    </xdr:from>
    <xdr:to>
      <xdr:col>36</xdr:col>
      <xdr:colOff>47625</xdr:colOff>
      <xdr:row>73</xdr:row>
      <xdr:rowOff>49306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/>
      </xdr:nvCxnSpPr>
      <xdr:spPr>
        <a:xfrm flipH="1">
          <a:off x="5105400" y="15220950"/>
          <a:ext cx="819150" cy="168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171451</xdr:colOff>
      <xdr:row>73</xdr:row>
      <xdr:rowOff>38100</xdr:rowOff>
    </xdr:from>
    <xdr:to>
      <xdr:col>31</xdr:col>
      <xdr:colOff>173131</xdr:colOff>
      <xdr:row>77</xdr:row>
      <xdr:rowOff>2802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CxnSpPr/>
      </xdr:nvCxnSpPr>
      <xdr:spPr>
        <a:xfrm flipH="1">
          <a:off x="5114926" y="15211425"/>
          <a:ext cx="1680" cy="46000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19050</xdr:colOff>
      <xdr:row>53</xdr:row>
      <xdr:rowOff>9525</xdr:rowOff>
    </xdr:from>
    <xdr:to>
      <xdr:col>62</xdr:col>
      <xdr:colOff>19050</xdr:colOff>
      <xdr:row>55</xdr:row>
      <xdr:rowOff>114300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/>
      </xdr:nvCxnSpPr>
      <xdr:spPr>
        <a:xfrm>
          <a:off x="9810750" y="11296650"/>
          <a:ext cx="0" cy="3524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28575</xdr:colOff>
      <xdr:row>56</xdr:row>
      <xdr:rowOff>0</xdr:rowOff>
    </xdr:from>
    <xdr:to>
      <xdr:col>62</xdr:col>
      <xdr:colOff>29308</xdr:colOff>
      <xdr:row>56</xdr:row>
      <xdr:rowOff>9525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CxnSpPr/>
      </xdr:nvCxnSpPr>
      <xdr:spPr>
        <a:xfrm flipH="1">
          <a:off x="6835287" y="11693769"/>
          <a:ext cx="288754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47625</xdr:colOff>
      <xdr:row>56</xdr:row>
      <xdr:rowOff>9525</xdr:rowOff>
    </xdr:from>
    <xdr:to>
      <xdr:col>43</xdr:col>
      <xdr:colOff>47626</xdr:colOff>
      <xdr:row>59</xdr:row>
      <xdr:rowOff>19050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CxnSpPr/>
      </xdr:nvCxnSpPr>
      <xdr:spPr>
        <a:xfrm flipH="1">
          <a:off x="6972300" y="11668125"/>
          <a:ext cx="1" cy="381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28576</xdr:colOff>
      <xdr:row>32</xdr:row>
      <xdr:rowOff>417635</xdr:rowOff>
    </xdr:from>
    <xdr:to>
      <xdr:col>59</xdr:col>
      <xdr:colOff>0</xdr:colOff>
      <xdr:row>32</xdr:row>
      <xdr:rowOff>419101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CxnSpPr/>
      </xdr:nvCxnSpPr>
      <xdr:spPr>
        <a:xfrm flipH="1">
          <a:off x="8886826" y="7085135"/>
          <a:ext cx="147270" cy="146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19050</xdr:colOff>
      <xdr:row>32</xdr:row>
      <xdr:rowOff>419100</xdr:rowOff>
    </xdr:from>
    <xdr:to>
      <xdr:col>56</xdr:col>
      <xdr:colOff>38100</xdr:colOff>
      <xdr:row>65</xdr:row>
      <xdr:rowOff>95250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CxnSpPr/>
      </xdr:nvCxnSpPr>
      <xdr:spPr>
        <a:xfrm>
          <a:off x="8982075" y="7067550"/>
          <a:ext cx="19050" cy="65055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51289</xdr:colOff>
      <xdr:row>65</xdr:row>
      <xdr:rowOff>73269</xdr:rowOff>
    </xdr:from>
    <xdr:to>
      <xdr:col>56</xdr:col>
      <xdr:colOff>38101</xdr:colOff>
      <xdr:row>65</xdr:row>
      <xdr:rowOff>76201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CxnSpPr/>
      </xdr:nvCxnSpPr>
      <xdr:spPr>
        <a:xfrm flipH="1" flipV="1">
          <a:off x="5084885" y="13591442"/>
          <a:ext cx="3811466" cy="293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47625</xdr:colOff>
      <xdr:row>65</xdr:row>
      <xdr:rowOff>66675</xdr:rowOff>
    </xdr:from>
    <xdr:to>
      <xdr:col>32</xdr:col>
      <xdr:colOff>57150</xdr:colOff>
      <xdr:row>66</xdr:row>
      <xdr:rowOff>114300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CxnSpPr/>
      </xdr:nvCxnSpPr>
      <xdr:spPr>
        <a:xfrm>
          <a:off x="5210175" y="13544550"/>
          <a:ext cx="9525" cy="171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</xdr:colOff>
      <xdr:row>80</xdr:row>
      <xdr:rowOff>190500</xdr:rowOff>
    </xdr:from>
    <xdr:to>
      <xdr:col>22</xdr:col>
      <xdr:colOff>19051</xdr:colOff>
      <xdr:row>83</xdr:row>
      <xdr:rowOff>19050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CxnSpPr/>
      </xdr:nvCxnSpPr>
      <xdr:spPr>
        <a:xfrm>
          <a:off x="3629025" y="16859250"/>
          <a:ext cx="9526" cy="276225"/>
        </a:xfrm>
        <a:prstGeom prst="line">
          <a:avLst/>
        </a:prstGeom>
        <a:ln>
          <a:tail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190500</xdr:colOff>
      <xdr:row>83</xdr:row>
      <xdr:rowOff>9525</xdr:rowOff>
    </xdr:from>
    <xdr:to>
      <xdr:col>32</xdr:col>
      <xdr:colOff>47625</xdr:colOff>
      <xdr:row>83</xdr:row>
      <xdr:rowOff>19050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CxnSpPr/>
      </xdr:nvCxnSpPr>
      <xdr:spPr>
        <a:xfrm flipV="1">
          <a:off x="3371850" y="17125950"/>
          <a:ext cx="183832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190500</xdr:colOff>
      <xdr:row>83</xdr:row>
      <xdr:rowOff>7327</xdr:rowOff>
    </xdr:from>
    <xdr:to>
      <xdr:col>20</xdr:col>
      <xdr:colOff>190500</xdr:colOff>
      <xdr:row>85</xdr:row>
      <xdr:rowOff>0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CxnSpPr/>
      </xdr:nvCxnSpPr>
      <xdr:spPr>
        <a:xfrm>
          <a:off x="3231173" y="17174308"/>
          <a:ext cx="0" cy="24178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</xdr:colOff>
      <xdr:row>83</xdr:row>
      <xdr:rowOff>21981</xdr:rowOff>
    </xdr:from>
    <xdr:to>
      <xdr:col>32</xdr:col>
      <xdr:colOff>43962</xdr:colOff>
      <xdr:row>84</xdr:row>
      <xdr:rowOff>114300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CxnSpPr/>
      </xdr:nvCxnSpPr>
      <xdr:spPr>
        <a:xfrm flipH="1">
          <a:off x="5071696" y="17188962"/>
          <a:ext cx="5862" cy="21687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</xdr:colOff>
      <xdr:row>8</xdr:row>
      <xdr:rowOff>182880</xdr:rowOff>
    </xdr:from>
    <xdr:to>
      <xdr:col>12</xdr:col>
      <xdr:colOff>30480</xdr:colOff>
      <xdr:row>13</xdr:row>
      <xdr:rowOff>1270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 flipH="1">
          <a:off x="2004060" y="2278380"/>
          <a:ext cx="7620" cy="4965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12</xdr:col>
      <xdr:colOff>0</xdr:colOff>
      <xdr:row>19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981200" y="394716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19</xdr:row>
      <xdr:rowOff>106680</xdr:rowOff>
    </xdr:from>
    <xdr:to>
      <xdr:col>17</xdr:col>
      <xdr:colOff>7620</xdr:colOff>
      <xdr:row>19</xdr:row>
      <xdr:rowOff>106680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 flipH="1">
          <a:off x="1981200" y="429768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</xdr:colOff>
      <xdr:row>19</xdr:row>
      <xdr:rowOff>99060</xdr:rowOff>
    </xdr:from>
    <xdr:to>
      <xdr:col>17</xdr:col>
      <xdr:colOff>7620</xdr:colOff>
      <xdr:row>29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2781300" y="4290060"/>
          <a:ext cx="15240" cy="18897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</xdr:colOff>
      <xdr:row>29</xdr:row>
      <xdr:rowOff>0</xdr:rowOff>
    </xdr:from>
    <xdr:to>
      <xdr:col>22</xdr:col>
      <xdr:colOff>0</xdr:colOff>
      <xdr:row>29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 flipH="1">
          <a:off x="2781300" y="617220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29</xdr:row>
      <xdr:rowOff>0</xdr:rowOff>
    </xdr:from>
    <xdr:to>
      <xdr:col>22</xdr:col>
      <xdr:colOff>0</xdr:colOff>
      <xdr:row>31</xdr:row>
      <xdr:rowOff>8890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>
          <a:off x="3596640" y="6172200"/>
          <a:ext cx="0" cy="25273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190500</xdr:colOff>
      <xdr:row>16</xdr:row>
      <xdr:rowOff>182880</xdr:rowOff>
    </xdr:from>
    <xdr:to>
      <xdr:col>21</xdr:col>
      <xdr:colOff>190500</xdr:colOff>
      <xdr:row>19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3558540" y="393954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182880</xdr:colOff>
      <xdr:row>19</xdr:row>
      <xdr:rowOff>114300</xdr:rowOff>
    </xdr:from>
    <xdr:to>
      <xdr:col>26</xdr:col>
      <xdr:colOff>22860</xdr:colOff>
      <xdr:row>19</xdr:row>
      <xdr:rowOff>114300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 flipH="1">
          <a:off x="3550920" y="430530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30480</xdr:colOff>
      <xdr:row>19</xdr:row>
      <xdr:rowOff>114300</xdr:rowOff>
    </xdr:from>
    <xdr:to>
      <xdr:col>26</xdr:col>
      <xdr:colOff>50800</xdr:colOff>
      <xdr:row>29</xdr:row>
      <xdr:rowOff>67734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4390813" y="4305300"/>
          <a:ext cx="20320" cy="192616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203200</xdr:colOff>
      <xdr:row>29</xdr:row>
      <xdr:rowOff>59267</xdr:rowOff>
    </xdr:from>
    <xdr:to>
      <xdr:col>27</xdr:col>
      <xdr:colOff>0</xdr:colOff>
      <xdr:row>29</xdr:row>
      <xdr:rowOff>71966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 flipH="1" flipV="1">
          <a:off x="1981200" y="6223000"/>
          <a:ext cx="2438400" cy="1269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15240</xdr:colOff>
      <xdr:row>81</xdr:row>
      <xdr:rowOff>7620</xdr:rowOff>
    </xdr:from>
    <xdr:to>
      <xdr:col>42</xdr:col>
      <xdr:colOff>15240</xdr:colOff>
      <xdr:row>84</xdr:row>
      <xdr:rowOff>115570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>
          <a:off x="6842760" y="16642080"/>
          <a:ext cx="0" cy="4737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190500</xdr:colOff>
      <xdr:row>8</xdr:row>
      <xdr:rowOff>182880</xdr:rowOff>
    </xdr:from>
    <xdr:to>
      <xdr:col>41</xdr:col>
      <xdr:colOff>198120</xdr:colOff>
      <xdr:row>13</xdr:row>
      <xdr:rowOff>1270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/>
      </xdr:nvCxnSpPr>
      <xdr:spPr>
        <a:xfrm flipH="1">
          <a:off x="6789420" y="2278380"/>
          <a:ext cx="7620" cy="4965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198120</xdr:colOff>
      <xdr:row>17</xdr:row>
      <xdr:rowOff>7620</xdr:rowOff>
    </xdr:from>
    <xdr:to>
      <xdr:col>41</xdr:col>
      <xdr:colOff>198120</xdr:colOff>
      <xdr:row>19</xdr:row>
      <xdr:rowOff>30480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>
          <a:off x="6797040" y="3954780"/>
          <a:ext cx="0" cy="2667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32657</xdr:colOff>
      <xdr:row>19</xdr:row>
      <xdr:rowOff>38100</xdr:rowOff>
    </xdr:from>
    <xdr:to>
      <xdr:col>41</xdr:col>
      <xdr:colOff>219075</xdr:colOff>
      <xdr:row>19</xdr:row>
      <xdr:rowOff>39460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 flipH="1">
          <a:off x="2690132" y="4238625"/>
          <a:ext cx="4072618" cy="13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30480</xdr:colOff>
      <xdr:row>19</xdr:row>
      <xdr:rowOff>15240</xdr:rowOff>
    </xdr:from>
    <xdr:to>
      <xdr:col>23</xdr:col>
      <xdr:colOff>30480</xdr:colOff>
      <xdr:row>22</xdr:row>
      <xdr:rowOff>115570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/>
      </xdr:nvCxnSpPr>
      <xdr:spPr>
        <a:xfrm>
          <a:off x="3855720" y="4206240"/>
          <a:ext cx="0" cy="4660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7620</xdr:colOff>
      <xdr:row>9</xdr:row>
      <xdr:rowOff>15240</xdr:rowOff>
    </xdr:from>
    <xdr:to>
      <xdr:col>32</xdr:col>
      <xdr:colOff>7620</xdr:colOff>
      <xdr:row>12</xdr:row>
      <xdr:rowOff>7620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>
        <a:xfrm>
          <a:off x="5219700" y="230124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15240</xdr:colOff>
      <xdr:row>12</xdr:row>
      <xdr:rowOff>0</xdr:rowOff>
    </xdr:from>
    <xdr:to>
      <xdr:col>32</xdr:col>
      <xdr:colOff>22860</xdr:colOff>
      <xdr:row>12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 flipH="1">
          <a:off x="4419600" y="265176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22860</xdr:colOff>
      <xdr:row>12</xdr:row>
      <xdr:rowOff>7620</xdr:rowOff>
    </xdr:from>
    <xdr:to>
      <xdr:col>27</xdr:col>
      <xdr:colOff>30480</xdr:colOff>
      <xdr:row>18</xdr:row>
      <xdr:rowOff>38100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>
          <a:off x="4427220" y="2659380"/>
          <a:ext cx="7620" cy="14478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30480</xdr:colOff>
      <xdr:row>18</xdr:row>
      <xdr:rowOff>30480</xdr:rowOff>
    </xdr:from>
    <xdr:to>
      <xdr:col>32</xdr:col>
      <xdr:colOff>38100</xdr:colOff>
      <xdr:row>18</xdr:row>
      <xdr:rowOff>30480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>
        <a:xfrm flipH="1">
          <a:off x="4434840" y="409956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30480</xdr:colOff>
      <xdr:row>18</xdr:row>
      <xdr:rowOff>22860</xdr:rowOff>
    </xdr:from>
    <xdr:to>
      <xdr:col>32</xdr:col>
      <xdr:colOff>30480</xdr:colOff>
      <xdr:row>22</xdr:row>
      <xdr:rowOff>114300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>
          <a:off x="5242560" y="4091940"/>
          <a:ext cx="0" cy="5791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7620</xdr:colOff>
      <xdr:row>26</xdr:row>
      <xdr:rowOff>182880</xdr:rowOff>
    </xdr:from>
    <xdr:to>
      <xdr:col>42</xdr:col>
      <xdr:colOff>7620</xdr:colOff>
      <xdr:row>29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/>
      </xdr:nvCxnSpPr>
      <xdr:spPr>
        <a:xfrm>
          <a:off x="6835140" y="5920740"/>
          <a:ext cx="0" cy="2514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60960</xdr:colOff>
      <xdr:row>29</xdr:row>
      <xdr:rowOff>0</xdr:rowOff>
    </xdr:from>
    <xdr:to>
      <xdr:col>41</xdr:col>
      <xdr:colOff>220980</xdr:colOff>
      <xdr:row>29</xdr:row>
      <xdr:rowOff>7620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>
        <a:xfrm flipH="1">
          <a:off x="5273040" y="6172200"/>
          <a:ext cx="15468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53340</xdr:colOff>
      <xdr:row>29</xdr:row>
      <xdr:rowOff>0</xdr:rowOff>
    </xdr:from>
    <xdr:to>
      <xdr:col>32</xdr:col>
      <xdr:colOff>53340</xdr:colOff>
      <xdr:row>31</xdr:row>
      <xdr:rowOff>8890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>
          <a:off x="5265420" y="6172200"/>
          <a:ext cx="0" cy="25273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7620</xdr:colOff>
      <xdr:row>19</xdr:row>
      <xdr:rowOff>15240</xdr:rowOff>
    </xdr:from>
    <xdr:to>
      <xdr:col>37</xdr:col>
      <xdr:colOff>22860</xdr:colOff>
      <xdr:row>28</xdr:row>
      <xdr:rowOff>38100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>
          <a:off x="6027420" y="4206240"/>
          <a:ext cx="15240" cy="1882140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15240</xdr:colOff>
      <xdr:row>28</xdr:row>
      <xdr:rowOff>45720</xdr:rowOff>
    </xdr:from>
    <xdr:to>
      <xdr:col>41</xdr:col>
      <xdr:colOff>53340</xdr:colOff>
      <xdr:row>28</xdr:row>
      <xdr:rowOff>45720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/>
      </xdr:nvCxnSpPr>
      <xdr:spPr>
        <a:xfrm flipH="1">
          <a:off x="6035040" y="6096000"/>
          <a:ext cx="6172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45720</xdr:colOff>
      <xdr:row>28</xdr:row>
      <xdr:rowOff>53340</xdr:rowOff>
    </xdr:from>
    <xdr:to>
      <xdr:col>41</xdr:col>
      <xdr:colOff>45720</xdr:colOff>
      <xdr:row>31</xdr:row>
      <xdr:rowOff>1270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/>
      </xdr:nvCxnSpPr>
      <xdr:spPr>
        <a:xfrm>
          <a:off x="6644640" y="6103620"/>
          <a:ext cx="0" cy="3136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144780</xdr:colOff>
      <xdr:row>27</xdr:row>
      <xdr:rowOff>0</xdr:rowOff>
    </xdr:from>
    <xdr:to>
      <xdr:col>22</xdr:col>
      <xdr:colOff>144780</xdr:colOff>
      <xdr:row>28</xdr:row>
      <xdr:rowOff>30480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CxnSpPr/>
      </xdr:nvCxnSpPr>
      <xdr:spPr>
        <a:xfrm>
          <a:off x="3741420" y="5928360"/>
          <a:ext cx="0" cy="1524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</xdr:colOff>
      <xdr:row>28</xdr:row>
      <xdr:rowOff>30480</xdr:rowOff>
    </xdr:from>
    <xdr:to>
      <xdr:col>25</xdr:col>
      <xdr:colOff>32657</xdr:colOff>
      <xdr:row>28</xdr:row>
      <xdr:rowOff>32657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CxnSpPr/>
      </xdr:nvCxnSpPr>
      <xdr:spPr>
        <a:xfrm flipH="1" flipV="1">
          <a:off x="2865120" y="6080760"/>
          <a:ext cx="1449977" cy="217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</xdr:colOff>
      <xdr:row>28</xdr:row>
      <xdr:rowOff>30480</xdr:rowOff>
    </xdr:from>
    <xdr:to>
      <xdr:col>18</xdr:col>
      <xdr:colOff>15240</xdr:colOff>
      <xdr:row>38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/>
      </xdr:nvCxnSpPr>
      <xdr:spPr>
        <a:xfrm>
          <a:off x="2865120" y="6080760"/>
          <a:ext cx="0" cy="18745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22860</xdr:colOff>
      <xdr:row>38</xdr:row>
      <xdr:rowOff>0</xdr:rowOff>
    </xdr:from>
    <xdr:to>
      <xdr:col>42</xdr:col>
      <xdr:colOff>7620</xdr:colOff>
      <xdr:row>38</xdr:row>
      <xdr:rowOff>15240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/>
      </xdr:nvCxnSpPr>
      <xdr:spPr>
        <a:xfrm flipH="1" flipV="1">
          <a:off x="2872740" y="7955280"/>
          <a:ext cx="3962400" cy="152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83820</xdr:colOff>
      <xdr:row>38</xdr:row>
      <xdr:rowOff>15240</xdr:rowOff>
    </xdr:from>
    <xdr:to>
      <xdr:col>22</xdr:col>
      <xdr:colOff>83820</xdr:colOff>
      <xdr:row>41</xdr:row>
      <xdr:rowOff>8890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/>
      </xdr:nvCxnSpPr>
      <xdr:spPr>
        <a:xfrm>
          <a:off x="3680460" y="7970520"/>
          <a:ext cx="0" cy="3594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38</xdr:row>
      <xdr:rowOff>7620</xdr:rowOff>
    </xdr:from>
    <xdr:to>
      <xdr:col>42</xdr:col>
      <xdr:colOff>0</xdr:colOff>
      <xdr:row>41</xdr:row>
      <xdr:rowOff>1270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6827520" y="7962900"/>
          <a:ext cx="0" cy="3594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185056</xdr:colOff>
      <xdr:row>34</xdr:row>
      <xdr:rowOff>189411</xdr:rowOff>
    </xdr:from>
    <xdr:to>
      <xdr:col>41</xdr:col>
      <xdr:colOff>185056</xdr:colOff>
      <xdr:row>36</xdr:row>
      <xdr:rowOff>76200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>
          <a:off x="6783976" y="7588431"/>
          <a:ext cx="0" cy="19920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185057</xdr:colOff>
      <xdr:row>36</xdr:row>
      <xdr:rowOff>71363</xdr:rowOff>
    </xdr:from>
    <xdr:to>
      <xdr:col>52</xdr:col>
      <xdr:colOff>7620</xdr:colOff>
      <xdr:row>36</xdr:row>
      <xdr:rowOff>75715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 flipH="1" flipV="1">
          <a:off x="6789057" y="7776030"/>
          <a:ext cx="1659830" cy="435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36</xdr:row>
      <xdr:rowOff>87086</xdr:rowOff>
    </xdr:from>
    <xdr:to>
      <xdr:col>52</xdr:col>
      <xdr:colOff>0</xdr:colOff>
      <xdr:row>40</xdr:row>
      <xdr:rowOff>107950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>
          <a:off x="8442960" y="7798526"/>
          <a:ext cx="0" cy="50854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43543</xdr:colOff>
      <xdr:row>19</xdr:row>
      <xdr:rowOff>21771</xdr:rowOff>
    </xdr:from>
    <xdr:to>
      <xdr:col>16</xdr:col>
      <xdr:colOff>19050</xdr:colOff>
      <xdr:row>46</xdr:row>
      <xdr:rowOff>104775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2710543" y="4212771"/>
          <a:ext cx="36467" cy="550844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46</xdr:row>
      <xdr:rowOff>95250</xdr:rowOff>
    </xdr:from>
    <xdr:to>
      <xdr:col>25</xdr:col>
      <xdr:colOff>47625</xdr:colOff>
      <xdr:row>46</xdr:row>
      <xdr:rowOff>97972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 flipH="1">
          <a:off x="2000250" y="9744075"/>
          <a:ext cx="2333625" cy="272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10886</xdr:colOff>
      <xdr:row>46</xdr:row>
      <xdr:rowOff>108858</xdr:rowOff>
    </xdr:from>
    <xdr:to>
      <xdr:col>12</xdr:col>
      <xdr:colOff>10886</xdr:colOff>
      <xdr:row>48</xdr:row>
      <xdr:rowOff>117747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1992086" y="9725298"/>
          <a:ext cx="0" cy="25272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46</xdr:row>
      <xdr:rowOff>108857</xdr:rowOff>
    </xdr:from>
    <xdr:to>
      <xdr:col>22</xdr:col>
      <xdr:colOff>0</xdr:colOff>
      <xdr:row>48</xdr:row>
      <xdr:rowOff>117746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>
          <a:off x="3596640" y="9725297"/>
          <a:ext cx="0" cy="25272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4354</xdr:colOff>
      <xdr:row>35</xdr:row>
      <xdr:rowOff>10886</xdr:rowOff>
    </xdr:from>
    <xdr:to>
      <xdr:col>32</xdr:col>
      <xdr:colOff>4354</xdr:colOff>
      <xdr:row>37</xdr:row>
      <xdr:rowOff>18506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/>
      </xdr:nvCxnSpPr>
      <xdr:spPr>
        <a:xfrm>
          <a:off x="5216434" y="7600406"/>
          <a:ext cx="0" cy="2514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217714</xdr:colOff>
      <xdr:row>37</xdr:row>
      <xdr:rowOff>10886</xdr:rowOff>
    </xdr:from>
    <xdr:to>
      <xdr:col>46</xdr:col>
      <xdr:colOff>21772</xdr:colOff>
      <xdr:row>37</xdr:row>
      <xdr:rowOff>10886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/>
      </xdr:nvCxnSpPr>
      <xdr:spPr>
        <a:xfrm flipH="1">
          <a:off x="5201194" y="7844246"/>
          <a:ext cx="2394858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43544</xdr:colOff>
      <xdr:row>37</xdr:row>
      <xdr:rowOff>21772</xdr:rowOff>
    </xdr:from>
    <xdr:to>
      <xdr:col>36</xdr:col>
      <xdr:colOff>47625</xdr:colOff>
      <xdr:row>47</xdr:row>
      <xdr:rowOff>47625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/>
      </xdr:nvCxnSpPr>
      <xdr:spPr>
        <a:xfrm>
          <a:off x="6002384" y="7855132"/>
          <a:ext cx="4081" cy="193085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47</xdr:row>
      <xdr:rowOff>38100</xdr:rowOff>
    </xdr:from>
    <xdr:to>
      <xdr:col>36</xdr:col>
      <xdr:colOff>55517</xdr:colOff>
      <xdr:row>47</xdr:row>
      <xdr:rowOff>43543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/>
      </xdr:nvCxnSpPr>
      <xdr:spPr>
        <a:xfrm flipH="1" flipV="1">
          <a:off x="4381500" y="9810750"/>
          <a:ext cx="1589042" cy="544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43543</xdr:colOff>
      <xdr:row>47</xdr:row>
      <xdr:rowOff>43542</xdr:rowOff>
    </xdr:from>
    <xdr:to>
      <xdr:col>32</xdr:col>
      <xdr:colOff>43543</xdr:colOff>
      <xdr:row>49</xdr:row>
      <xdr:rowOff>21771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>
          <a:off x="5255623" y="9781902"/>
          <a:ext cx="0" cy="22206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43544</xdr:colOff>
      <xdr:row>28</xdr:row>
      <xdr:rowOff>21771</xdr:rowOff>
    </xdr:from>
    <xdr:to>
      <xdr:col>26</xdr:col>
      <xdr:colOff>10886</xdr:colOff>
      <xdr:row>46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>
          <a:off x="4325984" y="6072051"/>
          <a:ext cx="28302" cy="354438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21772</xdr:colOff>
      <xdr:row>46</xdr:row>
      <xdr:rowOff>10886</xdr:rowOff>
    </xdr:from>
    <xdr:to>
      <xdr:col>42</xdr:col>
      <xdr:colOff>10886</xdr:colOff>
      <xdr:row>46</xdr:row>
      <xdr:rowOff>21772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/>
      </xdr:nvCxnSpPr>
      <xdr:spPr>
        <a:xfrm flipH="1" flipV="1">
          <a:off x="4365172" y="9627326"/>
          <a:ext cx="2473234" cy="1088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10886</xdr:colOff>
      <xdr:row>46</xdr:row>
      <xdr:rowOff>32657</xdr:rowOff>
    </xdr:from>
    <xdr:to>
      <xdr:col>42</xdr:col>
      <xdr:colOff>10886</xdr:colOff>
      <xdr:row>49</xdr:row>
      <xdr:rowOff>8889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>
        <a:xfrm>
          <a:off x="6838406" y="9649097"/>
          <a:ext cx="0" cy="34199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47625</xdr:colOff>
      <xdr:row>37</xdr:row>
      <xdr:rowOff>1</xdr:rowOff>
    </xdr:from>
    <xdr:to>
      <xdr:col>46</xdr:col>
      <xdr:colOff>10886</xdr:colOff>
      <xdr:row>47</xdr:row>
      <xdr:rowOff>28575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/>
      </xdr:nvCxnSpPr>
      <xdr:spPr>
        <a:xfrm flipH="1">
          <a:off x="7560945" y="7833361"/>
          <a:ext cx="24221" cy="193357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47</xdr:row>
      <xdr:rowOff>10886</xdr:rowOff>
    </xdr:from>
    <xdr:to>
      <xdr:col>51</xdr:col>
      <xdr:colOff>120831</xdr:colOff>
      <xdr:row>47</xdr:row>
      <xdr:rowOff>10886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 flipH="1">
          <a:off x="7574280" y="9749246"/>
          <a:ext cx="760911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119742</xdr:colOff>
      <xdr:row>47</xdr:row>
      <xdr:rowOff>10886</xdr:rowOff>
    </xdr:from>
    <xdr:to>
      <xdr:col>51</xdr:col>
      <xdr:colOff>119743</xdr:colOff>
      <xdr:row>48</xdr:row>
      <xdr:rowOff>106861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 flipH="1">
          <a:off x="8334102" y="9749246"/>
          <a:ext cx="1" cy="2178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21771</xdr:colOff>
      <xdr:row>53</xdr:row>
      <xdr:rowOff>10885</xdr:rowOff>
    </xdr:from>
    <xdr:to>
      <xdr:col>32</xdr:col>
      <xdr:colOff>21772</xdr:colOff>
      <xdr:row>55</xdr:row>
      <xdr:rowOff>43543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 flipH="1">
          <a:off x="5233851" y="11166565"/>
          <a:ext cx="1" cy="27649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43543</xdr:colOff>
      <xdr:row>55</xdr:row>
      <xdr:rowOff>43543</xdr:rowOff>
    </xdr:from>
    <xdr:to>
      <xdr:col>52</xdr:col>
      <xdr:colOff>21772</xdr:colOff>
      <xdr:row>55</xdr:row>
      <xdr:rowOff>54429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 flipH="1" flipV="1">
          <a:off x="2832463" y="11443063"/>
          <a:ext cx="5632269" cy="1088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10886</xdr:colOff>
      <xdr:row>55</xdr:row>
      <xdr:rowOff>54429</xdr:rowOff>
    </xdr:from>
    <xdr:to>
      <xdr:col>52</xdr:col>
      <xdr:colOff>10886</xdr:colOff>
      <xdr:row>59</xdr:row>
      <xdr:rowOff>19775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>
        <a:xfrm>
          <a:off x="8453846" y="11453949"/>
          <a:ext cx="0" cy="45302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66675</xdr:colOff>
      <xdr:row>53</xdr:row>
      <xdr:rowOff>9525</xdr:rowOff>
    </xdr:from>
    <xdr:to>
      <xdr:col>53</xdr:col>
      <xdr:colOff>66675</xdr:colOff>
      <xdr:row>56</xdr:row>
      <xdr:rowOff>104775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>
          <a:off x="8667750" y="11201400"/>
          <a:ext cx="0" cy="4667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217714</xdr:colOff>
      <xdr:row>54</xdr:row>
      <xdr:rowOff>32658</xdr:rowOff>
    </xdr:from>
    <xdr:to>
      <xdr:col>42</xdr:col>
      <xdr:colOff>9525</xdr:colOff>
      <xdr:row>54</xdr:row>
      <xdr:rowOff>38100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/>
      </xdr:nvCxnSpPr>
      <xdr:spPr>
        <a:xfrm flipH="1" flipV="1">
          <a:off x="5429794" y="11310258"/>
          <a:ext cx="1407251" cy="544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217714</xdr:colOff>
      <xdr:row>54</xdr:row>
      <xdr:rowOff>21772</xdr:rowOff>
    </xdr:from>
    <xdr:to>
      <xdr:col>32</xdr:col>
      <xdr:colOff>217714</xdr:colOff>
      <xdr:row>59</xdr:row>
      <xdr:rowOff>19775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/>
      </xdr:nvCxnSpPr>
      <xdr:spPr>
        <a:xfrm>
          <a:off x="5429794" y="11299372"/>
          <a:ext cx="0" cy="60760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54</xdr:row>
      <xdr:rowOff>28575</xdr:rowOff>
    </xdr:from>
    <xdr:to>
      <xdr:col>27</xdr:col>
      <xdr:colOff>28575</xdr:colOff>
      <xdr:row>54</xdr:row>
      <xdr:rowOff>38100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/>
      </xdr:nvCxnSpPr>
      <xdr:spPr>
        <a:xfrm flipH="1" flipV="1">
          <a:off x="2714625" y="11344275"/>
          <a:ext cx="168592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64</xdr:row>
      <xdr:rowOff>85725</xdr:rowOff>
    </xdr:from>
    <xdr:to>
      <xdr:col>11</xdr:col>
      <xdr:colOff>191861</xdr:colOff>
      <xdr:row>66</xdr:row>
      <xdr:rowOff>123189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/>
      </xdr:nvCxnSpPr>
      <xdr:spPr>
        <a:xfrm>
          <a:off x="1933575" y="13315950"/>
          <a:ext cx="1361" cy="28511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32658</xdr:colOff>
      <xdr:row>55</xdr:row>
      <xdr:rowOff>21772</xdr:rowOff>
    </xdr:from>
    <xdr:to>
      <xdr:col>17</xdr:col>
      <xdr:colOff>47625</xdr:colOff>
      <xdr:row>73</xdr:row>
      <xdr:rowOff>76200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CxnSpPr/>
      </xdr:nvCxnSpPr>
      <xdr:spPr>
        <a:xfrm>
          <a:off x="2804433" y="11461297"/>
          <a:ext cx="14967" cy="363582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32658</xdr:colOff>
      <xdr:row>64</xdr:row>
      <xdr:rowOff>108857</xdr:rowOff>
    </xdr:from>
    <xdr:to>
      <xdr:col>32</xdr:col>
      <xdr:colOff>32657</xdr:colOff>
      <xdr:row>64</xdr:row>
      <xdr:rowOff>108858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CxnSpPr/>
      </xdr:nvCxnSpPr>
      <xdr:spPr>
        <a:xfrm flipH="1" flipV="1">
          <a:off x="2821578" y="13291457"/>
          <a:ext cx="2423159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206828</xdr:colOff>
      <xdr:row>64</xdr:row>
      <xdr:rowOff>108858</xdr:rowOff>
    </xdr:from>
    <xdr:to>
      <xdr:col>21</xdr:col>
      <xdr:colOff>206830</xdr:colOff>
      <xdr:row>67</xdr:row>
      <xdr:rowOff>30661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CxnSpPr/>
      </xdr:nvCxnSpPr>
      <xdr:spPr>
        <a:xfrm>
          <a:off x="3574868" y="13291458"/>
          <a:ext cx="2" cy="28756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21772</xdr:colOff>
      <xdr:row>64</xdr:row>
      <xdr:rowOff>87082</xdr:rowOff>
    </xdr:from>
    <xdr:to>
      <xdr:col>32</xdr:col>
      <xdr:colOff>21774</xdr:colOff>
      <xdr:row>67</xdr:row>
      <xdr:rowOff>8885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CxnSpPr/>
      </xdr:nvCxnSpPr>
      <xdr:spPr>
        <a:xfrm>
          <a:off x="5233852" y="13269682"/>
          <a:ext cx="2" cy="28756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9525</xdr:colOff>
      <xdr:row>64</xdr:row>
      <xdr:rowOff>0</xdr:rowOff>
    </xdr:from>
    <xdr:to>
      <xdr:col>42</xdr:col>
      <xdr:colOff>10888</xdr:colOff>
      <xdr:row>67</xdr:row>
      <xdr:rowOff>8888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CxnSpPr/>
      </xdr:nvCxnSpPr>
      <xdr:spPr>
        <a:xfrm>
          <a:off x="6837045" y="13182600"/>
          <a:ext cx="1363" cy="37464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9525</xdr:colOff>
      <xdr:row>56</xdr:row>
      <xdr:rowOff>95250</xdr:rowOff>
    </xdr:from>
    <xdr:to>
      <xdr:col>57</xdr:col>
      <xdr:colOff>19050</xdr:colOff>
      <xdr:row>73</xdr:row>
      <xdr:rowOff>95250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/>
      </xdr:nvCxnSpPr>
      <xdr:spPr>
        <a:xfrm flipV="1">
          <a:off x="9182100" y="11658600"/>
          <a:ext cx="9525" cy="34575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219075</xdr:colOff>
      <xdr:row>73</xdr:row>
      <xdr:rowOff>85725</xdr:rowOff>
    </xdr:from>
    <xdr:to>
      <xdr:col>57</xdr:col>
      <xdr:colOff>9525</xdr:colOff>
      <xdr:row>73</xdr:row>
      <xdr:rowOff>85725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/>
      </xdr:nvCxnSpPr>
      <xdr:spPr>
        <a:xfrm flipH="1">
          <a:off x="5162550" y="15106650"/>
          <a:ext cx="40195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206829</xdr:colOff>
      <xdr:row>73</xdr:row>
      <xdr:rowOff>87085</xdr:rowOff>
    </xdr:from>
    <xdr:to>
      <xdr:col>31</xdr:col>
      <xdr:colOff>206830</xdr:colOff>
      <xdr:row>77</xdr:row>
      <xdr:rowOff>8889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CxnSpPr/>
      </xdr:nvCxnSpPr>
      <xdr:spPr>
        <a:xfrm>
          <a:off x="5190309" y="15052765"/>
          <a:ext cx="1" cy="40948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35379</xdr:colOff>
      <xdr:row>73</xdr:row>
      <xdr:rowOff>95250</xdr:rowOff>
    </xdr:from>
    <xdr:to>
      <xdr:col>26</xdr:col>
      <xdr:colOff>38100</xdr:colOff>
      <xdr:row>83</xdr:row>
      <xdr:rowOff>12247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CxnSpPr/>
      </xdr:nvCxnSpPr>
      <xdr:spPr>
        <a:xfrm flipH="1">
          <a:off x="4350204" y="15116175"/>
          <a:ext cx="2721" cy="184104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43543</xdr:colOff>
      <xdr:row>83</xdr:row>
      <xdr:rowOff>21772</xdr:rowOff>
    </xdr:from>
    <xdr:to>
      <xdr:col>32</xdr:col>
      <xdr:colOff>10886</xdr:colOff>
      <xdr:row>83</xdr:row>
      <xdr:rowOff>21772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/>
      </xdr:nvCxnSpPr>
      <xdr:spPr>
        <a:xfrm flipH="1">
          <a:off x="4386943" y="16900072"/>
          <a:ext cx="836023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217714</xdr:colOff>
      <xdr:row>83</xdr:row>
      <xdr:rowOff>32657</xdr:rowOff>
    </xdr:from>
    <xdr:to>
      <xdr:col>31</xdr:col>
      <xdr:colOff>217715</xdr:colOff>
      <xdr:row>84</xdr:row>
      <xdr:rowOff>106860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CxnSpPr/>
      </xdr:nvCxnSpPr>
      <xdr:spPr>
        <a:xfrm>
          <a:off x="5201194" y="16910957"/>
          <a:ext cx="1" cy="19612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52</xdr:row>
      <xdr:rowOff>171450</xdr:rowOff>
    </xdr:from>
    <xdr:to>
      <xdr:col>42</xdr:col>
      <xdr:colOff>0</xdr:colOff>
      <xdr:row>54</xdr:row>
      <xdr:rowOff>38100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CxnSpPr/>
      </xdr:nvCxnSpPr>
      <xdr:spPr>
        <a:xfrm>
          <a:off x="6827520" y="11136630"/>
          <a:ext cx="0" cy="17907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47</xdr:row>
      <xdr:rowOff>38100</xdr:rowOff>
    </xdr:from>
    <xdr:to>
      <xdr:col>27</xdr:col>
      <xdr:colOff>9526</xdr:colOff>
      <xdr:row>54</xdr:row>
      <xdr:rowOff>57150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CxnSpPr/>
      </xdr:nvCxnSpPr>
      <xdr:spPr>
        <a:xfrm flipH="1">
          <a:off x="4381500" y="9810750"/>
          <a:ext cx="1" cy="15621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56</xdr:row>
      <xdr:rowOff>95250</xdr:rowOff>
    </xdr:from>
    <xdr:to>
      <xdr:col>57</xdr:col>
      <xdr:colOff>28575</xdr:colOff>
      <xdr:row>56</xdr:row>
      <xdr:rowOff>95250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CxnSpPr/>
      </xdr:nvCxnSpPr>
      <xdr:spPr>
        <a:xfrm flipH="1">
          <a:off x="4381500" y="11658600"/>
          <a:ext cx="48196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56</xdr:row>
      <xdr:rowOff>95250</xdr:rowOff>
    </xdr:from>
    <xdr:to>
      <xdr:col>27</xdr:col>
      <xdr:colOff>28575</xdr:colOff>
      <xdr:row>64</xdr:row>
      <xdr:rowOff>9525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CxnSpPr/>
      </xdr:nvCxnSpPr>
      <xdr:spPr>
        <a:xfrm>
          <a:off x="4423410" y="11616690"/>
          <a:ext cx="9525" cy="157543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28575</xdr:colOff>
      <xdr:row>63</xdr:row>
      <xdr:rowOff>114300</xdr:rowOff>
    </xdr:from>
    <xdr:to>
      <xdr:col>42</xdr:col>
      <xdr:colOff>9525</xdr:colOff>
      <xdr:row>63</xdr:row>
      <xdr:rowOff>114300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/>
      </xdr:nvCxnSpPr>
      <xdr:spPr>
        <a:xfrm flipH="1">
          <a:off x="4432935" y="13174980"/>
          <a:ext cx="240411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54</xdr:row>
      <xdr:rowOff>9525</xdr:rowOff>
    </xdr:from>
    <xdr:to>
      <xdr:col>16</xdr:col>
      <xdr:colOff>28575</xdr:colOff>
      <xdr:row>64</xdr:row>
      <xdr:rowOff>95250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/>
      </xdr:nvCxnSpPr>
      <xdr:spPr>
        <a:xfrm>
          <a:off x="2724150" y="11325225"/>
          <a:ext cx="19050" cy="20002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64</xdr:row>
      <xdr:rowOff>95250</xdr:rowOff>
    </xdr:from>
    <xdr:to>
      <xdr:col>16</xdr:col>
      <xdr:colOff>38100</xdr:colOff>
      <xdr:row>64</xdr:row>
      <xdr:rowOff>104775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CxnSpPr/>
      </xdr:nvCxnSpPr>
      <xdr:spPr>
        <a:xfrm flipH="1">
          <a:off x="1924050" y="13325475"/>
          <a:ext cx="82867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73</xdr:row>
      <xdr:rowOff>85725</xdr:rowOff>
    </xdr:from>
    <xdr:to>
      <xdr:col>26</xdr:col>
      <xdr:colOff>47625</xdr:colOff>
      <xdr:row>73</xdr:row>
      <xdr:rowOff>85725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CxnSpPr/>
      </xdr:nvCxnSpPr>
      <xdr:spPr>
        <a:xfrm flipH="1">
          <a:off x="2790825" y="15106650"/>
          <a:ext cx="157162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211667</xdr:colOff>
      <xdr:row>29</xdr:row>
      <xdr:rowOff>59267</xdr:rowOff>
    </xdr:from>
    <xdr:to>
      <xdr:col>11</xdr:col>
      <xdr:colOff>211667</xdr:colOff>
      <xdr:row>31</xdr:row>
      <xdr:rowOff>5503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B60DAA7E-932F-4EF6-857C-C27AA24844C6}"/>
            </a:ext>
          </a:extLst>
        </xdr:cNvPr>
        <xdr:cNvCxnSpPr/>
      </xdr:nvCxnSpPr>
      <xdr:spPr>
        <a:xfrm>
          <a:off x="1989667" y="6223000"/>
          <a:ext cx="0" cy="18330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93133</xdr:colOff>
      <xdr:row>64</xdr:row>
      <xdr:rowOff>76200</xdr:rowOff>
    </xdr:from>
    <xdr:to>
      <xdr:col>52</xdr:col>
      <xdr:colOff>93135</xdr:colOff>
      <xdr:row>66</xdr:row>
      <xdr:rowOff>116536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720C90DF-F4FE-4826-B476-01E35226BB1C}"/>
            </a:ext>
          </a:extLst>
        </xdr:cNvPr>
        <xdr:cNvCxnSpPr/>
      </xdr:nvCxnSpPr>
      <xdr:spPr>
        <a:xfrm>
          <a:off x="8534400" y="13233400"/>
          <a:ext cx="2" cy="27740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93133</xdr:colOff>
      <xdr:row>64</xdr:row>
      <xdr:rowOff>76200</xdr:rowOff>
    </xdr:from>
    <xdr:to>
      <xdr:col>58</xdr:col>
      <xdr:colOff>33866</xdr:colOff>
      <xdr:row>64</xdr:row>
      <xdr:rowOff>84667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7AF3E5DB-0D13-41FD-B223-1E6C78D6D8AD}"/>
            </a:ext>
          </a:extLst>
        </xdr:cNvPr>
        <xdr:cNvCxnSpPr/>
      </xdr:nvCxnSpPr>
      <xdr:spPr>
        <a:xfrm flipH="1" flipV="1">
          <a:off x="8534400" y="13233400"/>
          <a:ext cx="804333" cy="846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8466</xdr:colOff>
      <xdr:row>46</xdr:row>
      <xdr:rowOff>42333</xdr:rowOff>
    </xdr:from>
    <xdr:to>
      <xdr:col>58</xdr:col>
      <xdr:colOff>16933</xdr:colOff>
      <xdr:row>64</xdr:row>
      <xdr:rowOff>78317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1DB1F693-6DAC-47AD-8344-1204B13B0832}"/>
            </a:ext>
          </a:extLst>
        </xdr:cNvPr>
        <xdr:cNvCxnSpPr/>
      </xdr:nvCxnSpPr>
      <xdr:spPr>
        <a:xfrm>
          <a:off x="9313333" y="9643533"/>
          <a:ext cx="8467" cy="359198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50800</xdr:colOff>
      <xdr:row>46</xdr:row>
      <xdr:rowOff>50800</xdr:rowOff>
    </xdr:from>
    <xdr:to>
      <xdr:col>62</xdr:col>
      <xdr:colOff>2298</xdr:colOff>
      <xdr:row>46</xdr:row>
      <xdr:rowOff>50800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A6AD0475-FA0F-4513-B629-F99D07B6EEFC}"/>
            </a:ext>
          </a:extLst>
        </xdr:cNvPr>
        <xdr:cNvCxnSpPr/>
      </xdr:nvCxnSpPr>
      <xdr:spPr>
        <a:xfrm flipH="1">
          <a:off x="9296400" y="9652000"/>
          <a:ext cx="755831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44</xdr:row>
      <xdr:rowOff>194733</xdr:rowOff>
    </xdr:from>
    <xdr:to>
      <xdr:col>62</xdr:col>
      <xdr:colOff>0</xdr:colOff>
      <xdr:row>46</xdr:row>
      <xdr:rowOff>61383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31748890-2EC3-4C62-999B-DA4B0D7B49E1}"/>
            </a:ext>
          </a:extLst>
        </xdr:cNvPr>
        <xdr:cNvCxnSpPr/>
      </xdr:nvCxnSpPr>
      <xdr:spPr>
        <a:xfrm>
          <a:off x="10049933" y="9482666"/>
          <a:ext cx="0" cy="17991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200025</xdr:colOff>
      <xdr:row>56</xdr:row>
      <xdr:rowOff>95250</xdr:rowOff>
    </xdr:from>
    <xdr:to>
      <xdr:col>21</xdr:col>
      <xdr:colOff>200025</xdr:colOff>
      <xdr:row>58</xdr:row>
      <xdr:rowOff>117746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FEFF666-A749-44E3-BD0A-C7AA324A83D2}"/>
            </a:ext>
          </a:extLst>
        </xdr:cNvPr>
        <xdr:cNvCxnSpPr/>
      </xdr:nvCxnSpPr>
      <xdr:spPr>
        <a:xfrm>
          <a:off x="3571875" y="11658600"/>
          <a:ext cx="0" cy="27014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56</xdr:row>
      <xdr:rowOff>85725</xdr:rowOff>
    </xdr:from>
    <xdr:to>
      <xdr:col>26</xdr:col>
      <xdr:colOff>0</xdr:colOff>
      <xdr:row>56</xdr:row>
      <xdr:rowOff>95250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9746D8B6-974C-4E8D-A841-94C6FF138BCF}"/>
            </a:ext>
          </a:extLst>
        </xdr:cNvPr>
        <xdr:cNvCxnSpPr/>
      </xdr:nvCxnSpPr>
      <xdr:spPr>
        <a:xfrm flipH="1" flipV="1">
          <a:off x="2876550" y="11649075"/>
          <a:ext cx="146685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38100</xdr:colOff>
      <xdr:row>46</xdr:row>
      <xdr:rowOff>104775</xdr:rowOff>
    </xdr:from>
    <xdr:to>
      <xdr:col>25</xdr:col>
      <xdr:colOff>47625</xdr:colOff>
      <xdr:row>56</xdr:row>
      <xdr:rowOff>85725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5FACD59A-48AC-4B9C-A4FF-EC982FCBAAA9}"/>
            </a:ext>
          </a:extLst>
        </xdr:cNvPr>
        <xdr:cNvCxnSpPr/>
      </xdr:nvCxnSpPr>
      <xdr:spPr>
        <a:xfrm>
          <a:off x="4324350" y="9753600"/>
          <a:ext cx="9525" cy="18954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28575</xdr:colOff>
      <xdr:row>30</xdr:row>
      <xdr:rowOff>0</xdr:rowOff>
    </xdr:from>
    <xdr:to>
      <xdr:col>18</xdr:col>
      <xdr:colOff>9525</xdr:colOff>
      <xdr:row>56</xdr:row>
      <xdr:rowOff>80283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A8B7A61C-0BCA-476A-A408-5ECE5FA1C2B5}"/>
            </a:ext>
          </a:extLst>
        </xdr:cNvPr>
        <xdr:cNvCxnSpPr/>
      </xdr:nvCxnSpPr>
      <xdr:spPr>
        <a:xfrm>
          <a:off x="2828925" y="6315075"/>
          <a:ext cx="38100" cy="532855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29</xdr:row>
      <xdr:rowOff>114300</xdr:rowOff>
    </xdr:from>
    <xdr:to>
      <xdr:col>17</xdr:col>
      <xdr:colOff>22588</xdr:colOff>
      <xdr:row>29</xdr:row>
      <xdr:rowOff>118652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48895ED7-4F3B-4E87-95B4-4D99442EA765}"/>
            </a:ext>
          </a:extLst>
        </xdr:cNvPr>
        <xdr:cNvCxnSpPr/>
      </xdr:nvCxnSpPr>
      <xdr:spPr>
        <a:xfrm flipH="1" flipV="1">
          <a:off x="1752600" y="6305550"/>
          <a:ext cx="1070338" cy="435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219075</xdr:colOff>
      <xdr:row>27</xdr:row>
      <xdr:rowOff>28575</xdr:rowOff>
    </xdr:from>
    <xdr:to>
      <xdr:col>10</xdr:col>
      <xdr:colOff>219075</xdr:colOff>
      <xdr:row>29</xdr:row>
      <xdr:rowOff>102870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6FA9D584-F00F-46DB-B194-E9A6EBAAF12C}"/>
            </a:ext>
          </a:extLst>
        </xdr:cNvPr>
        <xdr:cNvCxnSpPr/>
      </xdr:nvCxnSpPr>
      <xdr:spPr>
        <a:xfrm>
          <a:off x="1762125" y="5972175"/>
          <a:ext cx="0" cy="32194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12439650" y="4953000"/>
          <a:ext cx="0" cy="350767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12439650" y="4953000"/>
          <a:ext cx="0" cy="350767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151086</xdr:colOff>
      <xdr:row>9</xdr:row>
      <xdr:rowOff>0</xdr:rowOff>
    </xdr:from>
    <xdr:to>
      <xdr:col>31</xdr:col>
      <xdr:colOff>153495</xdr:colOff>
      <xdr:row>10</xdr:row>
      <xdr:rowOff>48939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4926724" y="2318845"/>
          <a:ext cx="2409" cy="17374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51238</xdr:colOff>
      <xdr:row>10</xdr:row>
      <xdr:rowOff>32188</xdr:rowOff>
    </xdr:from>
    <xdr:to>
      <xdr:col>31</xdr:col>
      <xdr:colOff>152838</xdr:colOff>
      <xdr:row>10</xdr:row>
      <xdr:rowOff>32188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 flipH="1">
          <a:off x="3506514" y="2475843"/>
          <a:ext cx="1421962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47625</xdr:colOff>
      <xdr:row>10</xdr:row>
      <xdr:rowOff>25400</xdr:rowOff>
    </xdr:from>
    <xdr:to>
      <xdr:col>22</xdr:col>
      <xdr:colOff>47626</xdr:colOff>
      <xdr:row>13</xdr:row>
      <xdr:rowOff>19050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 flipH="1">
          <a:off x="3667125" y="2473325"/>
          <a:ext cx="1" cy="365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28575</xdr:colOff>
      <xdr:row>9</xdr:row>
      <xdr:rowOff>0</xdr:rowOff>
    </xdr:from>
    <xdr:to>
      <xdr:col>42</xdr:col>
      <xdr:colOff>28575</xdr:colOff>
      <xdr:row>13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6734175" y="2324100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28575</xdr:colOff>
      <xdr:row>10</xdr:row>
      <xdr:rowOff>114300</xdr:rowOff>
    </xdr:from>
    <xdr:to>
      <xdr:col>52</xdr:col>
      <xdr:colOff>76200</xdr:colOff>
      <xdr:row>10</xdr:row>
      <xdr:rowOff>114300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6572250" y="2562225"/>
          <a:ext cx="1590675" cy="0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65689</xdr:colOff>
      <xdr:row>10</xdr:row>
      <xdr:rowOff>101491</xdr:rowOff>
    </xdr:from>
    <xdr:to>
      <xdr:col>52</xdr:col>
      <xdr:colOff>67332</xdr:colOff>
      <xdr:row>13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 flipH="1">
          <a:off x="8132379" y="2545146"/>
          <a:ext cx="1643" cy="2729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124810</xdr:colOff>
      <xdr:row>8</xdr:row>
      <xdr:rowOff>190500</xdr:rowOff>
    </xdr:from>
    <xdr:to>
      <xdr:col>50</xdr:col>
      <xdr:colOff>133350</xdr:colOff>
      <xdr:row>12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 flipH="1">
          <a:off x="7757948" y="2312276"/>
          <a:ext cx="8540" cy="3810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107732</xdr:colOff>
      <xdr:row>11</xdr:row>
      <xdr:rowOff>117913</xdr:rowOff>
    </xdr:from>
    <xdr:to>
      <xdr:col>50</xdr:col>
      <xdr:colOff>137948</xdr:colOff>
      <xdr:row>11</xdr:row>
      <xdr:rowOff>118241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 flipH="1" flipV="1">
          <a:off x="6854060" y="2686379"/>
          <a:ext cx="917026" cy="32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114300</xdr:colOff>
      <xdr:row>11</xdr:row>
      <xdr:rowOff>114300</xdr:rowOff>
    </xdr:from>
    <xdr:to>
      <xdr:col>43</xdr:col>
      <xdr:colOff>123825</xdr:colOff>
      <xdr:row>13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7038975" y="2686050"/>
          <a:ext cx="9525" cy="1333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9</xdr:row>
      <xdr:rowOff>5912</xdr:rowOff>
    </xdr:from>
    <xdr:to>
      <xdr:col>62</xdr:col>
      <xdr:colOff>0</xdr:colOff>
      <xdr:row>12</xdr:row>
      <xdr:rowOff>121197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/>
      </xdr:nvCxnSpPr>
      <xdr:spPr>
        <a:xfrm>
          <a:off x="9603828" y="2324757"/>
          <a:ext cx="0" cy="48971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9525</xdr:colOff>
      <xdr:row>17</xdr:row>
      <xdr:rowOff>9525</xdr:rowOff>
    </xdr:from>
    <xdr:to>
      <xdr:col>52</xdr:col>
      <xdr:colOff>9525</xdr:colOff>
      <xdr:row>20</xdr:row>
      <xdr:rowOff>38100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8258175" y="4029075"/>
          <a:ext cx="0" cy="4000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</xdr:colOff>
      <xdr:row>20</xdr:row>
      <xdr:rowOff>19050</xdr:rowOff>
    </xdr:from>
    <xdr:to>
      <xdr:col>52</xdr:col>
      <xdr:colOff>1</xdr:colOff>
      <xdr:row>20</xdr:row>
      <xdr:rowOff>19050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5191125" y="4410075"/>
          <a:ext cx="305752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</xdr:colOff>
      <xdr:row>20</xdr:row>
      <xdr:rowOff>28575</xdr:rowOff>
    </xdr:from>
    <xdr:to>
      <xdr:col>32</xdr:col>
      <xdr:colOff>28576</xdr:colOff>
      <xdr:row>22</xdr:row>
      <xdr:rowOff>114300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5191125" y="4419600"/>
          <a:ext cx="1" cy="3333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142875</xdr:colOff>
      <xdr:row>17</xdr:row>
      <xdr:rowOff>19050</xdr:rowOff>
    </xdr:from>
    <xdr:to>
      <xdr:col>62</xdr:col>
      <xdr:colOff>142875</xdr:colOff>
      <xdr:row>20</xdr:row>
      <xdr:rowOff>95250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9934575" y="4038600"/>
          <a:ext cx="0" cy="4476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57150</xdr:colOff>
      <xdr:row>20</xdr:row>
      <xdr:rowOff>104775</xdr:rowOff>
    </xdr:from>
    <xdr:to>
      <xdr:col>62</xdr:col>
      <xdr:colOff>152400</xdr:colOff>
      <xdr:row>20</xdr:row>
      <xdr:rowOff>104775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/>
      </xdr:nvCxnSpPr>
      <xdr:spPr>
        <a:xfrm flipH="1">
          <a:off x="6981825" y="4495800"/>
          <a:ext cx="296227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57150</xdr:colOff>
      <xdr:row>20</xdr:row>
      <xdr:rowOff>104775</xdr:rowOff>
    </xdr:from>
    <xdr:to>
      <xdr:col>43</xdr:col>
      <xdr:colOff>57150</xdr:colOff>
      <xdr:row>23</xdr:row>
      <xdr:rowOff>28575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>
        <a:xfrm>
          <a:off x="6981825" y="4495800"/>
          <a:ext cx="0" cy="2952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161925</xdr:colOff>
      <xdr:row>17</xdr:row>
      <xdr:rowOff>0</xdr:rowOff>
    </xdr:from>
    <xdr:to>
      <xdr:col>53</xdr:col>
      <xdr:colOff>161925</xdr:colOff>
      <xdr:row>23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8629650" y="4019550"/>
          <a:ext cx="0" cy="7429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32846</xdr:colOff>
      <xdr:row>14</xdr:row>
      <xdr:rowOff>387569</xdr:rowOff>
    </xdr:from>
    <xdr:to>
      <xdr:col>49</xdr:col>
      <xdr:colOff>13138</xdr:colOff>
      <xdr:row>14</xdr:row>
      <xdr:rowOff>387570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CxnSpPr/>
      </xdr:nvCxnSpPr>
      <xdr:spPr>
        <a:xfrm flipH="1">
          <a:off x="7271846" y="3396155"/>
          <a:ext cx="157654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47625</xdr:colOff>
      <xdr:row>14</xdr:row>
      <xdr:rowOff>400050</xdr:rowOff>
    </xdr:from>
    <xdr:to>
      <xdr:col>46</xdr:col>
      <xdr:colOff>47625</xdr:colOff>
      <xdr:row>29</xdr:row>
      <xdr:rowOff>95250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/>
      </xdr:nvCxnSpPr>
      <xdr:spPr>
        <a:xfrm>
          <a:off x="7467600" y="3409950"/>
          <a:ext cx="0" cy="28956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150101</xdr:colOff>
      <xdr:row>29</xdr:row>
      <xdr:rowOff>95250</xdr:rowOff>
    </xdr:from>
    <xdr:to>
      <xdr:col>46</xdr:col>
      <xdr:colOff>54851</xdr:colOff>
      <xdr:row>29</xdr:row>
      <xdr:rowOff>95250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CxnSpPr/>
      </xdr:nvCxnSpPr>
      <xdr:spPr>
        <a:xfrm flipH="1">
          <a:off x="5142515" y="6302922"/>
          <a:ext cx="215133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159626</xdr:colOff>
      <xdr:row>29</xdr:row>
      <xdr:rowOff>89338</xdr:rowOff>
    </xdr:from>
    <xdr:to>
      <xdr:col>32</xdr:col>
      <xdr:colOff>159626</xdr:colOff>
      <xdr:row>31</xdr:row>
      <xdr:rowOff>22663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CxnSpPr/>
      </xdr:nvCxnSpPr>
      <xdr:spPr>
        <a:xfrm>
          <a:off x="5152040" y="6297010"/>
          <a:ext cx="0" cy="18294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28575</xdr:colOff>
      <xdr:row>26</xdr:row>
      <xdr:rowOff>180975</xdr:rowOff>
    </xdr:from>
    <xdr:to>
      <xdr:col>42</xdr:col>
      <xdr:colOff>28575</xdr:colOff>
      <xdr:row>30</xdr:row>
      <xdr:rowOff>104775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/>
      </xdr:nvCxnSpPr>
      <xdr:spPr>
        <a:xfrm>
          <a:off x="6734175" y="5943600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9525</xdr:colOff>
      <xdr:row>27</xdr:row>
      <xdr:rowOff>9525</xdr:rowOff>
    </xdr:from>
    <xdr:to>
      <xdr:col>52</xdr:col>
      <xdr:colOff>9525</xdr:colOff>
      <xdr:row>31</xdr:row>
      <xdr:rowOff>9525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CxnSpPr/>
      </xdr:nvCxnSpPr>
      <xdr:spPr>
        <a:xfrm>
          <a:off x="8258175" y="597217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47625</xdr:colOff>
      <xdr:row>27</xdr:row>
      <xdr:rowOff>0</xdr:rowOff>
    </xdr:from>
    <xdr:to>
      <xdr:col>62</xdr:col>
      <xdr:colOff>47625</xdr:colOff>
      <xdr:row>31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CxnSpPr/>
      </xdr:nvCxnSpPr>
      <xdr:spPr>
        <a:xfrm>
          <a:off x="9839325" y="5962650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24962</xdr:colOff>
      <xdr:row>32</xdr:row>
      <xdr:rowOff>420414</xdr:rowOff>
    </xdr:from>
    <xdr:to>
      <xdr:col>48</xdr:col>
      <xdr:colOff>45983</xdr:colOff>
      <xdr:row>32</xdr:row>
      <xdr:rowOff>422057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CxnSpPr/>
      </xdr:nvCxnSpPr>
      <xdr:spPr>
        <a:xfrm flipH="1">
          <a:off x="7263962" y="7068207"/>
          <a:ext cx="139262" cy="164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28575</xdr:colOff>
      <xdr:row>32</xdr:row>
      <xdr:rowOff>428625</xdr:rowOff>
    </xdr:from>
    <xdr:to>
      <xdr:col>46</xdr:col>
      <xdr:colOff>38100</xdr:colOff>
      <xdr:row>47</xdr:row>
      <xdr:rowOff>104775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CxnSpPr/>
      </xdr:nvCxnSpPr>
      <xdr:spPr>
        <a:xfrm>
          <a:off x="7448550" y="7077075"/>
          <a:ext cx="9525" cy="28670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152401</xdr:colOff>
      <xdr:row>47</xdr:row>
      <xdr:rowOff>95250</xdr:rowOff>
    </xdr:from>
    <xdr:to>
      <xdr:col>46</xdr:col>
      <xdr:colOff>47625</xdr:colOff>
      <xdr:row>47</xdr:row>
      <xdr:rowOff>95251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/>
      </xdr:nvCxnSpPr>
      <xdr:spPr>
        <a:xfrm flipH="1">
          <a:off x="6858001" y="9934575"/>
          <a:ext cx="609599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123825</xdr:colOff>
      <xdr:row>47</xdr:row>
      <xdr:rowOff>95250</xdr:rowOff>
    </xdr:from>
    <xdr:to>
      <xdr:col>42</xdr:col>
      <xdr:colOff>133350</xdr:colOff>
      <xdr:row>49</xdr:row>
      <xdr:rowOff>19050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CxnSpPr/>
      </xdr:nvCxnSpPr>
      <xdr:spPr>
        <a:xfrm>
          <a:off x="6829425" y="9934575"/>
          <a:ext cx="9525" cy="171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180975</xdr:colOff>
      <xdr:row>81</xdr:row>
      <xdr:rowOff>0</xdr:rowOff>
    </xdr:from>
    <xdr:to>
      <xdr:col>51</xdr:col>
      <xdr:colOff>180975</xdr:colOff>
      <xdr:row>84</xdr:row>
      <xdr:rowOff>121583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/>
      </xdr:nvCxnSpPr>
      <xdr:spPr>
        <a:xfrm>
          <a:off x="8210550" y="16868775"/>
          <a:ext cx="0" cy="4930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38100</xdr:colOff>
      <xdr:row>45</xdr:row>
      <xdr:rowOff>9525</xdr:rowOff>
    </xdr:from>
    <xdr:to>
      <xdr:col>52</xdr:col>
      <xdr:colOff>38100</xdr:colOff>
      <xdr:row>49</xdr:row>
      <xdr:rowOff>9525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CxnSpPr/>
      </xdr:nvCxnSpPr>
      <xdr:spPr>
        <a:xfrm>
          <a:off x="8286750" y="9601200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45983</xdr:colOff>
      <xdr:row>32</xdr:row>
      <xdr:rowOff>453259</xdr:rowOff>
    </xdr:from>
    <xdr:to>
      <xdr:col>38</xdr:col>
      <xdr:colOff>52552</xdr:colOff>
      <xdr:row>32</xdr:row>
      <xdr:rowOff>453259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CxnSpPr/>
      </xdr:nvCxnSpPr>
      <xdr:spPr>
        <a:xfrm flipH="1">
          <a:off x="5747845" y="7101052"/>
          <a:ext cx="12481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</xdr:colOff>
      <xdr:row>32</xdr:row>
      <xdr:rowOff>457200</xdr:rowOff>
    </xdr:from>
    <xdr:to>
      <xdr:col>36</xdr:col>
      <xdr:colOff>47625</xdr:colOff>
      <xdr:row>46</xdr:row>
      <xdr:rowOff>19050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/>
      </xdr:nvCxnSpPr>
      <xdr:spPr>
        <a:xfrm>
          <a:off x="5915025" y="7105650"/>
          <a:ext cx="9525" cy="26289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46</xdr:row>
      <xdr:rowOff>9525</xdr:rowOff>
    </xdr:from>
    <xdr:to>
      <xdr:col>62</xdr:col>
      <xdr:colOff>6569</xdr:colOff>
      <xdr:row>46</xdr:row>
      <xdr:rowOff>19707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CxnSpPr/>
      </xdr:nvCxnSpPr>
      <xdr:spPr>
        <a:xfrm>
          <a:off x="5760983" y="9725025"/>
          <a:ext cx="3849414" cy="1018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46</xdr:row>
      <xdr:rowOff>9525</xdr:rowOff>
    </xdr:from>
    <xdr:to>
      <xdr:col>62</xdr:col>
      <xdr:colOff>0</xdr:colOff>
      <xdr:row>49</xdr:row>
      <xdr:rowOff>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CxnSpPr/>
      </xdr:nvCxnSpPr>
      <xdr:spPr>
        <a:xfrm>
          <a:off x="9791700" y="9725025"/>
          <a:ext cx="0" cy="3619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185458</xdr:colOff>
      <xdr:row>55</xdr:row>
      <xdr:rowOff>0</xdr:rowOff>
    </xdr:from>
    <xdr:to>
      <xdr:col>111</xdr:col>
      <xdr:colOff>60512</xdr:colOff>
      <xdr:row>55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CxnSpPr/>
      </xdr:nvCxnSpPr>
      <xdr:spPr>
        <a:xfrm>
          <a:off x="17254258" y="11534775"/>
          <a:ext cx="94129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78441</xdr:colOff>
      <xdr:row>55</xdr:row>
      <xdr:rowOff>9525</xdr:rowOff>
    </xdr:from>
    <xdr:to>
      <xdr:col>111</xdr:col>
      <xdr:colOff>97491</xdr:colOff>
      <xdr:row>96</xdr:row>
      <xdr:rowOff>85165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CxnSpPr/>
      </xdr:nvCxnSpPr>
      <xdr:spPr>
        <a:xfrm flipH="1">
          <a:off x="17366316" y="11544300"/>
          <a:ext cx="19050" cy="817189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0</xdr:colOff>
      <xdr:row>96</xdr:row>
      <xdr:rowOff>64434</xdr:rowOff>
    </xdr:from>
    <xdr:to>
      <xdr:col>111</xdr:col>
      <xdr:colOff>97492</xdr:colOff>
      <xdr:row>96</xdr:row>
      <xdr:rowOff>85166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CxnSpPr/>
      </xdr:nvCxnSpPr>
      <xdr:spPr>
        <a:xfrm flipH="1" flipV="1">
          <a:off x="10229850" y="19695459"/>
          <a:ext cx="7155517" cy="2073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5043</xdr:colOff>
      <xdr:row>96</xdr:row>
      <xdr:rowOff>75640</xdr:rowOff>
    </xdr:from>
    <xdr:to>
      <xdr:col>64</xdr:col>
      <xdr:colOff>14568</xdr:colOff>
      <xdr:row>97</xdr:row>
      <xdr:rowOff>141194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CxnSpPr/>
      </xdr:nvCxnSpPr>
      <xdr:spPr>
        <a:xfrm flipH="1">
          <a:off x="10234893" y="19706665"/>
          <a:ext cx="9525" cy="25605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210207</xdr:colOff>
      <xdr:row>14</xdr:row>
      <xdr:rowOff>472966</xdr:rowOff>
    </xdr:from>
    <xdr:to>
      <xdr:col>68</xdr:col>
      <xdr:colOff>6569</xdr:colOff>
      <xdr:row>14</xdr:row>
      <xdr:rowOff>472966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CxnSpPr/>
      </xdr:nvCxnSpPr>
      <xdr:spPr>
        <a:xfrm>
          <a:off x="10247586" y="3481552"/>
          <a:ext cx="1905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47625</xdr:colOff>
      <xdr:row>14</xdr:row>
      <xdr:rowOff>485775</xdr:rowOff>
    </xdr:from>
    <xdr:to>
      <xdr:col>68</xdr:col>
      <xdr:colOff>2241</xdr:colOff>
      <xdr:row>64</xdr:row>
      <xdr:rowOff>95250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CxnSpPr/>
      </xdr:nvCxnSpPr>
      <xdr:spPr>
        <a:xfrm flipH="1">
          <a:off x="10610850" y="3495675"/>
          <a:ext cx="11766" cy="99536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164224</xdr:colOff>
      <xdr:row>64</xdr:row>
      <xdr:rowOff>85396</xdr:rowOff>
    </xdr:from>
    <xdr:to>
      <xdr:col>67</xdr:col>
      <xdr:colOff>52551</xdr:colOff>
      <xdr:row>64</xdr:row>
      <xdr:rowOff>91965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CxnSpPr/>
      </xdr:nvCxnSpPr>
      <xdr:spPr>
        <a:xfrm flipH="1">
          <a:off x="4939862" y="13440103"/>
          <a:ext cx="5485086" cy="656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157655</xdr:colOff>
      <xdr:row>64</xdr:row>
      <xdr:rowOff>88120</xdr:rowOff>
    </xdr:from>
    <xdr:to>
      <xdr:col>31</xdr:col>
      <xdr:colOff>163356</xdr:colOff>
      <xdr:row>67</xdr:row>
      <xdr:rowOff>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CxnSpPr/>
      </xdr:nvCxnSpPr>
      <xdr:spPr>
        <a:xfrm flipH="1">
          <a:off x="4933293" y="13442827"/>
          <a:ext cx="5701" cy="28631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171450</xdr:colOff>
      <xdr:row>42</xdr:row>
      <xdr:rowOff>228600</xdr:rowOff>
    </xdr:from>
    <xdr:to>
      <xdr:col>68</xdr:col>
      <xdr:colOff>0</xdr:colOff>
      <xdr:row>42</xdr:row>
      <xdr:rowOff>238125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CxnSpPr/>
      </xdr:nvCxnSpPr>
      <xdr:spPr>
        <a:xfrm flipH="1">
          <a:off x="10401300" y="8820150"/>
          <a:ext cx="219075" cy="9525"/>
        </a:xfrm>
        <a:prstGeom prst="straightConnector1">
          <a:avLst/>
        </a:prstGeom>
        <a:ln>
          <a:headEnd type="oval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85725</xdr:colOff>
      <xdr:row>53</xdr:row>
      <xdr:rowOff>0</xdr:rowOff>
    </xdr:from>
    <xdr:to>
      <xdr:col>62</xdr:col>
      <xdr:colOff>91965</xdr:colOff>
      <xdr:row>55</xdr:row>
      <xdr:rowOff>111673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>
        <a:xfrm>
          <a:off x="9689553" y="11285483"/>
          <a:ext cx="6240" cy="36129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</xdr:colOff>
      <xdr:row>55</xdr:row>
      <xdr:rowOff>114300</xdr:rowOff>
    </xdr:from>
    <xdr:to>
      <xdr:col>62</xdr:col>
      <xdr:colOff>85396</xdr:colOff>
      <xdr:row>56</xdr:row>
      <xdr:rowOff>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CxnSpPr/>
      </xdr:nvCxnSpPr>
      <xdr:spPr>
        <a:xfrm flipH="1" flipV="1">
          <a:off x="4992416" y="11649403"/>
          <a:ext cx="4696808" cy="1051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200025</xdr:colOff>
      <xdr:row>55</xdr:row>
      <xdr:rowOff>104775</xdr:rowOff>
    </xdr:from>
    <xdr:to>
      <xdr:col>31</xdr:col>
      <xdr:colOff>209550</xdr:colOff>
      <xdr:row>59</xdr:row>
      <xdr:rowOff>9525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CxnSpPr/>
      </xdr:nvCxnSpPr>
      <xdr:spPr>
        <a:xfrm flipH="1">
          <a:off x="5143500" y="11639550"/>
          <a:ext cx="9525" cy="400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39416</xdr:colOff>
      <xdr:row>32</xdr:row>
      <xdr:rowOff>472966</xdr:rowOff>
    </xdr:from>
    <xdr:to>
      <xdr:col>59</xdr:col>
      <xdr:colOff>0</xdr:colOff>
      <xdr:row>32</xdr:row>
      <xdr:rowOff>473295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CxnSpPr/>
      </xdr:nvCxnSpPr>
      <xdr:spPr>
        <a:xfrm flipH="1">
          <a:off x="8815554" y="7120759"/>
          <a:ext cx="137946" cy="32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47625</xdr:colOff>
      <xdr:row>32</xdr:row>
      <xdr:rowOff>466725</xdr:rowOff>
    </xdr:from>
    <xdr:to>
      <xdr:col>57</xdr:col>
      <xdr:colOff>9525</xdr:colOff>
      <xdr:row>66</xdr:row>
      <xdr:rowOff>19050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CxnSpPr/>
      </xdr:nvCxnSpPr>
      <xdr:spPr>
        <a:xfrm>
          <a:off x="9010650" y="7115175"/>
          <a:ext cx="19050" cy="65055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104775</xdr:colOff>
      <xdr:row>65</xdr:row>
      <xdr:rowOff>104775</xdr:rowOff>
    </xdr:from>
    <xdr:to>
      <xdr:col>57</xdr:col>
      <xdr:colOff>9526</xdr:colOff>
      <xdr:row>66</xdr:row>
      <xdr:rowOff>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/>
      </xdr:nvCxnSpPr>
      <xdr:spPr>
        <a:xfrm flipH="1" flipV="1">
          <a:off x="6810375" y="13582650"/>
          <a:ext cx="2219326" cy="190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114300</xdr:colOff>
      <xdr:row>65</xdr:row>
      <xdr:rowOff>95250</xdr:rowOff>
    </xdr:from>
    <xdr:to>
      <xdr:col>42</xdr:col>
      <xdr:colOff>123825</xdr:colOff>
      <xdr:row>67</xdr:row>
      <xdr:rowOff>19050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CxnSpPr/>
      </xdr:nvCxnSpPr>
      <xdr:spPr>
        <a:xfrm>
          <a:off x="6819900" y="13573125"/>
          <a:ext cx="9525" cy="171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47625</xdr:colOff>
      <xdr:row>42</xdr:row>
      <xdr:rowOff>551793</xdr:rowOff>
    </xdr:from>
    <xdr:to>
      <xdr:col>29</xdr:col>
      <xdr:colOff>0</xdr:colOff>
      <xdr:row>42</xdr:row>
      <xdr:rowOff>552451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CxnSpPr/>
      </xdr:nvCxnSpPr>
      <xdr:spPr>
        <a:xfrm flipH="1">
          <a:off x="4212349" y="9144000"/>
          <a:ext cx="129737" cy="65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42</xdr:row>
      <xdr:rowOff>552450</xdr:rowOff>
    </xdr:from>
    <xdr:to>
      <xdr:col>27</xdr:col>
      <xdr:colOff>9525</xdr:colOff>
      <xdr:row>83</xdr:row>
      <xdr:rowOff>28575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CxnSpPr/>
      </xdr:nvCxnSpPr>
      <xdr:spPr>
        <a:xfrm>
          <a:off x="4371975" y="9144000"/>
          <a:ext cx="28575" cy="80010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161926</xdr:colOff>
      <xdr:row>73</xdr:row>
      <xdr:rowOff>95250</xdr:rowOff>
    </xdr:from>
    <xdr:to>
      <xdr:col>27</xdr:col>
      <xdr:colOff>0</xdr:colOff>
      <xdr:row>73</xdr:row>
      <xdr:rowOff>95251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CxnSpPr/>
      </xdr:nvCxnSpPr>
      <xdr:spPr>
        <a:xfrm flipH="1">
          <a:off x="3781426" y="15268575"/>
          <a:ext cx="609599" cy="1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161925</xdr:colOff>
      <xdr:row>73</xdr:row>
      <xdr:rowOff>95250</xdr:rowOff>
    </xdr:from>
    <xdr:to>
      <xdr:col>22</xdr:col>
      <xdr:colOff>161925</xdr:colOff>
      <xdr:row>77</xdr:row>
      <xdr:rowOff>19050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CxnSpPr/>
      </xdr:nvCxnSpPr>
      <xdr:spPr>
        <a:xfrm>
          <a:off x="3781425" y="15268575"/>
          <a:ext cx="0" cy="4191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190500</xdr:colOff>
      <xdr:row>64</xdr:row>
      <xdr:rowOff>114300</xdr:rowOff>
    </xdr:from>
    <xdr:to>
      <xdr:col>26</xdr:col>
      <xdr:colOff>28575</xdr:colOff>
      <xdr:row>65</xdr:row>
      <xdr:rowOff>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CxnSpPr/>
      </xdr:nvCxnSpPr>
      <xdr:spPr>
        <a:xfrm flipH="1">
          <a:off x="3590925" y="13468350"/>
          <a:ext cx="771525" cy="9525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180975</xdr:colOff>
      <xdr:row>64</xdr:row>
      <xdr:rowOff>104775</xdr:rowOff>
    </xdr:from>
    <xdr:to>
      <xdr:col>21</xdr:col>
      <xdr:colOff>180975</xdr:colOff>
      <xdr:row>67</xdr:row>
      <xdr:rowOff>9525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CxnSpPr/>
      </xdr:nvCxnSpPr>
      <xdr:spPr>
        <a:xfrm>
          <a:off x="3581400" y="13458825"/>
          <a:ext cx="0" cy="2762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9526</xdr:colOff>
      <xdr:row>83</xdr:row>
      <xdr:rowOff>19050</xdr:rowOff>
    </xdr:from>
    <xdr:to>
      <xdr:col>32</xdr:col>
      <xdr:colOff>28575</xdr:colOff>
      <xdr:row>83</xdr:row>
      <xdr:rowOff>19050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CxnSpPr/>
      </xdr:nvCxnSpPr>
      <xdr:spPr>
        <a:xfrm flipH="1">
          <a:off x="4400551" y="17135475"/>
          <a:ext cx="790574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</xdr:colOff>
      <xdr:row>83</xdr:row>
      <xdr:rowOff>19050</xdr:rowOff>
    </xdr:from>
    <xdr:to>
      <xdr:col>32</xdr:col>
      <xdr:colOff>28575</xdr:colOff>
      <xdr:row>85</xdr:row>
      <xdr:rowOff>19050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CxnSpPr/>
      </xdr:nvCxnSpPr>
      <xdr:spPr>
        <a:xfrm>
          <a:off x="5191125" y="17135475"/>
          <a:ext cx="0" cy="2476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38100</xdr:colOff>
      <xdr:row>42</xdr:row>
      <xdr:rowOff>314325</xdr:rowOff>
    </xdr:from>
    <xdr:to>
      <xdr:col>49</xdr:col>
      <xdr:colOff>0</xdr:colOff>
      <xdr:row>42</xdr:row>
      <xdr:rowOff>323850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CxnSpPr/>
      </xdr:nvCxnSpPr>
      <xdr:spPr>
        <a:xfrm flipH="1">
          <a:off x="7515225" y="8905875"/>
          <a:ext cx="7620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19050</xdr:colOff>
      <xdr:row>42</xdr:row>
      <xdr:rowOff>342900</xdr:rowOff>
    </xdr:from>
    <xdr:to>
      <xdr:col>47</xdr:col>
      <xdr:colOff>47625</xdr:colOff>
      <xdr:row>74</xdr:row>
      <xdr:rowOff>0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CxnSpPr/>
      </xdr:nvCxnSpPr>
      <xdr:spPr>
        <a:xfrm flipH="1">
          <a:off x="7496175" y="8934450"/>
          <a:ext cx="28575" cy="63627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170793</xdr:colOff>
      <xdr:row>73</xdr:row>
      <xdr:rowOff>114300</xdr:rowOff>
    </xdr:from>
    <xdr:to>
      <xdr:col>47</xdr:col>
      <xdr:colOff>9527</xdr:colOff>
      <xdr:row>74</xdr:row>
      <xdr:rowOff>6569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CxnSpPr/>
      </xdr:nvCxnSpPr>
      <xdr:spPr>
        <a:xfrm flipH="1">
          <a:off x="4946431" y="15288610"/>
          <a:ext cx="2361217" cy="1708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171450</xdr:colOff>
      <xdr:row>74</xdr:row>
      <xdr:rowOff>9525</xdr:rowOff>
    </xdr:from>
    <xdr:to>
      <xdr:col>31</xdr:col>
      <xdr:colOff>171450</xdr:colOff>
      <xdr:row>76</xdr:row>
      <xdr:rowOff>114300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CxnSpPr/>
      </xdr:nvCxnSpPr>
      <xdr:spPr>
        <a:xfrm>
          <a:off x="5114925" y="15306675"/>
          <a:ext cx="0" cy="3524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26276</xdr:colOff>
      <xdr:row>74</xdr:row>
      <xdr:rowOff>28575</xdr:rowOff>
    </xdr:from>
    <xdr:to>
      <xdr:col>37</xdr:col>
      <xdr:colOff>28575</xdr:colOff>
      <xdr:row>83</xdr:row>
      <xdr:rowOff>105104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CxnSpPr/>
      </xdr:nvCxnSpPr>
      <xdr:spPr>
        <a:xfrm flipH="1">
          <a:off x="5787259" y="15327696"/>
          <a:ext cx="2299" cy="1896132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190500</xdr:colOff>
      <xdr:row>83</xdr:row>
      <xdr:rowOff>85726</xdr:rowOff>
    </xdr:from>
    <xdr:to>
      <xdr:col>37</xdr:col>
      <xdr:colOff>28575</xdr:colOff>
      <xdr:row>83</xdr:row>
      <xdr:rowOff>104775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CxnSpPr/>
      </xdr:nvCxnSpPr>
      <xdr:spPr>
        <a:xfrm flipH="1" flipV="1">
          <a:off x="3590925" y="17202151"/>
          <a:ext cx="2371725" cy="1904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194113</xdr:colOff>
      <xdr:row>83</xdr:row>
      <xdr:rowOff>78499</xdr:rowOff>
    </xdr:from>
    <xdr:to>
      <xdr:col>21</xdr:col>
      <xdr:colOff>194113</xdr:colOff>
      <xdr:row>85</xdr:row>
      <xdr:rowOff>2299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CxnSpPr/>
      </xdr:nvCxnSpPr>
      <xdr:spPr>
        <a:xfrm>
          <a:off x="3432613" y="17197223"/>
          <a:ext cx="0" cy="17342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133350</xdr:colOff>
      <xdr:row>83</xdr:row>
      <xdr:rowOff>104775</xdr:rowOff>
    </xdr:from>
    <xdr:to>
      <xdr:col>33</xdr:col>
      <xdr:colOff>133350</xdr:colOff>
      <xdr:row>85</xdr:row>
      <xdr:rowOff>38100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CxnSpPr/>
      </xdr:nvCxnSpPr>
      <xdr:spPr>
        <a:xfrm>
          <a:off x="5514975" y="17221200"/>
          <a:ext cx="0" cy="180975"/>
        </a:xfrm>
        <a:prstGeom prst="straightConnector1">
          <a:avLst/>
        </a:prstGeom>
        <a:ln>
          <a:headEnd type="oval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38100</xdr:colOff>
      <xdr:row>14</xdr:row>
      <xdr:rowOff>390525</xdr:rowOff>
    </xdr:from>
    <xdr:to>
      <xdr:col>48</xdr:col>
      <xdr:colOff>47626</xdr:colOff>
      <xdr:row>14</xdr:row>
      <xdr:rowOff>390526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CxnSpPr/>
      </xdr:nvCxnSpPr>
      <xdr:spPr>
        <a:xfrm flipH="1" flipV="1">
          <a:off x="7296150" y="3400425"/>
          <a:ext cx="123826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51288</xdr:colOff>
      <xdr:row>42</xdr:row>
      <xdr:rowOff>556846</xdr:rowOff>
    </xdr:from>
    <xdr:to>
      <xdr:col>29</xdr:col>
      <xdr:colOff>19051</xdr:colOff>
      <xdr:row>42</xdr:row>
      <xdr:rowOff>561976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CxnSpPr/>
      </xdr:nvCxnSpPr>
      <xdr:spPr>
        <a:xfrm flipH="1" flipV="1">
          <a:off x="4223238" y="9262696"/>
          <a:ext cx="139213" cy="513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51288</xdr:colOff>
      <xdr:row>42</xdr:row>
      <xdr:rowOff>556846</xdr:rowOff>
    </xdr:from>
    <xdr:to>
      <xdr:col>29</xdr:col>
      <xdr:colOff>19051</xdr:colOff>
      <xdr:row>42</xdr:row>
      <xdr:rowOff>561976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CxnSpPr/>
      </xdr:nvCxnSpPr>
      <xdr:spPr>
        <a:xfrm flipH="1" flipV="1">
          <a:off x="4223238" y="9262696"/>
          <a:ext cx="139213" cy="513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12439650" y="4953000"/>
          <a:ext cx="0" cy="350767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12439650" y="4953000"/>
          <a:ext cx="0" cy="350767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168275</xdr:colOff>
      <xdr:row>9</xdr:row>
      <xdr:rowOff>9525</xdr:rowOff>
    </xdr:from>
    <xdr:to>
      <xdr:col>31</xdr:col>
      <xdr:colOff>168275</xdr:colOff>
      <xdr:row>10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5111750" y="2333625"/>
          <a:ext cx="0" cy="1143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85725</xdr:colOff>
      <xdr:row>10</xdr:row>
      <xdr:rowOff>9525</xdr:rowOff>
    </xdr:from>
    <xdr:to>
      <xdr:col>31</xdr:col>
      <xdr:colOff>187325</xdr:colOff>
      <xdr:row>10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 flipH="1">
          <a:off x="3705225" y="2457450"/>
          <a:ext cx="142557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95250</xdr:colOff>
      <xdr:row>10</xdr:row>
      <xdr:rowOff>15875</xdr:rowOff>
    </xdr:from>
    <xdr:to>
      <xdr:col>22</xdr:col>
      <xdr:colOff>95251</xdr:colOff>
      <xdr:row>13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 flipH="1">
          <a:off x="3714750" y="2463800"/>
          <a:ext cx="1" cy="365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38100</xdr:colOff>
      <xdr:row>9</xdr:row>
      <xdr:rowOff>0</xdr:rowOff>
    </xdr:from>
    <xdr:to>
      <xdr:col>42</xdr:col>
      <xdr:colOff>38100</xdr:colOff>
      <xdr:row>13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>
          <a:off x="6743700" y="2324100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38100</xdr:colOff>
      <xdr:row>10</xdr:row>
      <xdr:rowOff>114300</xdr:rowOff>
    </xdr:from>
    <xdr:to>
      <xdr:col>52</xdr:col>
      <xdr:colOff>85725</xdr:colOff>
      <xdr:row>10</xdr:row>
      <xdr:rowOff>114300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>
        <a:xfrm>
          <a:off x="6743700" y="2562225"/>
          <a:ext cx="1590675" cy="0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38100</xdr:colOff>
      <xdr:row>9</xdr:row>
      <xdr:rowOff>0</xdr:rowOff>
    </xdr:from>
    <xdr:to>
      <xdr:col>51</xdr:col>
      <xdr:colOff>38100</xdr:colOff>
      <xdr:row>11</xdr:row>
      <xdr:rowOff>104775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>
          <a:off x="8067675" y="2324100"/>
          <a:ext cx="0" cy="3524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19050</xdr:colOff>
      <xdr:row>11</xdr:row>
      <xdr:rowOff>114300</xdr:rowOff>
    </xdr:from>
    <xdr:to>
      <xdr:col>51</xdr:col>
      <xdr:colOff>28575</xdr:colOff>
      <xdr:row>11</xdr:row>
      <xdr:rowOff>114300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/>
      </xdr:nvCxnSpPr>
      <xdr:spPr>
        <a:xfrm flipH="1">
          <a:off x="7162800" y="2686050"/>
          <a:ext cx="8953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25619</xdr:colOff>
      <xdr:row>11</xdr:row>
      <xdr:rowOff>118242</xdr:rowOff>
    </xdr:from>
    <xdr:to>
      <xdr:col>44</xdr:col>
      <xdr:colOff>35144</xdr:colOff>
      <xdr:row>13</xdr:row>
      <xdr:rowOff>2957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6988722" y="2686708"/>
          <a:ext cx="9525" cy="13433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8</xdr:row>
      <xdr:rowOff>190500</xdr:rowOff>
    </xdr:from>
    <xdr:to>
      <xdr:col>62</xdr:col>
      <xdr:colOff>0</xdr:colOff>
      <xdr:row>12</xdr:row>
      <xdr:rowOff>104775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/>
      </xdr:nvCxnSpPr>
      <xdr:spPr>
        <a:xfrm>
          <a:off x="9791700" y="2314575"/>
          <a:ext cx="0" cy="485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17</xdr:row>
      <xdr:rowOff>9525</xdr:rowOff>
    </xdr:from>
    <xdr:to>
      <xdr:col>52</xdr:col>
      <xdr:colOff>0</xdr:colOff>
      <xdr:row>20</xdr:row>
      <xdr:rowOff>38100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/>
      </xdr:nvCxnSpPr>
      <xdr:spPr>
        <a:xfrm>
          <a:off x="8248650" y="4029075"/>
          <a:ext cx="0" cy="4000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</xdr:colOff>
      <xdr:row>20</xdr:row>
      <xdr:rowOff>19050</xdr:rowOff>
    </xdr:from>
    <xdr:to>
      <xdr:col>51</xdr:col>
      <xdr:colOff>209551</xdr:colOff>
      <xdr:row>20</xdr:row>
      <xdr:rowOff>19050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 flipH="1">
          <a:off x="5181600" y="4410075"/>
          <a:ext cx="305752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</xdr:colOff>
      <xdr:row>20</xdr:row>
      <xdr:rowOff>28575</xdr:rowOff>
    </xdr:from>
    <xdr:to>
      <xdr:col>32</xdr:col>
      <xdr:colOff>19051</xdr:colOff>
      <xdr:row>22</xdr:row>
      <xdr:rowOff>114300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/>
      </xdr:nvCxnSpPr>
      <xdr:spPr>
        <a:xfrm flipH="1">
          <a:off x="5181600" y="4419600"/>
          <a:ext cx="1" cy="3333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190500</xdr:colOff>
      <xdr:row>17</xdr:row>
      <xdr:rowOff>19050</xdr:rowOff>
    </xdr:from>
    <xdr:to>
      <xdr:col>61</xdr:col>
      <xdr:colOff>190500</xdr:colOff>
      <xdr:row>20</xdr:row>
      <xdr:rowOff>95250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/>
      </xdr:nvCxnSpPr>
      <xdr:spPr>
        <a:xfrm>
          <a:off x="9763125" y="4038600"/>
          <a:ext cx="0" cy="4476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104775</xdr:colOff>
      <xdr:row>20</xdr:row>
      <xdr:rowOff>104775</xdr:rowOff>
    </xdr:from>
    <xdr:to>
      <xdr:col>61</xdr:col>
      <xdr:colOff>200025</xdr:colOff>
      <xdr:row>20</xdr:row>
      <xdr:rowOff>104775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/>
      </xdr:nvCxnSpPr>
      <xdr:spPr>
        <a:xfrm flipH="1">
          <a:off x="6810375" y="4495800"/>
          <a:ext cx="296227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104775</xdr:colOff>
      <xdr:row>20</xdr:row>
      <xdr:rowOff>104775</xdr:rowOff>
    </xdr:from>
    <xdr:to>
      <xdr:col>42</xdr:col>
      <xdr:colOff>104775</xdr:colOff>
      <xdr:row>23</xdr:row>
      <xdr:rowOff>28575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/>
      </xdr:nvCxnSpPr>
      <xdr:spPr>
        <a:xfrm>
          <a:off x="6810375" y="4495800"/>
          <a:ext cx="0" cy="2952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16</xdr:row>
      <xdr:rowOff>190500</xdr:rowOff>
    </xdr:from>
    <xdr:to>
      <xdr:col>53</xdr:col>
      <xdr:colOff>190500</xdr:colOff>
      <xdr:row>22</xdr:row>
      <xdr:rowOff>114300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>
          <a:off x="8658225" y="4010025"/>
          <a:ext cx="0" cy="7429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34488</xdr:colOff>
      <xdr:row>14</xdr:row>
      <xdr:rowOff>387569</xdr:rowOff>
    </xdr:from>
    <xdr:to>
      <xdr:col>49</xdr:col>
      <xdr:colOff>13138</xdr:colOff>
      <xdr:row>14</xdr:row>
      <xdr:rowOff>391184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>
        <a:xfrm flipH="1">
          <a:off x="7273488" y="3396155"/>
          <a:ext cx="156012" cy="361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38100</xdr:colOff>
      <xdr:row>14</xdr:row>
      <xdr:rowOff>390525</xdr:rowOff>
    </xdr:from>
    <xdr:to>
      <xdr:col>46</xdr:col>
      <xdr:colOff>38100</xdr:colOff>
      <xdr:row>29</xdr:row>
      <xdr:rowOff>85725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/>
      </xdr:nvCxnSpPr>
      <xdr:spPr>
        <a:xfrm>
          <a:off x="7458075" y="3400425"/>
          <a:ext cx="0" cy="28956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134007</xdr:colOff>
      <xdr:row>29</xdr:row>
      <xdr:rowOff>72587</xdr:rowOff>
    </xdr:from>
    <xdr:to>
      <xdr:col>46</xdr:col>
      <xdr:colOff>38757</xdr:colOff>
      <xdr:row>29</xdr:row>
      <xdr:rowOff>72587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/>
      </xdr:nvCxnSpPr>
      <xdr:spPr>
        <a:xfrm flipH="1">
          <a:off x="5126421" y="6280259"/>
          <a:ext cx="215133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123825</xdr:colOff>
      <xdr:row>29</xdr:row>
      <xdr:rowOff>66675</xdr:rowOff>
    </xdr:from>
    <xdr:to>
      <xdr:col>32</xdr:col>
      <xdr:colOff>123825</xdr:colOff>
      <xdr:row>31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/>
      </xdr:nvCxnSpPr>
      <xdr:spPr>
        <a:xfrm>
          <a:off x="5286375" y="6276975"/>
          <a:ext cx="0" cy="1809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209550</xdr:colOff>
      <xdr:row>26</xdr:row>
      <xdr:rowOff>190500</xdr:rowOff>
    </xdr:from>
    <xdr:to>
      <xdr:col>41</xdr:col>
      <xdr:colOff>209550</xdr:colOff>
      <xdr:row>30</xdr:row>
      <xdr:rowOff>114300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/>
      </xdr:nvCxnSpPr>
      <xdr:spPr>
        <a:xfrm>
          <a:off x="6696075" y="595312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9525</xdr:colOff>
      <xdr:row>27</xdr:row>
      <xdr:rowOff>9525</xdr:rowOff>
    </xdr:from>
    <xdr:to>
      <xdr:col>52</xdr:col>
      <xdr:colOff>9525</xdr:colOff>
      <xdr:row>31</xdr:row>
      <xdr:rowOff>9525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/>
      </xdr:nvCxnSpPr>
      <xdr:spPr>
        <a:xfrm>
          <a:off x="8258175" y="597217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27</xdr:row>
      <xdr:rowOff>9525</xdr:rowOff>
    </xdr:from>
    <xdr:to>
      <xdr:col>62</xdr:col>
      <xdr:colOff>0</xdr:colOff>
      <xdr:row>31</xdr:row>
      <xdr:rowOff>9525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/>
      </xdr:nvCxnSpPr>
      <xdr:spPr>
        <a:xfrm>
          <a:off x="9791700" y="597217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38100</xdr:colOff>
      <xdr:row>32</xdr:row>
      <xdr:rowOff>419100</xdr:rowOff>
    </xdr:from>
    <xdr:to>
      <xdr:col>49</xdr:col>
      <xdr:colOff>0</xdr:colOff>
      <xdr:row>32</xdr:row>
      <xdr:rowOff>419100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/>
      </xdr:nvCxnSpPr>
      <xdr:spPr>
        <a:xfrm flipH="1">
          <a:off x="7515225" y="7067550"/>
          <a:ext cx="762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28575</xdr:colOff>
      <xdr:row>32</xdr:row>
      <xdr:rowOff>419100</xdr:rowOff>
    </xdr:from>
    <xdr:to>
      <xdr:col>47</xdr:col>
      <xdr:colOff>38100</xdr:colOff>
      <xdr:row>47</xdr:row>
      <xdr:rowOff>95250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/>
      </xdr:nvCxnSpPr>
      <xdr:spPr>
        <a:xfrm>
          <a:off x="7505700" y="7067550"/>
          <a:ext cx="9525" cy="2867025"/>
        </a:xfrm>
        <a:prstGeom prst="line">
          <a:avLst/>
        </a:prstGeom>
        <a:ln>
          <a:tail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176707</xdr:colOff>
      <xdr:row>47</xdr:row>
      <xdr:rowOff>85726</xdr:rowOff>
    </xdr:from>
    <xdr:to>
      <xdr:col>51</xdr:col>
      <xdr:colOff>148130</xdr:colOff>
      <xdr:row>47</xdr:row>
      <xdr:rowOff>95250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/>
      </xdr:nvCxnSpPr>
      <xdr:spPr>
        <a:xfrm flipH="1" flipV="1">
          <a:off x="6706259" y="9926036"/>
          <a:ext cx="1291785" cy="952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180975</xdr:colOff>
      <xdr:row>47</xdr:row>
      <xdr:rowOff>85725</xdr:rowOff>
    </xdr:from>
    <xdr:to>
      <xdr:col>42</xdr:col>
      <xdr:colOff>190500</xdr:colOff>
      <xdr:row>49</xdr:row>
      <xdr:rowOff>9525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/>
      </xdr:nvCxnSpPr>
      <xdr:spPr>
        <a:xfrm>
          <a:off x="6886575" y="9925050"/>
          <a:ext cx="9525" cy="171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38100</xdr:colOff>
      <xdr:row>81</xdr:row>
      <xdr:rowOff>0</xdr:rowOff>
    </xdr:from>
    <xdr:to>
      <xdr:col>52</xdr:col>
      <xdr:colOff>38100</xdr:colOff>
      <xdr:row>84</xdr:row>
      <xdr:rowOff>121583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>
          <a:off x="8286750" y="16868775"/>
          <a:ext cx="0" cy="4930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42</xdr:row>
      <xdr:rowOff>542926</xdr:rowOff>
    </xdr:from>
    <xdr:to>
      <xdr:col>29</xdr:col>
      <xdr:colOff>13138</xdr:colOff>
      <xdr:row>42</xdr:row>
      <xdr:rowOff>545224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 flipH="1" flipV="1">
          <a:off x="4174249" y="9135133"/>
          <a:ext cx="180975" cy="229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42</xdr:row>
      <xdr:rowOff>542925</xdr:rowOff>
    </xdr:from>
    <xdr:to>
      <xdr:col>26</xdr:col>
      <xdr:colOff>9525</xdr:colOff>
      <xdr:row>73</xdr:row>
      <xdr:rowOff>104775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/>
      </xdr:nvCxnSpPr>
      <xdr:spPr>
        <a:xfrm>
          <a:off x="4333875" y="9134475"/>
          <a:ext cx="9525" cy="61436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123826</xdr:colOff>
      <xdr:row>73</xdr:row>
      <xdr:rowOff>85725</xdr:rowOff>
    </xdr:from>
    <xdr:to>
      <xdr:col>26</xdr:col>
      <xdr:colOff>19050</xdr:colOff>
      <xdr:row>73</xdr:row>
      <xdr:rowOff>85726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/>
      </xdr:nvCxnSpPr>
      <xdr:spPr>
        <a:xfrm flipH="1">
          <a:off x="3743326" y="15259050"/>
          <a:ext cx="609599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123825</xdr:colOff>
      <xdr:row>73</xdr:row>
      <xdr:rowOff>85725</xdr:rowOff>
    </xdr:from>
    <xdr:to>
      <xdr:col>22</xdr:col>
      <xdr:colOff>123825</xdr:colOff>
      <xdr:row>77</xdr:row>
      <xdr:rowOff>9525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/>
      </xdr:nvCxnSpPr>
      <xdr:spPr>
        <a:xfrm>
          <a:off x="3743325" y="15259050"/>
          <a:ext cx="0" cy="4191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164224</xdr:colOff>
      <xdr:row>64</xdr:row>
      <xdr:rowOff>104775</xdr:rowOff>
    </xdr:from>
    <xdr:to>
      <xdr:col>25</xdr:col>
      <xdr:colOff>47625</xdr:colOff>
      <xdr:row>64</xdr:row>
      <xdr:rowOff>105103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/>
      </xdr:nvCxnSpPr>
      <xdr:spPr>
        <a:xfrm flipH="1">
          <a:off x="3402724" y="13459482"/>
          <a:ext cx="750504" cy="328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169151</xdr:colOff>
      <xdr:row>64</xdr:row>
      <xdr:rowOff>101819</xdr:rowOff>
    </xdr:from>
    <xdr:to>
      <xdr:col>21</xdr:col>
      <xdr:colOff>169151</xdr:colOff>
      <xdr:row>67</xdr:row>
      <xdr:rowOff>6569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>
          <a:off x="3407651" y="13456526"/>
          <a:ext cx="0" cy="27918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0</xdr:colOff>
      <xdr:row>14</xdr:row>
      <xdr:rowOff>390525</xdr:rowOff>
    </xdr:from>
    <xdr:to>
      <xdr:col>67</xdr:col>
      <xdr:colOff>0</xdr:colOff>
      <xdr:row>14</xdr:row>
      <xdr:rowOff>400050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/>
      </xdr:nvCxnSpPr>
      <xdr:spPr>
        <a:xfrm>
          <a:off x="10448925" y="3400425"/>
          <a:ext cx="11430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9525</xdr:colOff>
      <xdr:row>14</xdr:row>
      <xdr:rowOff>409575</xdr:rowOff>
    </xdr:from>
    <xdr:to>
      <xdr:col>67</xdr:col>
      <xdr:colOff>19050</xdr:colOff>
      <xdr:row>37</xdr:row>
      <xdr:rowOff>104775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/>
      </xdr:nvCxnSpPr>
      <xdr:spPr>
        <a:xfrm flipH="1">
          <a:off x="10572750" y="3419475"/>
          <a:ext cx="9525" cy="45910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161925</xdr:colOff>
      <xdr:row>37</xdr:row>
      <xdr:rowOff>104775</xdr:rowOff>
    </xdr:from>
    <xdr:to>
      <xdr:col>67</xdr:col>
      <xdr:colOff>9525</xdr:colOff>
      <xdr:row>37</xdr:row>
      <xdr:rowOff>104775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/>
      </xdr:nvCxnSpPr>
      <xdr:spPr>
        <a:xfrm flipH="1">
          <a:off x="9734550" y="8010525"/>
          <a:ext cx="8382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171450</xdr:colOff>
      <xdr:row>37</xdr:row>
      <xdr:rowOff>104775</xdr:rowOff>
    </xdr:from>
    <xdr:to>
      <xdr:col>61</xdr:col>
      <xdr:colOff>180975</xdr:colOff>
      <xdr:row>41</xdr:row>
      <xdr:rowOff>9525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/>
      </xdr:nvCxnSpPr>
      <xdr:spPr>
        <a:xfrm>
          <a:off x="9744075" y="8010525"/>
          <a:ext cx="9525" cy="400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190500</xdr:colOff>
      <xdr:row>35</xdr:row>
      <xdr:rowOff>19050</xdr:rowOff>
    </xdr:from>
    <xdr:to>
      <xdr:col>41</xdr:col>
      <xdr:colOff>190500</xdr:colOff>
      <xdr:row>38</xdr:row>
      <xdr:rowOff>19050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/>
      </xdr:nvCxnSpPr>
      <xdr:spPr>
        <a:xfrm>
          <a:off x="6677025" y="7677150"/>
          <a:ext cx="0" cy="3714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200025</xdr:colOff>
      <xdr:row>38</xdr:row>
      <xdr:rowOff>19050</xdr:rowOff>
    </xdr:from>
    <xdr:to>
      <xdr:col>52</xdr:col>
      <xdr:colOff>0</xdr:colOff>
      <xdr:row>38</xdr:row>
      <xdr:rowOff>19050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/>
      </xdr:nvCxnSpPr>
      <xdr:spPr>
        <a:xfrm>
          <a:off x="6686550" y="8048625"/>
          <a:ext cx="15621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9525</xdr:colOff>
      <xdr:row>38</xdr:row>
      <xdr:rowOff>38100</xdr:rowOff>
    </xdr:from>
    <xdr:to>
      <xdr:col>52</xdr:col>
      <xdr:colOff>9525</xdr:colOff>
      <xdr:row>41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/>
      </xdr:nvCxnSpPr>
      <xdr:spPr>
        <a:xfrm>
          <a:off x="8258175" y="8067675"/>
          <a:ext cx="0" cy="3333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82924</xdr:colOff>
      <xdr:row>34</xdr:row>
      <xdr:rowOff>180975</xdr:rowOff>
    </xdr:from>
    <xdr:to>
      <xdr:col>61</xdr:col>
      <xdr:colOff>85725</xdr:colOff>
      <xdr:row>37</xdr:row>
      <xdr:rowOff>28575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/>
      </xdr:nvCxnSpPr>
      <xdr:spPr>
        <a:xfrm>
          <a:off x="9655549" y="7639050"/>
          <a:ext cx="2801" cy="2952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123825</xdr:colOff>
      <xdr:row>37</xdr:row>
      <xdr:rowOff>26894</xdr:rowOff>
    </xdr:from>
    <xdr:to>
      <xdr:col>61</xdr:col>
      <xdr:colOff>92449</xdr:colOff>
      <xdr:row>37</xdr:row>
      <xdr:rowOff>28575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/>
      </xdr:nvCxnSpPr>
      <xdr:spPr>
        <a:xfrm flipH="1">
          <a:off x="6829425" y="7932644"/>
          <a:ext cx="2835649" cy="168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123825</xdr:colOff>
      <xdr:row>37</xdr:row>
      <xdr:rowOff>19050</xdr:rowOff>
    </xdr:from>
    <xdr:to>
      <xdr:col>42</xdr:col>
      <xdr:colOff>123826</xdr:colOff>
      <xdr:row>40</xdr:row>
      <xdr:rowOff>110938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/>
      </xdr:nvCxnSpPr>
      <xdr:spPr>
        <a:xfrm>
          <a:off x="6829425" y="7924800"/>
          <a:ext cx="1" cy="46336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152400</xdr:colOff>
      <xdr:row>47</xdr:row>
      <xdr:rowOff>95250</xdr:rowOff>
    </xdr:from>
    <xdr:to>
      <xdr:col>51</xdr:col>
      <xdr:colOff>161925</xdr:colOff>
      <xdr:row>49</xdr:row>
      <xdr:rowOff>19050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CxnSpPr/>
      </xdr:nvCxnSpPr>
      <xdr:spPr>
        <a:xfrm>
          <a:off x="8181975" y="9934575"/>
          <a:ext cx="9525" cy="171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22006</xdr:colOff>
      <xdr:row>32</xdr:row>
      <xdr:rowOff>470338</xdr:rowOff>
    </xdr:from>
    <xdr:to>
      <xdr:col>39</xdr:col>
      <xdr:colOff>0</xdr:colOff>
      <xdr:row>32</xdr:row>
      <xdr:rowOff>479535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/>
      </xdr:nvCxnSpPr>
      <xdr:spPr>
        <a:xfrm flipH="1" flipV="1">
          <a:off x="5723868" y="7118131"/>
          <a:ext cx="155356" cy="919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19050</xdr:colOff>
      <xdr:row>32</xdr:row>
      <xdr:rowOff>466725</xdr:rowOff>
    </xdr:from>
    <xdr:to>
      <xdr:col>36</xdr:col>
      <xdr:colOff>28575</xdr:colOff>
      <xdr:row>46</xdr:row>
      <xdr:rowOff>28575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CxnSpPr/>
      </xdr:nvCxnSpPr>
      <xdr:spPr>
        <a:xfrm>
          <a:off x="5895975" y="7115175"/>
          <a:ext cx="9525" cy="26289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</xdr:colOff>
      <xdr:row>46</xdr:row>
      <xdr:rowOff>19050</xdr:rowOff>
    </xdr:from>
    <xdr:to>
      <xdr:col>61</xdr:col>
      <xdr:colOff>171450</xdr:colOff>
      <xdr:row>46</xdr:row>
      <xdr:rowOff>19050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/>
      </xdr:nvCxnSpPr>
      <xdr:spPr>
        <a:xfrm>
          <a:off x="5915025" y="9734550"/>
          <a:ext cx="38290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200025</xdr:colOff>
      <xdr:row>46</xdr:row>
      <xdr:rowOff>19050</xdr:rowOff>
    </xdr:from>
    <xdr:to>
      <xdr:col>61</xdr:col>
      <xdr:colOff>200025</xdr:colOff>
      <xdr:row>49</xdr:row>
      <xdr:rowOff>9525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/>
      </xdr:nvCxnSpPr>
      <xdr:spPr>
        <a:xfrm>
          <a:off x="9772650" y="9734550"/>
          <a:ext cx="0" cy="3619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57150</xdr:colOff>
      <xdr:row>53</xdr:row>
      <xdr:rowOff>0</xdr:rowOff>
    </xdr:from>
    <xdr:to>
      <xdr:col>62</xdr:col>
      <xdr:colOff>57150</xdr:colOff>
      <xdr:row>55</xdr:row>
      <xdr:rowOff>104775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CxnSpPr/>
      </xdr:nvCxnSpPr>
      <xdr:spPr>
        <a:xfrm>
          <a:off x="9848850" y="11287125"/>
          <a:ext cx="0" cy="3524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190501</xdr:colOff>
      <xdr:row>55</xdr:row>
      <xdr:rowOff>114300</xdr:rowOff>
    </xdr:from>
    <xdr:to>
      <xdr:col>62</xdr:col>
      <xdr:colOff>47625</xdr:colOff>
      <xdr:row>55</xdr:row>
      <xdr:rowOff>114300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CxnSpPr/>
      </xdr:nvCxnSpPr>
      <xdr:spPr>
        <a:xfrm flipH="1">
          <a:off x="5133976" y="11649075"/>
          <a:ext cx="4705349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177362</xdr:colOff>
      <xdr:row>55</xdr:row>
      <xdr:rowOff>104775</xdr:rowOff>
    </xdr:from>
    <xdr:to>
      <xdr:col>31</xdr:col>
      <xdr:colOff>180976</xdr:colOff>
      <xdr:row>58</xdr:row>
      <xdr:rowOff>118242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CxnSpPr/>
      </xdr:nvCxnSpPr>
      <xdr:spPr>
        <a:xfrm flipH="1">
          <a:off x="4953000" y="11639878"/>
          <a:ext cx="3614" cy="38789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57</xdr:row>
      <xdr:rowOff>19050</xdr:rowOff>
    </xdr:from>
    <xdr:to>
      <xdr:col>41</xdr:col>
      <xdr:colOff>190500</xdr:colOff>
      <xdr:row>57</xdr:row>
      <xdr:rowOff>19050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/>
      </xdr:nvCxnSpPr>
      <xdr:spPr>
        <a:xfrm>
          <a:off x="4343400" y="11801475"/>
          <a:ext cx="2333625" cy="0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177362</xdr:colOff>
      <xdr:row>57</xdr:row>
      <xdr:rowOff>19050</xdr:rowOff>
    </xdr:from>
    <xdr:to>
      <xdr:col>41</xdr:col>
      <xdr:colOff>183931</xdr:colOff>
      <xdr:row>58</xdr:row>
      <xdr:rowOff>118242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/>
      </xdr:nvCxnSpPr>
      <xdr:spPr>
        <a:xfrm>
          <a:off x="6490138" y="11803774"/>
          <a:ext cx="6569" cy="22400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71</xdr:row>
      <xdr:rowOff>0</xdr:rowOff>
    </xdr:from>
    <xdr:to>
      <xdr:col>32</xdr:col>
      <xdr:colOff>9525</xdr:colOff>
      <xdr:row>77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/>
      </xdr:nvCxnSpPr>
      <xdr:spPr>
        <a:xfrm flipH="1">
          <a:off x="5162550" y="14925675"/>
          <a:ext cx="9525" cy="7429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38100</xdr:colOff>
      <xdr:row>32</xdr:row>
      <xdr:rowOff>457200</xdr:rowOff>
    </xdr:from>
    <xdr:to>
      <xdr:col>59</xdr:col>
      <xdr:colOff>0</xdr:colOff>
      <xdr:row>32</xdr:row>
      <xdr:rowOff>466725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CxnSpPr/>
      </xdr:nvCxnSpPr>
      <xdr:spPr>
        <a:xfrm flipH="1" flipV="1">
          <a:off x="9001125" y="7105650"/>
          <a:ext cx="13335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28575</xdr:colOff>
      <xdr:row>32</xdr:row>
      <xdr:rowOff>457200</xdr:rowOff>
    </xdr:from>
    <xdr:to>
      <xdr:col>56</xdr:col>
      <xdr:colOff>47625</xdr:colOff>
      <xdr:row>66</xdr:row>
      <xdr:rowOff>9525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CxnSpPr/>
      </xdr:nvCxnSpPr>
      <xdr:spPr>
        <a:xfrm>
          <a:off x="8991600" y="7105650"/>
          <a:ext cx="19050" cy="65055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65</xdr:row>
      <xdr:rowOff>104775</xdr:rowOff>
    </xdr:from>
    <xdr:to>
      <xdr:col>56</xdr:col>
      <xdr:colOff>47626</xdr:colOff>
      <xdr:row>66</xdr:row>
      <xdr:rowOff>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/>
      </xdr:nvCxnSpPr>
      <xdr:spPr>
        <a:xfrm flipH="1" flipV="1">
          <a:off x="5172075" y="13582650"/>
          <a:ext cx="3838576" cy="190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</xdr:colOff>
      <xdr:row>65</xdr:row>
      <xdr:rowOff>104775</xdr:rowOff>
    </xdr:from>
    <xdr:to>
      <xdr:col>32</xdr:col>
      <xdr:colOff>28575</xdr:colOff>
      <xdr:row>67</xdr:row>
      <xdr:rowOff>28575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/>
      </xdr:nvCxnSpPr>
      <xdr:spPr>
        <a:xfrm>
          <a:off x="5181600" y="13582650"/>
          <a:ext cx="9525" cy="171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152400</xdr:colOff>
      <xdr:row>80</xdr:row>
      <xdr:rowOff>190500</xdr:rowOff>
    </xdr:from>
    <xdr:to>
      <xdr:col>21</xdr:col>
      <xdr:colOff>152400</xdr:colOff>
      <xdr:row>84</xdr:row>
      <xdr:rowOff>114300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CxnSpPr/>
      </xdr:nvCxnSpPr>
      <xdr:spPr>
        <a:xfrm>
          <a:off x="3552825" y="16859250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2299</xdr:colOff>
      <xdr:row>68</xdr:row>
      <xdr:rowOff>339944</xdr:rowOff>
    </xdr:from>
    <xdr:to>
      <xdr:col>19</xdr:col>
      <xdr:colOff>19707</xdr:colOff>
      <xdr:row>68</xdr:row>
      <xdr:rowOff>341586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CxnSpPr/>
      </xdr:nvCxnSpPr>
      <xdr:spPr>
        <a:xfrm flipH="1" flipV="1">
          <a:off x="2689006" y="14259582"/>
          <a:ext cx="135649" cy="164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68</xdr:row>
      <xdr:rowOff>342900</xdr:rowOff>
    </xdr:from>
    <xdr:to>
      <xdr:col>17</xdr:col>
      <xdr:colOff>0</xdr:colOff>
      <xdr:row>83</xdr:row>
      <xdr:rowOff>9525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/>
      </xdr:nvCxnSpPr>
      <xdr:spPr>
        <a:xfrm>
          <a:off x="2847975" y="14258925"/>
          <a:ext cx="0" cy="28670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82</xdr:row>
      <xdr:rowOff>114300</xdr:rowOff>
    </xdr:from>
    <xdr:to>
      <xdr:col>32</xdr:col>
      <xdr:colOff>0</xdr:colOff>
      <xdr:row>83</xdr:row>
      <xdr:rowOff>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CxnSpPr/>
      </xdr:nvCxnSpPr>
      <xdr:spPr>
        <a:xfrm flipV="1">
          <a:off x="2847975" y="17106900"/>
          <a:ext cx="231457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203638</xdr:colOff>
      <xdr:row>82</xdr:row>
      <xdr:rowOff>111672</xdr:rowOff>
    </xdr:from>
    <xdr:to>
      <xdr:col>31</xdr:col>
      <xdr:colOff>210207</xdr:colOff>
      <xdr:row>85</xdr:row>
      <xdr:rowOff>6569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CxnSpPr/>
      </xdr:nvCxnSpPr>
      <xdr:spPr>
        <a:xfrm flipH="1">
          <a:off x="4979276" y="17105586"/>
          <a:ext cx="6569" cy="26932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38100</xdr:colOff>
      <xdr:row>14</xdr:row>
      <xdr:rowOff>390525</xdr:rowOff>
    </xdr:from>
    <xdr:to>
      <xdr:col>48</xdr:col>
      <xdr:colOff>47626</xdr:colOff>
      <xdr:row>14</xdr:row>
      <xdr:rowOff>390526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/>
      </xdr:nvCxnSpPr>
      <xdr:spPr>
        <a:xfrm flipH="1" flipV="1">
          <a:off x="7296150" y="3400425"/>
          <a:ext cx="123826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24962</xdr:colOff>
      <xdr:row>32</xdr:row>
      <xdr:rowOff>420414</xdr:rowOff>
    </xdr:from>
    <xdr:to>
      <xdr:col>48</xdr:col>
      <xdr:colOff>45983</xdr:colOff>
      <xdr:row>32</xdr:row>
      <xdr:rowOff>422057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CxnSpPr/>
      </xdr:nvCxnSpPr>
      <xdr:spPr>
        <a:xfrm flipH="1">
          <a:off x="7283012" y="7068864"/>
          <a:ext cx="135321" cy="164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51288</xdr:colOff>
      <xdr:row>42</xdr:row>
      <xdr:rowOff>556846</xdr:rowOff>
    </xdr:from>
    <xdr:to>
      <xdr:col>29</xdr:col>
      <xdr:colOff>19051</xdr:colOff>
      <xdr:row>42</xdr:row>
      <xdr:rowOff>561976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/>
      </xdr:nvCxnSpPr>
      <xdr:spPr>
        <a:xfrm flipH="1" flipV="1">
          <a:off x="4223238" y="9262696"/>
          <a:ext cx="139213" cy="513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</xdr:colOff>
      <xdr:row>8</xdr:row>
      <xdr:rowOff>182880</xdr:rowOff>
    </xdr:from>
    <xdr:to>
      <xdr:col>12</xdr:col>
      <xdr:colOff>30480</xdr:colOff>
      <xdr:row>13</xdr:row>
      <xdr:rowOff>1270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H="1">
          <a:off x="2004060" y="2278380"/>
          <a:ext cx="7620" cy="4965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12</xdr:col>
      <xdr:colOff>0</xdr:colOff>
      <xdr:row>19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1981200" y="394716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19</xdr:row>
      <xdr:rowOff>106680</xdr:rowOff>
    </xdr:from>
    <xdr:to>
      <xdr:col>17</xdr:col>
      <xdr:colOff>7620</xdr:colOff>
      <xdr:row>19</xdr:row>
      <xdr:rowOff>106680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 flipH="1">
          <a:off x="1981200" y="429768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</xdr:colOff>
      <xdr:row>19</xdr:row>
      <xdr:rowOff>99060</xdr:rowOff>
    </xdr:from>
    <xdr:to>
      <xdr:col>17</xdr:col>
      <xdr:colOff>7620</xdr:colOff>
      <xdr:row>29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2781300" y="4290060"/>
          <a:ext cx="15240" cy="18897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</xdr:colOff>
      <xdr:row>29</xdr:row>
      <xdr:rowOff>0</xdr:rowOff>
    </xdr:from>
    <xdr:to>
      <xdr:col>22</xdr:col>
      <xdr:colOff>0</xdr:colOff>
      <xdr:row>29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 flipH="1">
          <a:off x="2781300" y="617220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29</xdr:row>
      <xdr:rowOff>0</xdr:rowOff>
    </xdr:from>
    <xdr:to>
      <xdr:col>22</xdr:col>
      <xdr:colOff>0</xdr:colOff>
      <xdr:row>31</xdr:row>
      <xdr:rowOff>8890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>
          <a:off x="3596640" y="6172200"/>
          <a:ext cx="0" cy="25273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190500</xdr:colOff>
      <xdr:row>16</xdr:row>
      <xdr:rowOff>182880</xdr:rowOff>
    </xdr:from>
    <xdr:to>
      <xdr:col>21</xdr:col>
      <xdr:colOff>190500</xdr:colOff>
      <xdr:row>19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/>
      </xdr:nvCxnSpPr>
      <xdr:spPr>
        <a:xfrm>
          <a:off x="3558540" y="393954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182880</xdr:colOff>
      <xdr:row>19</xdr:row>
      <xdr:rowOff>114300</xdr:rowOff>
    </xdr:from>
    <xdr:to>
      <xdr:col>26</xdr:col>
      <xdr:colOff>22860</xdr:colOff>
      <xdr:row>19</xdr:row>
      <xdr:rowOff>114300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/>
      </xdr:nvCxnSpPr>
      <xdr:spPr>
        <a:xfrm flipH="1">
          <a:off x="3550920" y="430530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30480</xdr:colOff>
      <xdr:row>19</xdr:row>
      <xdr:rowOff>114300</xdr:rowOff>
    </xdr:from>
    <xdr:to>
      <xdr:col>26</xdr:col>
      <xdr:colOff>38100</xdr:colOff>
      <xdr:row>29</xdr:row>
      <xdr:rowOff>104775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CxnSpPr/>
      </xdr:nvCxnSpPr>
      <xdr:spPr>
        <a:xfrm>
          <a:off x="4373880" y="4314825"/>
          <a:ext cx="7620" cy="19812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209550</xdr:colOff>
      <xdr:row>29</xdr:row>
      <xdr:rowOff>85725</xdr:rowOff>
    </xdr:from>
    <xdr:to>
      <xdr:col>26</xdr:col>
      <xdr:colOff>19050</xdr:colOff>
      <xdr:row>29</xdr:row>
      <xdr:rowOff>95250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CxnSpPr/>
      </xdr:nvCxnSpPr>
      <xdr:spPr>
        <a:xfrm flipH="1">
          <a:off x="1981200" y="6276975"/>
          <a:ext cx="238125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15240</xdr:colOff>
      <xdr:row>81</xdr:row>
      <xdr:rowOff>7620</xdr:rowOff>
    </xdr:from>
    <xdr:to>
      <xdr:col>42</xdr:col>
      <xdr:colOff>15240</xdr:colOff>
      <xdr:row>84</xdr:row>
      <xdr:rowOff>115570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CxnSpPr/>
      </xdr:nvCxnSpPr>
      <xdr:spPr>
        <a:xfrm>
          <a:off x="6842760" y="16642080"/>
          <a:ext cx="0" cy="4737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190500</xdr:colOff>
      <xdr:row>8</xdr:row>
      <xdr:rowOff>182880</xdr:rowOff>
    </xdr:from>
    <xdr:to>
      <xdr:col>41</xdr:col>
      <xdr:colOff>198120</xdr:colOff>
      <xdr:row>13</xdr:row>
      <xdr:rowOff>1270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/>
      </xdr:nvCxnSpPr>
      <xdr:spPr>
        <a:xfrm flipH="1">
          <a:off x="6789420" y="2278380"/>
          <a:ext cx="7620" cy="4965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198120</xdr:colOff>
      <xdr:row>17</xdr:row>
      <xdr:rowOff>7620</xdr:rowOff>
    </xdr:from>
    <xdr:to>
      <xdr:col>41</xdr:col>
      <xdr:colOff>198120</xdr:colOff>
      <xdr:row>19</xdr:row>
      <xdr:rowOff>30480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CxnSpPr/>
      </xdr:nvCxnSpPr>
      <xdr:spPr>
        <a:xfrm>
          <a:off x="6797040" y="3954780"/>
          <a:ext cx="0" cy="2667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32657</xdr:colOff>
      <xdr:row>19</xdr:row>
      <xdr:rowOff>10885</xdr:rowOff>
    </xdr:from>
    <xdr:to>
      <xdr:col>41</xdr:col>
      <xdr:colOff>190500</xdr:colOff>
      <xdr:row>19</xdr:row>
      <xdr:rowOff>15240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CxnSpPr/>
      </xdr:nvCxnSpPr>
      <xdr:spPr>
        <a:xfrm flipH="1" flipV="1">
          <a:off x="2699657" y="4201885"/>
          <a:ext cx="4089763" cy="435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30480</xdr:colOff>
      <xdr:row>19</xdr:row>
      <xdr:rowOff>15240</xdr:rowOff>
    </xdr:from>
    <xdr:to>
      <xdr:col>23</xdr:col>
      <xdr:colOff>30480</xdr:colOff>
      <xdr:row>22</xdr:row>
      <xdr:rowOff>115570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CxnSpPr/>
      </xdr:nvCxnSpPr>
      <xdr:spPr>
        <a:xfrm>
          <a:off x="3855720" y="4206240"/>
          <a:ext cx="0" cy="4660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7620</xdr:colOff>
      <xdr:row>9</xdr:row>
      <xdr:rowOff>15240</xdr:rowOff>
    </xdr:from>
    <xdr:to>
      <xdr:col>32</xdr:col>
      <xdr:colOff>7620</xdr:colOff>
      <xdr:row>12</xdr:row>
      <xdr:rowOff>7620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/>
      </xdr:nvCxnSpPr>
      <xdr:spPr>
        <a:xfrm>
          <a:off x="5219700" y="230124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15240</xdr:colOff>
      <xdr:row>12</xdr:row>
      <xdr:rowOff>0</xdr:rowOff>
    </xdr:from>
    <xdr:to>
      <xdr:col>32</xdr:col>
      <xdr:colOff>22860</xdr:colOff>
      <xdr:row>12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CxnSpPr/>
      </xdr:nvCxnSpPr>
      <xdr:spPr>
        <a:xfrm flipH="1">
          <a:off x="4419600" y="265176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22860</xdr:colOff>
      <xdr:row>12</xdr:row>
      <xdr:rowOff>7620</xdr:rowOff>
    </xdr:from>
    <xdr:to>
      <xdr:col>27</xdr:col>
      <xdr:colOff>30480</xdr:colOff>
      <xdr:row>18</xdr:row>
      <xdr:rowOff>38100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/>
      </xdr:nvCxnSpPr>
      <xdr:spPr>
        <a:xfrm>
          <a:off x="4427220" y="2659380"/>
          <a:ext cx="7620" cy="14478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30480</xdr:colOff>
      <xdr:row>18</xdr:row>
      <xdr:rowOff>30480</xdr:rowOff>
    </xdr:from>
    <xdr:to>
      <xdr:col>32</xdr:col>
      <xdr:colOff>38100</xdr:colOff>
      <xdr:row>18</xdr:row>
      <xdr:rowOff>30480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CxnSpPr/>
      </xdr:nvCxnSpPr>
      <xdr:spPr>
        <a:xfrm flipH="1">
          <a:off x="4434840" y="409956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30480</xdr:colOff>
      <xdr:row>18</xdr:row>
      <xdr:rowOff>22860</xdr:rowOff>
    </xdr:from>
    <xdr:to>
      <xdr:col>32</xdr:col>
      <xdr:colOff>30480</xdr:colOff>
      <xdr:row>22</xdr:row>
      <xdr:rowOff>114300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>
          <a:off x="5242560" y="4091940"/>
          <a:ext cx="0" cy="5791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7620</xdr:colOff>
      <xdr:row>26</xdr:row>
      <xdr:rowOff>182880</xdr:rowOff>
    </xdr:from>
    <xdr:to>
      <xdr:col>42</xdr:col>
      <xdr:colOff>7620</xdr:colOff>
      <xdr:row>29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/>
      </xdr:nvCxnSpPr>
      <xdr:spPr>
        <a:xfrm>
          <a:off x="6835140" y="5920740"/>
          <a:ext cx="0" cy="2514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60960</xdr:colOff>
      <xdr:row>29</xdr:row>
      <xdr:rowOff>0</xdr:rowOff>
    </xdr:from>
    <xdr:to>
      <xdr:col>41</xdr:col>
      <xdr:colOff>220980</xdr:colOff>
      <xdr:row>29</xdr:row>
      <xdr:rowOff>7620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CxnSpPr/>
      </xdr:nvCxnSpPr>
      <xdr:spPr>
        <a:xfrm flipH="1">
          <a:off x="5273040" y="6172200"/>
          <a:ext cx="15468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53340</xdr:colOff>
      <xdr:row>29</xdr:row>
      <xdr:rowOff>0</xdr:rowOff>
    </xdr:from>
    <xdr:to>
      <xdr:col>32</xdr:col>
      <xdr:colOff>53340</xdr:colOff>
      <xdr:row>31</xdr:row>
      <xdr:rowOff>8890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CxnSpPr/>
      </xdr:nvCxnSpPr>
      <xdr:spPr>
        <a:xfrm>
          <a:off x="5265420" y="6172200"/>
          <a:ext cx="0" cy="25273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7620</xdr:colOff>
      <xdr:row>19</xdr:row>
      <xdr:rowOff>15240</xdr:rowOff>
    </xdr:from>
    <xdr:to>
      <xdr:col>37</xdr:col>
      <xdr:colOff>22860</xdr:colOff>
      <xdr:row>28</xdr:row>
      <xdr:rowOff>38100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CxnSpPr/>
      </xdr:nvCxnSpPr>
      <xdr:spPr>
        <a:xfrm>
          <a:off x="6027420" y="4206240"/>
          <a:ext cx="15240" cy="1882140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15240</xdr:colOff>
      <xdr:row>28</xdr:row>
      <xdr:rowOff>45720</xdr:rowOff>
    </xdr:from>
    <xdr:to>
      <xdr:col>41</xdr:col>
      <xdr:colOff>53340</xdr:colOff>
      <xdr:row>28</xdr:row>
      <xdr:rowOff>45720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CxnSpPr/>
      </xdr:nvCxnSpPr>
      <xdr:spPr>
        <a:xfrm flipH="1">
          <a:off x="6035040" y="6096000"/>
          <a:ext cx="6172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45720</xdr:colOff>
      <xdr:row>28</xdr:row>
      <xdr:rowOff>53340</xdr:rowOff>
    </xdr:from>
    <xdr:to>
      <xdr:col>41</xdr:col>
      <xdr:colOff>45720</xdr:colOff>
      <xdr:row>31</xdr:row>
      <xdr:rowOff>1270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CxnSpPr/>
      </xdr:nvCxnSpPr>
      <xdr:spPr>
        <a:xfrm>
          <a:off x="6644640" y="6103620"/>
          <a:ext cx="0" cy="3136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144780</xdr:colOff>
      <xdr:row>27</xdr:row>
      <xdr:rowOff>0</xdr:rowOff>
    </xdr:from>
    <xdr:to>
      <xdr:col>22</xdr:col>
      <xdr:colOff>144780</xdr:colOff>
      <xdr:row>28</xdr:row>
      <xdr:rowOff>30480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CxnSpPr/>
      </xdr:nvCxnSpPr>
      <xdr:spPr>
        <a:xfrm>
          <a:off x="3741420" y="5928360"/>
          <a:ext cx="0" cy="1524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</xdr:colOff>
      <xdr:row>28</xdr:row>
      <xdr:rowOff>30480</xdr:rowOff>
    </xdr:from>
    <xdr:to>
      <xdr:col>25</xdr:col>
      <xdr:colOff>32657</xdr:colOff>
      <xdr:row>28</xdr:row>
      <xdr:rowOff>32657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CxnSpPr/>
      </xdr:nvCxnSpPr>
      <xdr:spPr>
        <a:xfrm flipH="1" flipV="1">
          <a:off x="2865120" y="6080760"/>
          <a:ext cx="1449977" cy="217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</xdr:colOff>
      <xdr:row>28</xdr:row>
      <xdr:rowOff>30480</xdr:rowOff>
    </xdr:from>
    <xdr:to>
      <xdr:col>18</xdr:col>
      <xdr:colOff>15240</xdr:colOff>
      <xdr:row>38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CxnSpPr/>
      </xdr:nvCxnSpPr>
      <xdr:spPr>
        <a:xfrm>
          <a:off x="2865120" y="6080760"/>
          <a:ext cx="0" cy="18745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22860</xdr:colOff>
      <xdr:row>38</xdr:row>
      <xdr:rowOff>0</xdr:rowOff>
    </xdr:from>
    <xdr:to>
      <xdr:col>42</xdr:col>
      <xdr:colOff>7620</xdr:colOff>
      <xdr:row>38</xdr:row>
      <xdr:rowOff>15240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CxnSpPr/>
      </xdr:nvCxnSpPr>
      <xdr:spPr>
        <a:xfrm flipH="1" flipV="1">
          <a:off x="2872740" y="7955280"/>
          <a:ext cx="3962400" cy="152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83820</xdr:colOff>
      <xdr:row>38</xdr:row>
      <xdr:rowOff>15240</xdr:rowOff>
    </xdr:from>
    <xdr:to>
      <xdr:col>22</xdr:col>
      <xdr:colOff>83820</xdr:colOff>
      <xdr:row>41</xdr:row>
      <xdr:rowOff>8890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CxnSpPr/>
      </xdr:nvCxnSpPr>
      <xdr:spPr>
        <a:xfrm>
          <a:off x="3680460" y="7970520"/>
          <a:ext cx="0" cy="3594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38</xdr:row>
      <xdr:rowOff>7620</xdr:rowOff>
    </xdr:from>
    <xdr:to>
      <xdr:col>42</xdr:col>
      <xdr:colOff>0</xdr:colOff>
      <xdr:row>41</xdr:row>
      <xdr:rowOff>1270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6827520" y="7962900"/>
          <a:ext cx="0" cy="3594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185056</xdr:colOff>
      <xdr:row>34</xdr:row>
      <xdr:rowOff>189411</xdr:rowOff>
    </xdr:from>
    <xdr:to>
      <xdr:col>41</xdr:col>
      <xdr:colOff>185056</xdr:colOff>
      <xdr:row>36</xdr:row>
      <xdr:rowOff>76200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>
          <a:off x="6783976" y="7588431"/>
          <a:ext cx="0" cy="19920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185057</xdr:colOff>
      <xdr:row>36</xdr:row>
      <xdr:rowOff>73479</xdr:rowOff>
    </xdr:from>
    <xdr:to>
      <xdr:col>52</xdr:col>
      <xdr:colOff>7620</xdr:colOff>
      <xdr:row>36</xdr:row>
      <xdr:rowOff>77831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 flipH="1" flipV="1">
          <a:off x="6757307" y="7807779"/>
          <a:ext cx="1651363" cy="435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36</xdr:row>
      <xdr:rowOff>87086</xdr:rowOff>
    </xdr:from>
    <xdr:to>
      <xdr:col>52</xdr:col>
      <xdr:colOff>0</xdr:colOff>
      <xdr:row>40</xdr:row>
      <xdr:rowOff>107950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>
          <a:off x="8442960" y="7798526"/>
          <a:ext cx="0" cy="50854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43543</xdr:colOff>
      <xdr:row>19</xdr:row>
      <xdr:rowOff>21771</xdr:rowOff>
    </xdr:from>
    <xdr:to>
      <xdr:col>16</xdr:col>
      <xdr:colOff>19050</xdr:colOff>
      <xdr:row>46</xdr:row>
      <xdr:rowOff>104775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>
          <a:off x="2701018" y="4222296"/>
          <a:ext cx="32657" cy="553130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46</xdr:row>
      <xdr:rowOff>97972</xdr:rowOff>
    </xdr:from>
    <xdr:to>
      <xdr:col>22</xdr:col>
      <xdr:colOff>10886</xdr:colOff>
      <xdr:row>46</xdr:row>
      <xdr:rowOff>97972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 flipH="1">
          <a:off x="1981200" y="9714412"/>
          <a:ext cx="162632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10886</xdr:colOff>
      <xdr:row>46</xdr:row>
      <xdr:rowOff>108858</xdr:rowOff>
    </xdr:from>
    <xdr:to>
      <xdr:col>12</xdr:col>
      <xdr:colOff>10886</xdr:colOff>
      <xdr:row>48</xdr:row>
      <xdr:rowOff>117747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/>
      </xdr:nvCxnSpPr>
      <xdr:spPr>
        <a:xfrm>
          <a:off x="1992086" y="9725298"/>
          <a:ext cx="0" cy="25272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46</xdr:row>
      <xdr:rowOff>108857</xdr:rowOff>
    </xdr:from>
    <xdr:to>
      <xdr:col>22</xdr:col>
      <xdr:colOff>0</xdr:colOff>
      <xdr:row>48</xdr:row>
      <xdr:rowOff>117746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CxnSpPr/>
      </xdr:nvCxnSpPr>
      <xdr:spPr>
        <a:xfrm>
          <a:off x="3596640" y="9725297"/>
          <a:ext cx="0" cy="25272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4354</xdr:colOff>
      <xdr:row>35</xdr:row>
      <xdr:rowOff>10886</xdr:rowOff>
    </xdr:from>
    <xdr:to>
      <xdr:col>32</xdr:col>
      <xdr:colOff>4354</xdr:colOff>
      <xdr:row>37</xdr:row>
      <xdr:rowOff>18506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CxnSpPr/>
      </xdr:nvCxnSpPr>
      <xdr:spPr>
        <a:xfrm>
          <a:off x="5216434" y="7600406"/>
          <a:ext cx="0" cy="2514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217714</xdr:colOff>
      <xdr:row>37</xdr:row>
      <xdr:rowOff>10886</xdr:rowOff>
    </xdr:from>
    <xdr:to>
      <xdr:col>46</xdr:col>
      <xdr:colOff>21772</xdr:colOff>
      <xdr:row>37</xdr:row>
      <xdr:rowOff>10886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CxnSpPr/>
      </xdr:nvCxnSpPr>
      <xdr:spPr>
        <a:xfrm flipH="1">
          <a:off x="5201194" y="7844246"/>
          <a:ext cx="2394858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43544</xdr:colOff>
      <xdr:row>37</xdr:row>
      <xdr:rowOff>21772</xdr:rowOff>
    </xdr:from>
    <xdr:to>
      <xdr:col>36</xdr:col>
      <xdr:colOff>47625</xdr:colOff>
      <xdr:row>47</xdr:row>
      <xdr:rowOff>47625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CxnSpPr/>
      </xdr:nvCxnSpPr>
      <xdr:spPr>
        <a:xfrm>
          <a:off x="5958569" y="7879897"/>
          <a:ext cx="4081" cy="194037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32657</xdr:colOff>
      <xdr:row>47</xdr:row>
      <xdr:rowOff>43543</xdr:rowOff>
    </xdr:from>
    <xdr:to>
      <xdr:col>36</xdr:col>
      <xdr:colOff>55517</xdr:colOff>
      <xdr:row>47</xdr:row>
      <xdr:rowOff>43543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CxnSpPr/>
      </xdr:nvCxnSpPr>
      <xdr:spPr>
        <a:xfrm flipH="1">
          <a:off x="5244737" y="9781903"/>
          <a:ext cx="7696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43543</xdr:colOff>
      <xdr:row>47</xdr:row>
      <xdr:rowOff>43542</xdr:rowOff>
    </xdr:from>
    <xdr:to>
      <xdr:col>32</xdr:col>
      <xdr:colOff>43543</xdr:colOff>
      <xdr:row>49</xdr:row>
      <xdr:rowOff>21771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CxnSpPr/>
      </xdr:nvCxnSpPr>
      <xdr:spPr>
        <a:xfrm>
          <a:off x="5255623" y="9781902"/>
          <a:ext cx="0" cy="22206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43544</xdr:colOff>
      <xdr:row>28</xdr:row>
      <xdr:rowOff>21771</xdr:rowOff>
    </xdr:from>
    <xdr:to>
      <xdr:col>26</xdr:col>
      <xdr:colOff>10886</xdr:colOff>
      <xdr:row>46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CxnSpPr/>
      </xdr:nvCxnSpPr>
      <xdr:spPr>
        <a:xfrm>
          <a:off x="4325984" y="6072051"/>
          <a:ext cx="28302" cy="354438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21772</xdr:colOff>
      <xdr:row>46</xdr:row>
      <xdr:rowOff>10886</xdr:rowOff>
    </xdr:from>
    <xdr:to>
      <xdr:col>42</xdr:col>
      <xdr:colOff>10886</xdr:colOff>
      <xdr:row>46</xdr:row>
      <xdr:rowOff>21772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CxnSpPr/>
      </xdr:nvCxnSpPr>
      <xdr:spPr>
        <a:xfrm flipH="1" flipV="1">
          <a:off x="4365172" y="9627326"/>
          <a:ext cx="2473234" cy="1088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10886</xdr:colOff>
      <xdr:row>46</xdr:row>
      <xdr:rowOff>32657</xdr:rowOff>
    </xdr:from>
    <xdr:to>
      <xdr:col>42</xdr:col>
      <xdr:colOff>10886</xdr:colOff>
      <xdr:row>49</xdr:row>
      <xdr:rowOff>8889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CxnSpPr/>
      </xdr:nvCxnSpPr>
      <xdr:spPr>
        <a:xfrm>
          <a:off x="6838406" y="9649097"/>
          <a:ext cx="0" cy="34199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10886</xdr:colOff>
      <xdr:row>37</xdr:row>
      <xdr:rowOff>1</xdr:rowOff>
    </xdr:from>
    <xdr:to>
      <xdr:col>46</xdr:col>
      <xdr:colOff>38100</xdr:colOff>
      <xdr:row>63</xdr:row>
      <xdr:rowOff>85725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CxnSpPr/>
      </xdr:nvCxnSpPr>
      <xdr:spPr>
        <a:xfrm>
          <a:off x="7526111" y="7858126"/>
          <a:ext cx="27214" cy="533399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47</xdr:row>
      <xdr:rowOff>10886</xdr:rowOff>
    </xdr:from>
    <xdr:to>
      <xdr:col>51</xdr:col>
      <xdr:colOff>120831</xdr:colOff>
      <xdr:row>47</xdr:row>
      <xdr:rowOff>10886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CxnSpPr/>
      </xdr:nvCxnSpPr>
      <xdr:spPr>
        <a:xfrm flipH="1">
          <a:off x="7574280" y="9749246"/>
          <a:ext cx="760911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119742</xdr:colOff>
      <xdr:row>47</xdr:row>
      <xdr:rowOff>10886</xdr:rowOff>
    </xdr:from>
    <xdr:to>
      <xdr:col>51</xdr:col>
      <xdr:colOff>119743</xdr:colOff>
      <xdr:row>48</xdr:row>
      <xdr:rowOff>106861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CxnSpPr/>
      </xdr:nvCxnSpPr>
      <xdr:spPr>
        <a:xfrm flipH="1">
          <a:off x="8334102" y="9749246"/>
          <a:ext cx="1" cy="2178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21771</xdr:colOff>
      <xdr:row>53</xdr:row>
      <xdr:rowOff>10885</xdr:rowOff>
    </xdr:from>
    <xdr:to>
      <xdr:col>32</xdr:col>
      <xdr:colOff>21772</xdr:colOff>
      <xdr:row>55</xdr:row>
      <xdr:rowOff>43543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CxnSpPr/>
      </xdr:nvCxnSpPr>
      <xdr:spPr>
        <a:xfrm flipH="1">
          <a:off x="5233851" y="11166565"/>
          <a:ext cx="1" cy="27649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43543</xdr:colOff>
      <xdr:row>55</xdr:row>
      <xdr:rowOff>43543</xdr:rowOff>
    </xdr:from>
    <xdr:to>
      <xdr:col>52</xdr:col>
      <xdr:colOff>21772</xdr:colOff>
      <xdr:row>55</xdr:row>
      <xdr:rowOff>54429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CxnSpPr/>
      </xdr:nvCxnSpPr>
      <xdr:spPr>
        <a:xfrm flipH="1" flipV="1">
          <a:off x="2832463" y="11443063"/>
          <a:ext cx="5632269" cy="1088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10886</xdr:colOff>
      <xdr:row>55</xdr:row>
      <xdr:rowOff>54429</xdr:rowOff>
    </xdr:from>
    <xdr:to>
      <xdr:col>52</xdr:col>
      <xdr:colOff>10886</xdr:colOff>
      <xdr:row>59</xdr:row>
      <xdr:rowOff>19775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CxnSpPr/>
      </xdr:nvCxnSpPr>
      <xdr:spPr>
        <a:xfrm>
          <a:off x="8453846" y="11453949"/>
          <a:ext cx="0" cy="45302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43543</xdr:colOff>
      <xdr:row>45</xdr:row>
      <xdr:rowOff>1</xdr:rowOff>
    </xdr:from>
    <xdr:to>
      <xdr:col>52</xdr:col>
      <xdr:colOff>43543</xdr:colOff>
      <xdr:row>47</xdr:row>
      <xdr:rowOff>7621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CxnSpPr/>
      </xdr:nvCxnSpPr>
      <xdr:spPr>
        <a:xfrm>
          <a:off x="8486503" y="9494521"/>
          <a:ext cx="0" cy="2514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43543</xdr:colOff>
      <xdr:row>46</xdr:row>
      <xdr:rowOff>108858</xdr:rowOff>
    </xdr:from>
    <xdr:to>
      <xdr:col>57</xdr:col>
      <xdr:colOff>1088</xdr:colOff>
      <xdr:row>46</xdr:row>
      <xdr:rowOff>108858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CxnSpPr/>
      </xdr:nvCxnSpPr>
      <xdr:spPr>
        <a:xfrm flipH="1">
          <a:off x="8486503" y="9725298"/>
          <a:ext cx="76526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0</xdr:colOff>
      <xdr:row>46</xdr:row>
      <xdr:rowOff>119742</xdr:rowOff>
    </xdr:from>
    <xdr:to>
      <xdr:col>57</xdr:col>
      <xdr:colOff>0</xdr:colOff>
      <xdr:row>56</xdr:row>
      <xdr:rowOff>87086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CxnSpPr/>
      </xdr:nvCxnSpPr>
      <xdr:spPr>
        <a:xfrm>
          <a:off x="9250680" y="9736182"/>
          <a:ext cx="0" cy="187234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56</xdr:row>
      <xdr:rowOff>108858</xdr:rowOff>
    </xdr:from>
    <xdr:to>
      <xdr:col>57</xdr:col>
      <xdr:colOff>10885</xdr:colOff>
      <xdr:row>57</xdr:row>
      <xdr:rowOff>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CxnSpPr/>
      </xdr:nvCxnSpPr>
      <xdr:spPr>
        <a:xfrm flipH="1">
          <a:off x="4371975" y="11672208"/>
          <a:ext cx="4811485" cy="1496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217715</xdr:colOff>
      <xdr:row>54</xdr:row>
      <xdr:rowOff>19050</xdr:rowOff>
    </xdr:from>
    <xdr:to>
      <xdr:col>21</xdr:col>
      <xdr:colOff>219075</xdr:colOff>
      <xdr:row>59</xdr:row>
      <xdr:rowOff>8889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CxnSpPr/>
      </xdr:nvCxnSpPr>
      <xdr:spPr>
        <a:xfrm flipH="1">
          <a:off x="3560990" y="11334750"/>
          <a:ext cx="1360" cy="60896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</xdr:colOff>
      <xdr:row>54</xdr:row>
      <xdr:rowOff>38100</xdr:rowOff>
    </xdr:from>
    <xdr:to>
      <xdr:col>42</xdr:col>
      <xdr:colOff>9525</xdr:colOff>
      <xdr:row>54</xdr:row>
      <xdr:rowOff>38100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CxnSpPr/>
      </xdr:nvCxnSpPr>
      <xdr:spPr>
        <a:xfrm flipH="1">
          <a:off x="3581400" y="11353800"/>
          <a:ext cx="32004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217714</xdr:colOff>
      <xdr:row>54</xdr:row>
      <xdr:rowOff>21772</xdr:rowOff>
    </xdr:from>
    <xdr:to>
      <xdr:col>32</xdr:col>
      <xdr:colOff>217714</xdr:colOff>
      <xdr:row>59</xdr:row>
      <xdr:rowOff>19775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CxnSpPr/>
      </xdr:nvCxnSpPr>
      <xdr:spPr>
        <a:xfrm>
          <a:off x="5429794" y="11299372"/>
          <a:ext cx="0" cy="60760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63</xdr:row>
      <xdr:rowOff>57150</xdr:rowOff>
    </xdr:from>
    <xdr:to>
      <xdr:col>47</xdr:col>
      <xdr:colOff>0</xdr:colOff>
      <xdr:row>63</xdr:row>
      <xdr:rowOff>66675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CxnSpPr/>
      </xdr:nvCxnSpPr>
      <xdr:spPr>
        <a:xfrm flipH="1">
          <a:off x="1924050" y="13163550"/>
          <a:ext cx="564832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63</xdr:row>
      <xdr:rowOff>76200</xdr:rowOff>
    </xdr:from>
    <xdr:to>
      <xdr:col>11</xdr:col>
      <xdr:colOff>191861</xdr:colOff>
      <xdr:row>66</xdr:row>
      <xdr:rowOff>123189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CxnSpPr/>
      </xdr:nvCxnSpPr>
      <xdr:spPr>
        <a:xfrm>
          <a:off x="1933575" y="13182600"/>
          <a:ext cx="1361" cy="41846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32658</xdr:colOff>
      <xdr:row>55</xdr:row>
      <xdr:rowOff>21772</xdr:rowOff>
    </xdr:from>
    <xdr:to>
      <xdr:col>17</xdr:col>
      <xdr:colOff>54429</xdr:colOff>
      <xdr:row>64</xdr:row>
      <xdr:rowOff>108858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CxnSpPr/>
      </xdr:nvCxnSpPr>
      <xdr:spPr>
        <a:xfrm>
          <a:off x="2821578" y="11421292"/>
          <a:ext cx="21771" cy="187016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32658</xdr:colOff>
      <xdr:row>64</xdr:row>
      <xdr:rowOff>108857</xdr:rowOff>
    </xdr:from>
    <xdr:to>
      <xdr:col>32</xdr:col>
      <xdr:colOff>32657</xdr:colOff>
      <xdr:row>64</xdr:row>
      <xdr:rowOff>108858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CxnSpPr/>
      </xdr:nvCxnSpPr>
      <xdr:spPr>
        <a:xfrm flipH="1" flipV="1">
          <a:off x="2821578" y="13291457"/>
          <a:ext cx="2423159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206828</xdr:colOff>
      <xdr:row>64</xdr:row>
      <xdr:rowOff>108858</xdr:rowOff>
    </xdr:from>
    <xdr:to>
      <xdr:col>21</xdr:col>
      <xdr:colOff>206830</xdr:colOff>
      <xdr:row>67</xdr:row>
      <xdr:rowOff>30661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CxnSpPr/>
      </xdr:nvCxnSpPr>
      <xdr:spPr>
        <a:xfrm>
          <a:off x="3574868" y="13291458"/>
          <a:ext cx="2" cy="28756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21772</xdr:colOff>
      <xdr:row>64</xdr:row>
      <xdr:rowOff>87082</xdr:rowOff>
    </xdr:from>
    <xdr:to>
      <xdr:col>32</xdr:col>
      <xdr:colOff>21774</xdr:colOff>
      <xdr:row>67</xdr:row>
      <xdr:rowOff>8885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CxnSpPr/>
      </xdr:nvCxnSpPr>
      <xdr:spPr>
        <a:xfrm>
          <a:off x="5233852" y="13269682"/>
          <a:ext cx="2" cy="28756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10886</xdr:colOff>
      <xdr:row>64</xdr:row>
      <xdr:rowOff>32657</xdr:rowOff>
    </xdr:from>
    <xdr:to>
      <xdr:col>42</xdr:col>
      <xdr:colOff>10888</xdr:colOff>
      <xdr:row>67</xdr:row>
      <xdr:rowOff>8888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CxnSpPr/>
      </xdr:nvCxnSpPr>
      <xdr:spPr>
        <a:xfrm>
          <a:off x="6838406" y="13215257"/>
          <a:ext cx="2" cy="34199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2721</xdr:colOff>
      <xdr:row>65</xdr:row>
      <xdr:rowOff>19050</xdr:rowOff>
    </xdr:from>
    <xdr:to>
      <xdr:col>47</xdr:col>
      <xdr:colOff>9525</xdr:colOff>
      <xdr:row>73</xdr:row>
      <xdr:rowOff>99332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CxnSpPr/>
      </xdr:nvCxnSpPr>
      <xdr:spPr>
        <a:xfrm flipV="1">
          <a:off x="7575096" y="13373100"/>
          <a:ext cx="6804" cy="174715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206829</xdr:colOff>
      <xdr:row>73</xdr:row>
      <xdr:rowOff>104775</xdr:rowOff>
    </xdr:from>
    <xdr:to>
      <xdr:col>46</xdr:col>
      <xdr:colOff>38100</xdr:colOff>
      <xdr:row>73</xdr:row>
      <xdr:rowOff>108857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CxnSpPr/>
      </xdr:nvCxnSpPr>
      <xdr:spPr>
        <a:xfrm flipH="1">
          <a:off x="5150304" y="15125700"/>
          <a:ext cx="2403021" cy="408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206829</xdr:colOff>
      <xdr:row>73</xdr:row>
      <xdr:rowOff>87085</xdr:rowOff>
    </xdr:from>
    <xdr:to>
      <xdr:col>31</xdr:col>
      <xdr:colOff>206830</xdr:colOff>
      <xdr:row>77</xdr:row>
      <xdr:rowOff>8889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CxnSpPr/>
      </xdr:nvCxnSpPr>
      <xdr:spPr>
        <a:xfrm>
          <a:off x="5190309" y="15052765"/>
          <a:ext cx="1" cy="40948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217714</xdr:colOff>
      <xdr:row>71</xdr:row>
      <xdr:rowOff>10885</xdr:rowOff>
    </xdr:from>
    <xdr:to>
      <xdr:col>41</xdr:col>
      <xdr:colOff>217715</xdr:colOff>
      <xdr:row>72</xdr:row>
      <xdr:rowOff>108857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CxnSpPr/>
      </xdr:nvCxnSpPr>
      <xdr:spPr>
        <a:xfrm flipH="1">
          <a:off x="6816634" y="14732725"/>
          <a:ext cx="1" cy="21989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54429</xdr:colOff>
      <xdr:row>72</xdr:row>
      <xdr:rowOff>97971</xdr:rowOff>
    </xdr:from>
    <xdr:to>
      <xdr:col>41</xdr:col>
      <xdr:colOff>217714</xdr:colOff>
      <xdr:row>72</xdr:row>
      <xdr:rowOff>97971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CxnSpPr/>
      </xdr:nvCxnSpPr>
      <xdr:spPr>
        <a:xfrm flipH="1">
          <a:off x="4397829" y="14941731"/>
          <a:ext cx="241880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54429</xdr:colOff>
      <xdr:row>72</xdr:row>
      <xdr:rowOff>97971</xdr:rowOff>
    </xdr:from>
    <xdr:to>
      <xdr:col>27</xdr:col>
      <xdr:colOff>2</xdr:colOff>
      <xdr:row>83</xdr:row>
      <xdr:rowOff>21772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CxnSpPr/>
      </xdr:nvCxnSpPr>
      <xdr:spPr>
        <a:xfrm flipH="1">
          <a:off x="4397829" y="14941731"/>
          <a:ext cx="6533" cy="195834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43543</xdr:colOff>
      <xdr:row>83</xdr:row>
      <xdr:rowOff>21772</xdr:rowOff>
    </xdr:from>
    <xdr:to>
      <xdr:col>32</xdr:col>
      <xdr:colOff>10886</xdr:colOff>
      <xdr:row>83</xdr:row>
      <xdr:rowOff>21772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CxnSpPr/>
      </xdr:nvCxnSpPr>
      <xdr:spPr>
        <a:xfrm flipH="1">
          <a:off x="4386943" y="16900072"/>
          <a:ext cx="836023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217714</xdr:colOff>
      <xdr:row>83</xdr:row>
      <xdr:rowOff>32657</xdr:rowOff>
    </xdr:from>
    <xdr:to>
      <xdr:col>31</xdr:col>
      <xdr:colOff>217715</xdr:colOff>
      <xdr:row>84</xdr:row>
      <xdr:rowOff>106860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CxnSpPr/>
      </xdr:nvCxnSpPr>
      <xdr:spPr>
        <a:xfrm>
          <a:off x="5201194" y="16910957"/>
          <a:ext cx="1" cy="19612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52</xdr:row>
      <xdr:rowOff>171450</xdr:rowOff>
    </xdr:from>
    <xdr:to>
      <xdr:col>42</xdr:col>
      <xdr:colOff>0</xdr:colOff>
      <xdr:row>54</xdr:row>
      <xdr:rowOff>38100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CxnSpPr/>
      </xdr:nvCxnSpPr>
      <xdr:spPr>
        <a:xfrm>
          <a:off x="6772275" y="11172825"/>
          <a:ext cx="0" cy="1809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9525</xdr:colOff>
      <xdr:row>65</xdr:row>
      <xdr:rowOff>38100</xdr:rowOff>
    </xdr:from>
    <xdr:to>
      <xdr:col>52</xdr:col>
      <xdr:colOff>9525</xdr:colOff>
      <xdr:row>65</xdr:row>
      <xdr:rowOff>38100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CxnSpPr/>
      </xdr:nvCxnSpPr>
      <xdr:spPr>
        <a:xfrm flipH="1">
          <a:off x="7581900" y="13392150"/>
          <a:ext cx="8001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219075</xdr:colOff>
      <xdr:row>63</xdr:row>
      <xdr:rowOff>9525</xdr:rowOff>
    </xdr:from>
    <xdr:to>
      <xdr:col>51</xdr:col>
      <xdr:colOff>219076</xdr:colOff>
      <xdr:row>65</xdr:row>
      <xdr:rowOff>42183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CxnSpPr/>
      </xdr:nvCxnSpPr>
      <xdr:spPr>
        <a:xfrm flipH="1">
          <a:off x="8362950" y="13115925"/>
          <a:ext cx="1" cy="28030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64</xdr:row>
      <xdr:rowOff>28575</xdr:rowOff>
    </xdr:from>
    <xdr:to>
      <xdr:col>42</xdr:col>
      <xdr:colOff>9525</xdr:colOff>
      <xdr:row>64</xdr:row>
      <xdr:rowOff>38100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CxnSpPr/>
      </xdr:nvCxnSpPr>
      <xdr:spPr>
        <a:xfrm>
          <a:off x="4391025" y="13258800"/>
          <a:ext cx="2390775" cy="9525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57</xdr:row>
      <xdr:rowOff>9525</xdr:rowOff>
    </xdr:from>
    <xdr:to>
      <xdr:col>27</xdr:col>
      <xdr:colOff>9526</xdr:colOff>
      <xdr:row>64</xdr:row>
      <xdr:rowOff>9525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CxnSpPr/>
      </xdr:nvCxnSpPr>
      <xdr:spPr>
        <a:xfrm flipH="1">
          <a:off x="4381500" y="11696700"/>
          <a:ext cx="1" cy="15430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209550</xdr:colOff>
      <xdr:row>29</xdr:row>
      <xdr:rowOff>104775</xdr:rowOff>
    </xdr:from>
    <xdr:to>
      <xdr:col>11</xdr:col>
      <xdr:colOff>209550</xdr:colOff>
      <xdr:row>31</xdr:row>
      <xdr:rowOff>20320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63533BB8-54D6-428A-87F9-2BC56A99E317}"/>
            </a:ext>
          </a:extLst>
        </xdr:cNvPr>
        <xdr:cNvCxnSpPr/>
      </xdr:nvCxnSpPr>
      <xdr:spPr>
        <a:xfrm>
          <a:off x="1981200" y="6296025"/>
          <a:ext cx="0" cy="1631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104775</xdr:colOff>
      <xdr:row>64</xdr:row>
      <xdr:rowOff>28575</xdr:rowOff>
    </xdr:from>
    <xdr:to>
      <xdr:col>53</xdr:col>
      <xdr:colOff>104777</xdr:colOff>
      <xdr:row>67</xdr:row>
      <xdr:rowOff>4806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E97A8C68-FF18-48C6-81EE-B44375284C8F}"/>
            </a:ext>
          </a:extLst>
        </xdr:cNvPr>
        <xdr:cNvCxnSpPr/>
      </xdr:nvCxnSpPr>
      <xdr:spPr>
        <a:xfrm>
          <a:off x="8734425" y="13258800"/>
          <a:ext cx="2" cy="34770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95250</xdr:colOff>
      <xdr:row>64</xdr:row>
      <xdr:rowOff>28575</xdr:rowOff>
    </xdr:from>
    <xdr:to>
      <xdr:col>58</xdr:col>
      <xdr:colOff>19050</xdr:colOff>
      <xdr:row>64</xdr:row>
      <xdr:rowOff>28575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46CF84A-3B27-4DB9-8A2F-8563B1CDDB9A}"/>
            </a:ext>
          </a:extLst>
        </xdr:cNvPr>
        <xdr:cNvCxnSpPr/>
      </xdr:nvCxnSpPr>
      <xdr:spPr>
        <a:xfrm flipH="1">
          <a:off x="8724900" y="13258800"/>
          <a:ext cx="5524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47</xdr:row>
      <xdr:rowOff>9525</xdr:rowOff>
    </xdr:from>
    <xdr:to>
      <xdr:col>58</xdr:col>
      <xdr:colOff>9525</xdr:colOff>
      <xdr:row>64</xdr:row>
      <xdr:rowOff>13608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6DB269F6-5C93-47D0-A269-62EE45AC1E44}"/>
            </a:ext>
          </a:extLst>
        </xdr:cNvPr>
        <xdr:cNvCxnSpPr/>
      </xdr:nvCxnSpPr>
      <xdr:spPr>
        <a:xfrm>
          <a:off x="9258300" y="9782175"/>
          <a:ext cx="9525" cy="346165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9525</xdr:colOff>
      <xdr:row>47</xdr:row>
      <xdr:rowOff>19050</xdr:rowOff>
    </xdr:from>
    <xdr:to>
      <xdr:col>61</xdr:col>
      <xdr:colOff>47625</xdr:colOff>
      <xdr:row>47</xdr:row>
      <xdr:rowOff>19050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4103EED6-0FE8-4389-8AB8-51B9D02445A8}"/>
            </a:ext>
          </a:extLst>
        </xdr:cNvPr>
        <xdr:cNvCxnSpPr/>
      </xdr:nvCxnSpPr>
      <xdr:spPr>
        <a:xfrm flipH="1">
          <a:off x="9267825" y="9791700"/>
          <a:ext cx="5524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47625</xdr:colOff>
      <xdr:row>44</xdr:row>
      <xdr:rowOff>180975</xdr:rowOff>
    </xdr:from>
    <xdr:to>
      <xdr:col>61</xdr:col>
      <xdr:colOff>47626</xdr:colOff>
      <xdr:row>47</xdr:row>
      <xdr:rowOff>23133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657E6F46-EDAE-476D-A8A8-FBF32FE668F2}"/>
            </a:ext>
          </a:extLst>
        </xdr:cNvPr>
        <xdr:cNvCxnSpPr/>
      </xdr:nvCxnSpPr>
      <xdr:spPr>
        <a:xfrm flipH="1">
          <a:off x="9820275" y="9515475"/>
          <a:ext cx="1" cy="28030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12439650" y="4953000"/>
          <a:ext cx="0" cy="350767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19050</xdr:colOff>
      <xdr:row>24</xdr:row>
      <xdr:rowOff>0</xdr:rowOff>
    </xdr:from>
    <xdr:to>
      <xdr:col>80</xdr:col>
      <xdr:colOff>19050</xdr:colOff>
      <xdr:row>41</xdr:row>
      <xdr:rowOff>59627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12458700" y="4953000"/>
          <a:ext cx="0" cy="350767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121307</xdr:colOff>
      <xdr:row>9</xdr:row>
      <xdr:rowOff>9525</xdr:rowOff>
    </xdr:from>
    <xdr:to>
      <xdr:col>31</xdr:col>
      <xdr:colOff>124810</xdr:colOff>
      <xdr:row>10</xdr:row>
      <xdr:rowOff>26276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896945" y="2328370"/>
          <a:ext cx="3503" cy="14156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</xdr:colOff>
      <xdr:row>10</xdr:row>
      <xdr:rowOff>22663</xdr:rowOff>
    </xdr:from>
    <xdr:to>
      <xdr:col>31</xdr:col>
      <xdr:colOff>120650</xdr:colOff>
      <xdr:row>10</xdr:row>
      <xdr:rowOff>22663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 flipH="1">
          <a:off x="3474326" y="2466318"/>
          <a:ext cx="1421962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28575</xdr:colOff>
      <xdr:row>10</xdr:row>
      <xdr:rowOff>15875</xdr:rowOff>
    </xdr:from>
    <xdr:to>
      <xdr:col>22</xdr:col>
      <xdr:colOff>28576</xdr:colOff>
      <xdr:row>13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 flipH="1">
          <a:off x="3648075" y="2463800"/>
          <a:ext cx="1" cy="365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47625</xdr:colOff>
      <xdr:row>9</xdr:row>
      <xdr:rowOff>0</xdr:rowOff>
    </xdr:from>
    <xdr:to>
      <xdr:col>42</xdr:col>
      <xdr:colOff>47625</xdr:colOff>
      <xdr:row>13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6753225" y="2324100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47625</xdr:colOff>
      <xdr:row>10</xdr:row>
      <xdr:rowOff>114300</xdr:rowOff>
    </xdr:from>
    <xdr:to>
      <xdr:col>52</xdr:col>
      <xdr:colOff>95250</xdr:colOff>
      <xdr:row>10</xdr:row>
      <xdr:rowOff>114300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6753225" y="2562225"/>
          <a:ext cx="1590675" cy="0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76200</xdr:colOff>
      <xdr:row>10</xdr:row>
      <xdr:rowOff>95250</xdr:rowOff>
    </xdr:from>
    <xdr:to>
      <xdr:col>52</xdr:col>
      <xdr:colOff>76200</xdr:colOff>
      <xdr:row>13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8324850" y="2543175"/>
          <a:ext cx="0" cy="2762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38100</xdr:colOff>
      <xdr:row>8</xdr:row>
      <xdr:rowOff>190500</xdr:rowOff>
    </xdr:from>
    <xdr:to>
      <xdr:col>51</xdr:col>
      <xdr:colOff>38100</xdr:colOff>
      <xdr:row>11</xdr:row>
      <xdr:rowOff>95250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8067675" y="2314575"/>
          <a:ext cx="0" cy="3524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19050</xdr:colOff>
      <xdr:row>11</xdr:row>
      <xdr:rowOff>104775</xdr:rowOff>
    </xdr:from>
    <xdr:to>
      <xdr:col>51</xdr:col>
      <xdr:colOff>28575</xdr:colOff>
      <xdr:row>11</xdr:row>
      <xdr:rowOff>104775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 flipH="1">
          <a:off x="7162800" y="2676525"/>
          <a:ext cx="8953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19050</xdr:colOff>
      <xdr:row>11</xdr:row>
      <xdr:rowOff>114300</xdr:rowOff>
    </xdr:from>
    <xdr:to>
      <xdr:col>44</xdr:col>
      <xdr:colOff>28575</xdr:colOff>
      <xdr:row>13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>
          <a:off x="7162800" y="2686050"/>
          <a:ext cx="9525" cy="1333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28575</xdr:colOff>
      <xdr:row>9</xdr:row>
      <xdr:rowOff>0</xdr:rowOff>
    </xdr:from>
    <xdr:to>
      <xdr:col>62</xdr:col>
      <xdr:colOff>28575</xdr:colOff>
      <xdr:row>12</xdr:row>
      <xdr:rowOff>114300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9820275" y="2324100"/>
          <a:ext cx="0" cy="485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123825</xdr:colOff>
      <xdr:row>17</xdr:row>
      <xdr:rowOff>19050</xdr:rowOff>
    </xdr:from>
    <xdr:to>
      <xdr:col>51</xdr:col>
      <xdr:colOff>123825</xdr:colOff>
      <xdr:row>20</xdr:row>
      <xdr:rowOff>47625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>
          <a:off x="8153400" y="4038600"/>
          <a:ext cx="0" cy="4000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156013</xdr:colOff>
      <xdr:row>20</xdr:row>
      <xdr:rowOff>48282</xdr:rowOff>
    </xdr:from>
    <xdr:to>
      <xdr:col>51</xdr:col>
      <xdr:colOff>127439</xdr:colOff>
      <xdr:row>20</xdr:row>
      <xdr:rowOff>48282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4931651" y="4436351"/>
          <a:ext cx="3045702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142875</xdr:colOff>
      <xdr:row>20</xdr:row>
      <xdr:rowOff>38100</xdr:rowOff>
    </xdr:from>
    <xdr:to>
      <xdr:col>31</xdr:col>
      <xdr:colOff>142876</xdr:colOff>
      <xdr:row>23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 flipH="1">
          <a:off x="5086350" y="4429125"/>
          <a:ext cx="1" cy="3333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85725</xdr:colOff>
      <xdr:row>17</xdr:row>
      <xdr:rowOff>19050</xdr:rowOff>
    </xdr:from>
    <xdr:to>
      <xdr:col>61</xdr:col>
      <xdr:colOff>85725</xdr:colOff>
      <xdr:row>20</xdr:row>
      <xdr:rowOff>95250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/>
      </xdr:nvCxnSpPr>
      <xdr:spPr>
        <a:xfrm>
          <a:off x="9658350" y="4038600"/>
          <a:ext cx="0" cy="4476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20</xdr:row>
      <xdr:rowOff>104775</xdr:rowOff>
    </xdr:from>
    <xdr:to>
      <xdr:col>61</xdr:col>
      <xdr:colOff>95250</xdr:colOff>
      <xdr:row>20</xdr:row>
      <xdr:rowOff>104775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/>
      </xdr:nvCxnSpPr>
      <xdr:spPr>
        <a:xfrm flipH="1">
          <a:off x="6705600" y="4495800"/>
          <a:ext cx="296227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20</xdr:row>
      <xdr:rowOff>104775</xdr:rowOff>
    </xdr:from>
    <xdr:to>
      <xdr:col>42</xdr:col>
      <xdr:colOff>0</xdr:colOff>
      <xdr:row>23</xdr:row>
      <xdr:rowOff>28575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6705600" y="4495800"/>
          <a:ext cx="0" cy="2952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142875</xdr:colOff>
      <xdr:row>16</xdr:row>
      <xdr:rowOff>189843</xdr:rowOff>
    </xdr:from>
    <xdr:to>
      <xdr:col>53</xdr:col>
      <xdr:colOff>142875</xdr:colOff>
      <xdr:row>22</xdr:row>
      <xdr:rowOff>117584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CxnSpPr/>
      </xdr:nvCxnSpPr>
      <xdr:spPr>
        <a:xfrm>
          <a:off x="8426341" y="4006412"/>
          <a:ext cx="0" cy="74886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39415</xdr:colOff>
      <xdr:row>14</xdr:row>
      <xdr:rowOff>381000</xdr:rowOff>
    </xdr:from>
    <xdr:to>
      <xdr:col>49</xdr:col>
      <xdr:colOff>13138</xdr:colOff>
      <xdr:row>14</xdr:row>
      <xdr:rowOff>387569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CxnSpPr/>
      </xdr:nvCxnSpPr>
      <xdr:spPr>
        <a:xfrm flipH="1" flipV="1">
          <a:off x="7278415" y="3389586"/>
          <a:ext cx="151085" cy="656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38100</xdr:colOff>
      <xdr:row>14</xdr:row>
      <xdr:rowOff>381000</xdr:rowOff>
    </xdr:from>
    <xdr:to>
      <xdr:col>46</xdr:col>
      <xdr:colOff>38100</xdr:colOff>
      <xdr:row>29</xdr:row>
      <xdr:rowOff>76200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CxnSpPr/>
      </xdr:nvCxnSpPr>
      <xdr:spPr>
        <a:xfrm>
          <a:off x="7458075" y="3390900"/>
          <a:ext cx="0" cy="28956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134007</xdr:colOff>
      <xdr:row>29</xdr:row>
      <xdr:rowOff>63062</xdr:rowOff>
    </xdr:from>
    <xdr:to>
      <xdr:col>46</xdr:col>
      <xdr:colOff>38757</xdr:colOff>
      <xdr:row>29</xdr:row>
      <xdr:rowOff>63062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CxnSpPr/>
      </xdr:nvCxnSpPr>
      <xdr:spPr>
        <a:xfrm flipH="1">
          <a:off x="5126421" y="6270734"/>
          <a:ext cx="215133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123825</xdr:colOff>
      <xdr:row>29</xdr:row>
      <xdr:rowOff>57150</xdr:rowOff>
    </xdr:from>
    <xdr:to>
      <xdr:col>32</xdr:col>
      <xdr:colOff>123825</xdr:colOff>
      <xdr:row>30</xdr:row>
      <xdr:rowOff>114300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CxnSpPr/>
      </xdr:nvCxnSpPr>
      <xdr:spPr>
        <a:xfrm>
          <a:off x="5286375" y="6267450"/>
          <a:ext cx="0" cy="1809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19050</xdr:colOff>
      <xdr:row>27</xdr:row>
      <xdr:rowOff>0</xdr:rowOff>
    </xdr:from>
    <xdr:to>
      <xdr:col>42</xdr:col>
      <xdr:colOff>19050</xdr:colOff>
      <xdr:row>31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CxnSpPr/>
      </xdr:nvCxnSpPr>
      <xdr:spPr>
        <a:xfrm>
          <a:off x="6724650" y="5962650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28575</xdr:colOff>
      <xdr:row>27</xdr:row>
      <xdr:rowOff>9525</xdr:rowOff>
    </xdr:from>
    <xdr:to>
      <xdr:col>52</xdr:col>
      <xdr:colOff>28575</xdr:colOff>
      <xdr:row>31</xdr:row>
      <xdr:rowOff>9525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CxnSpPr/>
      </xdr:nvCxnSpPr>
      <xdr:spPr>
        <a:xfrm>
          <a:off x="8277225" y="597217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9525</xdr:colOff>
      <xdr:row>27</xdr:row>
      <xdr:rowOff>0</xdr:rowOff>
    </xdr:from>
    <xdr:to>
      <xdr:col>62</xdr:col>
      <xdr:colOff>9525</xdr:colOff>
      <xdr:row>31</xdr:row>
      <xdr:rowOff>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CxnSpPr/>
      </xdr:nvCxnSpPr>
      <xdr:spPr>
        <a:xfrm>
          <a:off x="9801225" y="5962650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47625</xdr:colOff>
      <xdr:row>32</xdr:row>
      <xdr:rowOff>419100</xdr:rowOff>
    </xdr:from>
    <xdr:to>
      <xdr:col>48</xdr:col>
      <xdr:colOff>47625</xdr:colOff>
      <xdr:row>32</xdr:row>
      <xdr:rowOff>428625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CxnSpPr/>
      </xdr:nvCxnSpPr>
      <xdr:spPr>
        <a:xfrm flipH="1">
          <a:off x="7467600" y="7067550"/>
          <a:ext cx="11430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171450</xdr:colOff>
      <xdr:row>47</xdr:row>
      <xdr:rowOff>85725</xdr:rowOff>
    </xdr:from>
    <xdr:to>
      <xdr:col>42</xdr:col>
      <xdr:colOff>180975</xdr:colOff>
      <xdr:row>49</xdr:row>
      <xdr:rowOff>9525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CxnSpPr/>
      </xdr:nvCxnSpPr>
      <xdr:spPr>
        <a:xfrm>
          <a:off x="6877050" y="9925050"/>
          <a:ext cx="9525" cy="171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9525</xdr:colOff>
      <xdr:row>81</xdr:row>
      <xdr:rowOff>9525</xdr:rowOff>
    </xdr:from>
    <xdr:to>
      <xdr:col>52</xdr:col>
      <xdr:colOff>9525</xdr:colOff>
      <xdr:row>85</xdr:row>
      <xdr:rowOff>7283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CxnSpPr/>
      </xdr:nvCxnSpPr>
      <xdr:spPr>
        <a:xfrm>
          <a:off x="8258175" y="16878300"/>
          <a:ext cx="0" cy="4930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19050</xdr:colOff>
      <xdr:row>42</xdr:row>
      <xdr:rowOff>532086</xdr:rowOff>
    </xdr:from>
    <xdr:to>
      <xdr:col>28</xdr:col>
      <xdr:colOff>45982</xdr:colOff>
      <xdr:row>42</xdr:row>
      <xdr:rowOff>533401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CxnSpPr/>
      </xdr:nvCxnSpPr>
      <xdr:spPr>
        <a:xfrm flipH="1">
          <a:off x="4183774" y="9124293"/>
          <a:ext cx="145174" cy="131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42</xdr:row>
      <xdr:rowOff>533400</xdr:rowOff>
    </xdr:from>
    <xdr:to>
      <xdr:col>26</xdr:col>
      <xdr:colOff>19050</xdr:colOff>
      <xdr:row>73</xdr:row>
      <xdr:rowOff>95250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CxnSpPr/>
      </xdr:nvCxnSpPr>
      <xdr:spPr>
        <a:xfrm>
          <a:off x="4343400" y="9124950"/>
          <a:ext cx="9525" cy="61436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133351</xdr:colOff>
      <xdr:row>73</xdr:row>
      <xdr:rowOff>76200</xdr:rowOff>
    </xdr:from>
    <xdr:to>
      <xdr:col>26</xdr:col>
      <xdr:colOff>28575</xdr:colOff>
      <xdr:row>73</xdr:row>
      <xdr:rowOff>76201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CxnSpPr/>
      </xdr:nvCxnSpPr>
      <xdr:spPr>
        <a:xfrm flipH="1">
          <a:off x="3752851" y="15249525"/>
          <a:ext cx="609599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133350</xdr:colOff>
      <xdr:row>73</xdr:row>
      <xdr:rowOff>76200</xdr:rowOff>
    </xdr:from>
    <xdr:to>
      <xdr:col>22</xdr:col>
      <xdr:colOff>133350</xdr:colOff>
      <xdr:row>77</xdr:row>
      <xdr:rowOff>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CxnSpPr/>
      </xdr:nvCxnSpPr>
      <xdr:spPr>
        <a:xfrm>
          <a:off x="3752850" y="15249525"/>
          <a:ext cx="0" cy="4191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157655</xdr:colOff>
      <xdr:row>64</xdr:row>
      <xdr:rowOff>95250</xdr:rowOff>
    </xdr:from>
    <xdr:to>
      <xdr:col>26</xdr:col>
      <xdr:colOff>1</xdr:colOff>
      <xdr:row>64</xdr:row>
      <xdr:rowOff>98534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CxnSpPr/>
      </xdr:nvCxnSpPr>
      <xdr:spPr>
        <a:xfrm flipH="1">
          <a:off x="3396155" y="13449957"/>
          <a:ext cx="768570" cy="3284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152400</xdr:colOff>
      <xdr:row>64</xdr:row>
      <xdr:rowOff>85725</xdr:rowOff>
    </xdr:from>
    <xdr:to>
      <xdr:col>21</xdr:col>
      <xdr:colOff>152400</xdr:colOff>
      <xdr:row>66</xdr:row>
      <xdr:rowOff>114300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CxnSpPr/>
      </xdr:nvCxnSpPr>
      <xdr:spPr>
        <a:xfrm>
          <a:off x="3552825" y="13439775"/>
          <a:ext cx="0" cy="2762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209550</xdr:colOff>
      <xdr:row>14</xdr:row>
      <xdr:rowOff>394138</xdr:rowOff>
    </xdr:from>
    <xdr:to>
      <xdr:col>67</xdr:col>
      <xdr:colOff>26275</xdr:colOff>
      <xdr:row>14</xdr:row>
      <xdr:rowOff>400707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CxnSpPr/>
      </xdr:nvCxnSpPr>
      <xdr:spPr>
        <a:xfrm>
          <a:off x="10246929" y="3402724"/>
          <a:ext cx="151743" cy="656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28575</xdr:colOff>
      <xdr:row>32</xdr:row>
      <xdr:rowOff>466725</xdr:rowOff>
    </xdr:from>
    <xdr:to>
      <xdr:col>58</xdr:col>
      <xdr:colOff>47625</xdr:colOff>
      <xdr:row>32</xdr:row>
      <xdr:rowOff>476250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CxnSpPr/>
      </xdr:nvCxnSpPr>
      <xdr:spPr>
        <a:xfrm flipH="1" flipV="1">
          <a:off x="8991600" y="7115175"/>
          <a:ext cx="13335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19050</xdr:colOff>
      <xdr:row>32</xdr:row>
      <xdr:rowOff>466725</xdr:rowOff>
    </xdr:from>
    <xdr:to>
      <xdr:col>56</xdr:col>
      <xdr:colOff>38100</xdr:colOff>
      <xdr:row>66</xdr:row>
      <xdr:rowOff>19050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CxnSpPr/>
      </xdr:nvCxnSpPr>
      <xdr:spPr>
        <a:xfrm>
          <a:off x="8982075" y="7115175"/>
          <a:ext cx="19050" cy="65055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65</xdr:row>
      <xdr:rowOff>114300</xdr:rowOff>
    </xdr:from>
    <xdr:to>
      <xdr:col>56</xdr:col>
      <xdr:colOff>38101</xdr:colOff>
      <xdr:row>66</xdr:row>
      <xdr:rowOff>9525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CxnSpPr/>
      </xdr:nvCxnSpPr>
      <xdr:spPr>
        <a:xfrm flipH="1" flipV="1">
          <a:off x="5162550" y="13592175"/>
          <a:ext cx="3838576" cy="190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65</xdr:row>
      <xdr:rowOff>114300</xdr:rowOff>
    </xdr:from>
    <xdr:to>
      <xdr:col>32</xdr:col>
      <xdr:colOff>19050</xdr:colOff>
      <xdr:row>67</xdr:row>
      <xdr:rowOff>38100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CxnSpPr/>
      </xdr:nvCxnSpPr>
      <xdr:spPr>
        <a:xfrm>
          <a:off x="5172075" y="13592175"/>
          <a:ext cx="9525" cy="171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25773</xdr:colOff>
      <xdr:row>14</xdr:row>
      <xdr:rowOff>390525</xdr:rowOff>
    </xdr:from>
    <xdr:to>
      <xdr:col>67</xdr:col>
      <xdr:colOff>38100</xdr:colOff>
      <xdr:row>56</xdr:row>
      <xdr:rowOff>57150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CxnSpPr/>
      </xdr:nvCxnSpPr>
      <xdr:spPr>
        <a:xfrm>
          <a:off x="10588998" y="3400425"/>
          <a:ext cx="12327" cy="83153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142875</xdr:colOff>
      <xdr:row>56</xdr:row>
      <xdr:rowOff>38100</xdr:rowOff>
    </xdr:from>
    <xdr:to>
      <xdr:col>67</xdr:col>
      <xdr:colOff>44825</xdr:colOff>
      <xdr:row>56</xdr:row>
      <xdr:rowOff>56592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CxnSpPr/>
      </xdr:nvCxnSpPr>
      <xdr:spPr>
        <a:xfrm flipH="1" flipV="1">
          <a:off x="5086350" y="11696700"/>
          <a:ext cx="5521700" cy="1849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142875</xdr:colOff>
      <xdr:row>56</xdr:row>
      <xdr:rowOff>28575</xdr:rowOff>
    </xdr:from>
    <xdr:to>
      <xdr:col>31</xdr:col>
      <xdr:colOff>152400</xdr:colOff>
      <xdr:row>59</xdr:row>
      <xdr:rowOff>7844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CxnSpPr/>
      </xdr:nvCxnSpPr>
      <xdr:spPr>
        <a:xfrm>
          <a:off x="5086350" y="11687175"/>
          <a:ext cx="9525" cy="35074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200025</xdr:colOff>
      <xdr:row>42</xdr:row>
      <xdr:rowOff>123825</xdr:rowOff>
    </xdr:from>
    <xdr:to>
      <xdr:col>66</xdr:col>
      <xdr:colOff>52108</xdr:colOff>
      <xdr:row>42</xdr:row>
      <xdr:rowOff>133350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CxnSpPr/>
      </xdr:nvCxnSpPr>
      <xdr:spPr>
        <a:xfrm flipH="1" flipV="1">
          <a:off x="10429875" y="8715375"/>
          <a:ext cx="128308" cy="9525"/>
        </a:xfrm>
        <a:prstGeom prst="straightConnector1">
          <a:avLst/>
        </a:prstGeom>
        <a:ln>
          <a:headEnd type="oval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47623</xdr:colOff>
      <xdr:row>32</xdr:row>
      <xdr:rowOff>419100</xdr:rowOff>
    </xdr:from>
    <xdr:to>
      <xdr:col>46</xdr:col>
      <xdr:colOff>57148</xdr:colOff>
      <xdr:row>47</xdr:row>
      <xdr:rowOff>95250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CxnSpPr/>
      </xdr:nvCxnSpPr>
      <xdr:spPr>
        <a:xfrm>
          <a:off x="7467598" y="7067550"/>
          <a:ext cx="9525" cy="2867025"/>
        </a:xfrm>
        <a:prstGeom prst="line">
          <a:avLst/>
        </a:prstGeom>
        <a:ln>
          <a:tail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171450</xdr:colOff>
      <xdr:row>47</xdr:row>
      <xdr:rowOff>85726</xdr:rowOff>
    </xdr:from>
    <xdr:to>
      <xdr:col>51</xdr:col>
      <xdr:colOff>142873</xdr:colOff>
      <xdr:row>47</xdr:row>
      <xdr:rowOff>95250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CxnSpPr/>
      </xdr:nvCxnSpPr>
      <xdr:spPr>
        <a:xfrm flipH="1" flipV="1">
          <a:off x="6877050" y="9925051"/>
          <a:ext cx="1295398" cy="952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142873</xdr:colOff>
      <xdr:row>47</xdr:row>
      <xdr:rowOff>95250</xdr:rowOff>
    </xdr:from>
    <xdr:to>
      <xdr:col>51</xdr:col>
      <xdr:colOff>152398</xdr:colOff>
      <xdr:row>49</xdr:row>
      <xdr:rowOff>19050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CxnSpPr/>
      </xdr:nvCxnSpPr>
      <xdr:spPr>
        <a:xfrm>
          <a:off x="8172448" y="9934575"/>
          <a:ext cx="9525" cy="171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6569</xdr:colOff>
      <xdr:row>6</xdr:row>
      <xdr:rowOff>352425</xdr:rowOff>
    </xdr:from>
    <xdr:to>
      <xdr:col>68</xdr:col>
      <xdr:colOff>19050</xdr:colOff>
      <xdr:row>6</xdr:row>
      <xdr:rowOff>354725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CxnSpPr/>
      </xdr:nvCxnSpPr>
      <xdr:spPr>
        <a:xfrm flipV="1">
          <a:off x="10293569" y="1666875"/>
          <a:ext cx="183931" cy="23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19050</xdr:colOff>
      <xdr:row>6</xdr:row>
      <xdr:rowOff>333375</xdr:rowOff>
    </xdr:from>
    <xdr:to>
      <xdr:col>68</xdr:col>
      <xdr:colOff>47625</xdr:colOff>
      <xdr:row>47</xdr:row>
      <xdr:rowOff>19050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CxnSpPr/>
      </xdr:nvCxnSpPr>
      <xdr:spPr>
        <a:xfrm>
          <a:off x="10477500" y="1647825"/>
          <a:ext cx="28575" cy="82867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123168</xdr:colOff>
      <xdr:row>47</xdr:row>
      <xdr:rowOff>0</xdr:rowOff>
    </xdr:from>
    <xdr:to>
      <xdr:col>70</xdr:col>
      <xdr:colOff>66018</xdr:colOff>
      <xdr:row>47</xdr:row>
      <xdr:rowOff>9525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CxnSpPr/>
      </xdr:nvCxnSpPr>
      <xdr:spPr>
        <a:xfrm flipH="1" flipV="1">
          <a:off x="9510220" y="9840310"/>
          <a:ext cx="1263212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133350</xdr:colOff>
      <xdr:row>47</xdr:row>
      <xdr:rowOff>0</xdr:rowOff>
    </xdr:from>
    <xdr:to>
      <xdr:col>61</xdr:col>
      <xdr:colOff>133350</xdr:colOff>
      <xdr:row>49</xdr:row>
      <xdr:rowOff>9525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CxnSpPr/>
      </xdr:nvCxnSpPr>
      <xdr:spPr>
        <a:xfrm>
          <a:off x="9705975" y="9839325"/>
          <a:ext cx="0" cy="2571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200025</xdr:colOff>
      <xdr:row>71</xdr:row>
      <xdr:rowOff>9525</xdr:rowOff>
    </xdr:from>
    <xdr:to>
      <xdr:col>31</xdr:col>
      <xdr:colOff>200025</xdr:colOff>
      <xdr:row>74</xdr:row>
      <xdr:rowOff>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CxnSpPr/>
      </xdr:nvCxnSpPr>
      <xdr:spPr>
        <a:xfrm>
          <a:off x="5143500" y="14935200"/>
          <a:ext cx="0" cy="3619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189843</xdr:colOff>
      <xdr:row>73</xdr:row>
      <xdr:rowOff>118242</xdr:rowOff>
    </xdr:from>
    <xdr:to>
      <xdr:col>41</xdr:col>
      <xdr:colOff>142218</xdr:colOff>
      <xdr:row>74</xdr:row>
      <xdr:rowOff>2956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CxnSpPr/>
      </xdr:nvCxnSpPr>
      <xdr:spPr>
        <a:xfrm flipV="1">
          <a:off x="4965481" y="15292552"/>
          <a:ext cx="1489513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142218</xdr:colOff>
      <xdr:row>73</xdr:row>
      <xdr:rowOff>114300</xdr:rowOff>
    </xdr:from>
    <xdr:to>
      <xdr:col>41</xdr:col>
      <xdr:colOff>144517</xdr:colOff>
      <xdr:row>76</xdr:row>
      <xdr:rowOff>118242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CxnSpPr/>
      </xdr:nvCxnSpPr>
      <xdr:spPr>
        <a:xfrm>
          <a:off x="6454994" y="15288610"/>
          <a:ext cx="2299" cy="37837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54349</xdr:colOff>
      <xdr:row>35</xdr:row>
      <xdr:rowOff>9525</xdr:rowOff>
    </xdr:from>
    <xdr:to>
      <xdr:col>61</xdr:col>
      <xdr:colOff>57150</xdr:colOff>
      <xdr:row>37</xdr:row>
      <xdr:rowOff>57150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CxnSpPr/>
      </xdr:nvCxnSpPr>
      <xdr:spPr>
        <a:xfrm>
          <a:off x="9626974" y="7667625"/>
          <a:ext cx="2801" cy="2952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95250</xdr:colOff>
      <xdr:row>37</xdr:row>
      <xdr:rowOff>55469</xdr:rowOff>
    </xdr:from>
    <xdr:to>
      <xdr:col>61</xdr:col>
      <xdr:colOff>63874</xdr:colOff>
      <xdr:row>37</xdr:row>
      <xdr:rowOff>57150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CxnSpPr/>
      </xdr:nvCxnSpPr>
      <xdr:spPr>
        <a:xfrm flipH="1">
          <a:off x="6800850" y="7961219"/>
          <a:ext cx="2835649" cy="168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95250</xdr:colOff>
      <xdr:row>37</xdr:row>
      <xdr:rowOff>47625</xdr:rowOff>
    </xdr:from>
    <xdr:to>
      <xdr:col>42</xdr:col>
      <xdr:colOff>95251</xdr:colOff>
      <xdr:row>41</xdr:row>
      <xdr:rowOff>15688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CxnSpPr/>
      </xdr:nvCxnSpPr>
      <xdr:spPr>
        <a:xfrm>
          <a:off x="6800850" y="7953375"/>
          <a:ext cx="1" cy="46336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91965</xdr:colOff>
      <xdr:row>44</xdr:row>
      <xdr:rowOff>190500</xdr:rowOff>
    </xdr:from>
    <xdr:to>
      <xdr:col>53</xdr:col>
      <xdr:colOff>98206</xdr:colOff>
      <xdr:row>48</xdr:row>
      <xdr:rowOff>55507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CxnSpPr/>
      </xdr:nvCxnSpPr>
      <xdr:spPr>
        <a:xfrm>
          <a:off x="8375431" y="9584121"/>
          <a:ext cx="6241" cy="43650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88681</xdr:colOff>
      <xdr:row>48</xdr:row>
      <xdr:rowOff>45326</xdr:rowOff>
    </xdr:from>
    <xdr:to>
      <xdr:col>70</xdr:col>
      <xdr:colOff>41056</xdr:colOff>
      <xdr:row>48</xdr:row>
      <xdr:rowOff>54851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CxnSpPr/>
      </xdr:nvCxnSpPr>
      <xdr:spPr>
        <a:xfrm flipV="1">
          <a:off x="8372147" y="10010447"/>
          <a:ext cx="2376323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203638</xdr:colOff>
      <xdr:row>48</xdr:row>
      <xdr:rowOff>47625</xdr:rowOff>
    </xdr:from>
    <xdr:to>
      <xdr:col>70</xdr:col>
      <xdr:colOff>38100</xdr:colOff>
      <xdr:row>74</xdr:row>
      <xdr:rowOff>111672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CxnSpPr/>
      </xdr:nvCxnSpPr>
      <xdr:spPr>
        <a:xfrm flipH="1">
          <a:off x="10694276" y="10012746"/>
          <a:ext cx="51238" cy="539804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139919</xdr:colOff>
      <xdr:row>74</xdr:row>
      <xdr:rowOff>118241</xdr:rowOff>
    </xdr:from>
    <xdr:to>
      <xdr:col>69</xdr:col>
      <xdr:colOff>187544</xdr:colOff>
      <xdr:row>74</xdr:row>
      <xdr:rowOff>118241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CxnSpPr/>
      </xdr:nvCxnSpPr>
      <xdr:spPr>
        <a:xfrm flipH="1">
          <a:off x="4915557" y="15417362"/>
          <a:ext cx="576262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137620</xdr:colOff>
      <xdr:row>74</xdr:row>
      <xdr:rowOff>111672</xdr:rowOff>
    </xdr:from>
    <xdr:to>
      <xdr:col>31</xdr:col>
      <xdr:colOff>137620</xdr:colOff>
      <xdr:row>77</xdr:row>
      <xdr:rowOff>5912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CxnSpPr/>
      </xdr:nvCxnSpPr>
      <xdr:spPr>
        <a:xfrm>
          <a:off x="4913258" y="15410793"/>
          <a:ext cx="0" cy="26867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142875</xdr:colOff>
      <xdr:row>81</xdr:row>
      <xdr:rowOff>0</xdr:rowOff>
    </xdr:from>
    <xdr:to>
      <xdr:col>31</xdr:col>
      <xdr:colOff>142875</xdr:colOff>
      <xdr:row>84</xdr:row>
      <xdr:rowOff>121583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CxnSpPr/>
      </xdr:nvCxnSpPr>
      <xdr:spPr>
        <a:xfrm>
          <a:off x="5086350" y="16868775"/>
          <a:ext cx="0" cy="4930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190500</xdr:colOff>
      <xdr:row>81</xdr:row>
      <xdr:rowOff>9525</xdr:rowOff>
    </xdr:from>
    <xdr:to>
      <xdr:col>21</xdr:col>
      <xdr:colOff>190500</xdr:colOff>
      <xdr:row>85</xdr:row>
      <xdr:rowOff>7283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CxnSpPr/>
      </xdr:nvCxnSpPr>
      <xdr:spPr>
        <a:xfrm>
          <a:off x="3590925" y="16878300"/>
          <a:ext cx="0" cy="4930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38100</xdr:colOff>
      <xdr:row>14</xdr:row>
      <xdr:rowOff>390525</xdr:rowOff>
    </xdr:from>
    <xdr:to>
      <xdr:col>48</xdr:col>
      <xdr:colOff>47626</xdr:colOff>
      <xdr:row>14</xdr:row>
      <xdr:rowOff>390526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CxnSpPr/>
      </xdr:nvCxnSpPr>
      <xdr:spPr>
        <a:xfrm flipH="1" flipV="1">
          <a:off x="7296150" y="3400425"/>
          <a:ext cx="123826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38100</xdr:colOff>
      <xdr:row>32</xdr:row>
      <xdr:rowOff>419100</xdr:rowOff>
    </xdr:from>
    <xdr:to>
      <xdr:col>49</xdr:col>
      <xdr:colOff>0</xdr:colOff>
      <xdr:row>32</xdr:row>
      <xdr:rowOff>419100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CxnSpPr/>
      </xdr:nvCxnSpPr>
      <xdr:spPr>
        <a:xfrm flipH="1">
          <a:off x="7353300" y="7067550"/>
          <a:ext cx="762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</xdr:colOff>
      <xdr:row>8</xdr:row>
      <xdr:rowOff>182880</xdr:rowOff>
    </xdr:from>
    <xdr:to>
      <xdr:col>12</xdr:col>
      <xdr:colOff>30480</xdr:colOff>
      <xdr:row>13</xdr:row>
      <xdr:rowOff>1270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CxnSpPr/>
      </xdr:nvCxnSpPr>
      <xdr:spPr>
        <a:xfrm flipH="1">
          <a:off x="2004060" y="2278380"/>
          <a:ext cx="7620" cy="4965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12</xdr:col>
      <xdr:colOff>0</xdr:colOff>
      <xdr:row>19</xdr:row>
      <xdr:rowOff>114300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CxnSpPr/>
      </xdr:nvCxnSpPr>
      <xdr:spPr>
        <a:xfrm>
          <a:off x="1981200" y="394716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19</xdr:row>
      <xdr:rowOff>106680</xdr:rowOff>
    </xdr:from>
    <xdr:to>
      <xdr:col>17</xdr:col>
      <xdr:colOff>7620</xdr:colOff>
      <xdr:row>19</xdr:row>
      <xdr:rowOff>106680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CxnSpPr/>
      </xdr:nvCxnSpPr>
      <xdr:spPr>
        <a:xfrm flipH="1">
          <a:off x="1981200" y="429768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</xdr:colOff>
      <xdr:row>19</xdr:row>
      <xdr:rowOff>99060</xdr:rowOff>
    </xdr:from>
    <xdr:to>
      <xdr:col>17</xdr:col>
      <xdr:colOff>7620</xdr:colOff>
      <xdr:row>29</xdr:row>
      <xdr:rowOff>7620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CxnSpPr/>
      </xdr:nvCxnSpPr>
      <xdr:spPr>
        <a:xfrm>
          <a:off x="2781300" y="4290060"/>
          <a:ext cx="15240" cy="18897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</xdr:colOff>
      <xdr:row>29</xdr:row>
      <xdr:rowOff>0</xdr:rowOff>
    </xdr:from>
    <xdr:to>
      <xdr:col>22</xdr:col>
      <xdr:colOff>0</xdr:colOff>
      <xdr:row>29</xdr:row>
      <xdr:rowOff>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CxnSpPr/>
      </xdr:nvCxnSpPr>
      <xdr:spPr>
        <a:xfrm flipH="1">
          <a:off x="2781300" y="617220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29</xdr:row>
      <xdr:rowOff>0</xdr:rowOff>
    </xdr:from>
    <xdr:to>
      <xdr:col>22</xdr:col>
      <xdr:colOff>0</xdr:colOff>
      <xdr:row>31</xdr:row>
      <xdr:rowOff>8890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CxnSpPr/>
      </xdr:nvCxnSpPr>
      <xdr:spPr>
        <a:xfrm>
          <a:off x="3596640" y="6172200"/>
          <a:ext cx="0" cy="25273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190500</xdr:colOff>
      <xdr:row>16</xdr:row>
      <xdr:rowOff>182880</xdr:rowOff>
    </xdr:from>
    <xdr:to>
      <xdr:col>21</xdr:col>
      <xdr:colOff>190500</xdr:colOff>
      <xdr:row>19</xdr:row>
      <xdr:rowOff>106680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CxnSpPr/>
      </xdr:nvCxnSpPr>
      <xdr:spPr>
        <a:xfrm>
          <a:off x="3558540" y="393954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182880</xdr:colOff>
      <xdr:row>19</xdr:row>
      <xdr:rowOff>114300</xdr:rowOff>
    </xdr:from>
    <xdr:to>
      <xdr:col>26</xdr:col>
      <xdr:colOff>22860</xdr:colOff>
      <xdr:row>19</xdr:row>
      <xdr:rowOff>114300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CxnSpPr/>
      </xdr:nvCxnSpPr>
      <xdr:spPr>
        <a:xfrm flipH="1">
          <a:off x="3550920" y="430530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30480</xdr:colOff>
      <xdr:row>19</xdr:row>
      <xdr:rowOff>114300</xdr:rowOff>
    </xdr:from>
    <xdr:to>
      <xdr:col>26</xdr:col>
      <xdr:colOff>38100</xdr:colOff>
      <xdr:row>29</xdr:row>
      <xdr:rowOff>104775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CxnSpPr/>
      </xdr:nvCxnSpPr>
      <xdr:spPr>
        <a:xfrm>
          <a:off x="4373880" y="4314825"/>
          <a:ext cx="7620" cy="19812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29</xdr:row>
      <xdr:rowOff>95250</xdr:rowOff>
    </xdr:from>
    <xdr:to>
      <xdr:col>26</xdr:col>
      <xdr:colOff>28575</xdr:colOff>
      <xdr:row>29</xdr:row>
      <xdr:rowOff>104775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CxnSpPr/>
      </xdr:nvCxnSpPr>
      <xdr:spPr>
        <a:xfrm flipH="1">
          <a:off x="2000250" y="6286500"/>
          <a:ext cx="237172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15240</xdr:colOff>
      <xdr:row>81</xdr:row>
      <xdr:rowOff>7620</xdr:rowOff>
    </xdr:from>
    <xdr:to>
      <xdr:col>42</xdr:col>
      <xdr:colOff>15240</xdr:colOff>
      <xdr:row>84</xdr:row>
      <xdr:rowOff>115570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CxnSpPr/>
      </xdr:nvCxnSpPr>
      <xdr:spPr>
        <a:xfrm>
          <a:off x="6842760" y="16642080"/>
          <a:ext cx="0" cy="4737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190500</xdr:colOff>
      <xdr:row>8</xdr:row>
      <xdr:rowOff>182880</xdr:rowOff>
    </xdr:from>
    <xdr:to>
      <xdr:col>41</xdr:col>
      <xdr:colOff>198120</xdr:colOff>
      <xdr:row>13</xdr:row>
      <xdr:rowOff>1270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CxnSpPr/>
      </xdr:nvCxnSpPr>
      <xdr:spPr>
        <a:xfrm flipH="1">
          <a:off x="6789420" y="2278380"/>
          <a:ext cx="7620" cy="4965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198120</xdr:colOff>
      <xdr:row>17</xdr:row>
      <xdr:rowOff>7620</xdr:rowOff>
    </xdr:from>
    <xdr:to>
      <xdr:col>41</xdr:col>
      <xdr:colOff>198120</xdr:colOff>
      <xdr:row>19</xdr:row>
      <xdr:rowOff>30480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CxnSpPr/>
      </xdr:nvCxnSpPr>
      <xdr:spPr>
        <a:xfrm>
          <a:off x="6797040" y="3954780"/>
          <a:ext cx="0" cy="2667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32657</xdr:colOff>
      <xdr:row>19</xdr:row>
      <xdr:rowOff>10885</xdr:rowOff>
    </xdr:from>
    <xdr:to>
      <xdr:col>41</xdr:col>
      <xdr:colOff>190500</xdr:colOff>
      <xdr:row>19</xdr:row>
      <xdr:rowOff>15240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CxnSpPr/>
      </xdr:nvCxnSpPr>
      <xdr:spPr>
        <a:xfrm flipH="1" flipV="1">
          <a:off x="2710543" y="4212771"/>
          <a:ext cx="4142014" cy="435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30480</xdr:colOff>
      <xdr:row>19</xdr:row>
      <xdr:rowOff>15240</xdr:rowOff>
    </xdr:from>
    <xdr:to>
      <xdr:col>23</xdr:col>
      <xdr:colOff>30480</xdr:colOff>
      <xdr:row>22</xdr:row>
      <xdr:rowOff>115570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CxnSpPr/>
      </xdr:nvCxnSpPr>
      <xdr:spPr>
        <a:xfrm>
          <a:off x="3855720" y="4206240"/>
          <a:ext cx="0" cy="4660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7620</xdr:colOff>
      <xdr:row>9</xdr:row>
      <xdr:rowOff>15240</xdr:rowOff>
    </xdr:from>
    <xdr:to>
      <xdr:col>32</xdr:col>
      <xdr:colOff>7620</xdr:colOff>
      <xdr:row>12</xdr:row>
      <xdr:rowOff>7620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CxnSpPr/>
      </xdr:nvCxnSpPr>
      <xdr:spPr>
        <a:xfrm>
          <a:off x="5219700" y="230124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15240</xdr:colOff>
      <xdr:row>12</xdr:row>
      <xdr:rowOff>0</xdr:rowOff>
    </xdr:from>
    <xdr:to>
      <xdr:col>32</xdr:col>
      <xdr:colOff>22860</xdr:colOff>
      <xdr:row>12</xdr:row>
      <xdr:rowOff>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CxnSpPr/>
      </xdr:nvCxnSpPr>
      <xdr:spPr>
        <a:xfrm flipH="1">
          <a:off x="4419600" y="265176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22860</xdr:colOff>
      <xdr:row>12</xdr:row>
      <xdr:rowOff>7620</xdr:rowOff>
    </xdr:from>
    <xdr:to>
      <xdr:col>27</xdr:col>
      <xdr:colOff>30480</xdr:colOff>
      <xdr:row>18</xdr:row>
      <xdr:rowOff>38100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CxnSpPr/>
      </xdr:nvCxnSpPr>
      <xdr:spPr>
        <a:xfrm>
          <a:off x="4427220" y="2659380"/>
          <a:ext cx="7620" cy="14478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30480</xdr:colOff>
      <xdr:row>18</xdr:row>
      <xdr:rowOff>30480</xdr:rowOff>
    </xdr:from>
    <xdr:to>
      <xdr:col>32</xdr:col>
      <xdr:colOff>38100</xdr:colOff>
      <xdr:row>18</xdr:row>
      <xdr:rowOff>30480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CxnSpPr/>
      </xdr:nvCxnSpPr>
      <xdr:spPr>
        <a:xfrm flipH="1">
          <a:off x="4434840" y="409956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30480</xdr:colOff>
      <xdr:row>18</xdr:row>
      <xdr:rowOff>22860</xdr:rowOff>
    </xdr:from>
    <xdr:to>
      <xdr:col>32</xdr:col>
      <xdr:colOff>30480</xdr:colOff>
      <xdr:row>22</xdr:row>
      <xdr:rowOff>114300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CxnSpPr/>
      </xdr:nvCxnSpPr>
      <xdr:spPr>
        <a:xfrm>
          <a:off x="5242560" y="4091940"/>
          <a:ext cx="0" cy="5791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7620</xdr:colOff>
      <xdr:row>26</xdr:row>
      <xdr:rowOff>182880</xdr:rowOff>
    </xdr:from>
    <xdr:to>
      <xdr:col>42</xdr:col>
      <xdr:colOff>7620</xdr:colOff>
      <xdr:row>29</xdr:row>
      <xdr:rowOff>0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CxnSpPr/>
      </xdr:nvCxnSpPr>
      <xdr:spPr>
        <a:xfrm>
          <a:off x="6835140" y="5920740"/>
          <a:ext cx="0" cy="2514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60960</xdr:colOff>
      <xdr:row>29</xdr:row>
      <xdr:rowOff>0</xdr:rowOff>
    </xdr:from>
    <xdr:to>
      <xdr:col>41</xdr:col>
      <xdr:colOff>220980</xdr:colOff>
      <xdr:row>29</xdr:row>
      <xdr:rowOff>7620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CxnSpPr/>
      </xdr:nvCxnSpPr>
      <xdr:spPr>
        <a:xfrm flipH="1">
          <a:off x="5273040" y="6172200"/>
          <a:ext cx="15468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53340</xdr:colOff>
      <xdr:row>29</xdr:row>
      <xdr:rowOff>0</xdr:rowOff>
    </xdr:from>
    <xdr:to>
      <xdr:col>32</xdr:col>
      <xdr:colOff>53340</xdr:colOff>
      <xdr:row>31</xdr:row>
      <xdr:rowOff>8890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CxnSpPr/>
      </xdr:nvCxnSpPr>
      <xdr:spPr>
        <a:xfrm>
          <a:off x="5265420" y="6172200"/>
          <a:ext cx="0" cy="25273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7620</xdr:colOff>
      <xdr:row>19</xdr:row>
      <xdr:rowOff>15240</xdr:rowOff>
    </xdr:from>
    <xdr:to>
      <xdr:col>37</xdr:col>
      <xdr:colOff>22860</xdr:colOff>
      <xdr:row>28</xdr:row>
      <xdr:rowOff>38100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CxnSpPr/>
      </xdr:nvCxnSpPr>
      <xdr:spPr>
        <a:xfrm>
          <a:off x="6027420" y="4206240"/>
          <a:ext cx="15240" cy="1882140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15240</xdr:colOff>
      <xdr:row>28</xdr:row>
      <xdr:rowOff>45720</xdr:rowOff>
    </xdr:from>
    <xdr:to>
      <xdr:col>41</xdr:col>
      <xdr:colOff>53340</xdr:colOff>
      <xdr:row>28</xdr:row>
      <xdr:rowOff>45720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CxnSpPr/>
      </xdr:nvCxnSpPr>
      <xdr:spPr>
        <a:xfrm flipH="1">
          <a:off x="6035040" y="6096000"/>
          <a:ext cx="6172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45720</xdr:colOff>
      <xdr:row>28</xdr:row>
      <xdr:rowOff>53340</xdr:rowOff>
    </xdr:from>
    <xdr:to>
      <xdr:col>41</xdr:col>
      <xdr:colOff>45720</xdr:colOff>
      <xdr:row>31</xdr:row>
      <xdr:rowOff>1270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CxnSpPr/>
      </xdr:nvCxnSpPr>
      <xdr:spPr>
        <a:xfrm>
          <a:off x="6644640" y="6103620"/>
          <a:ext cx="0" cy="3136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144780</xdr:colOff>
      <xdr:row>27</xdr:row>
      <xdr:rowOff>0</xdr:rowOff>
    </xdr:from>
    <xdr:to>
      <xdr:col>22</xdr:col>
      <xdr:colOff>144780</xdr:colOff>
      <xdr:row>28</xdr:row>
      <xdr:rowOff>30480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CxnSpPr/>
      </xdr:nvCxnSpPr>
      <xdr:spPr>
        <a:xfrm>
          <a:off x="3741420" y="5928360"/>
          <a:ext cx="0" cy="1524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</xdr:colOff>
      <xdr:row>28</xdr:row>
      <xdr:rowOff>30480</xdr:rowOff>
    </xdr:from>
    <xdr:to>
      <xdr:col>25</xdr:col>
      <xdr:colOff>32657</xdr:colOff>
      <xdr:row>28</xdr:row>
      <xdr:rowOff>32657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CxnSpPr/>
      </xdr:nvCxnSpPr>
      <xdr:spPr>
        <a:xfrm flipH="1" flipV="1">
          <a:off x="2889069" y="6093823"/>
          <a:ext cx="1454331" cy="217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</xdr:colOff>
      <xdr:row>28</xdr:row>
      <xdr:rowOff>30480</xdr:rowOff>
    </xdr:from>
    <xdr:to>
      <xdr:col>18</xdr:col>
      <xdr:colOff>15240</xdr:colOff>
      <xdr:row>38</xdr:row>
      <xdr:rowOff>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CxnSpPr/>
      </xdr:nvCxnSpPr>
      <xdr:spPr>
        <a:xfrm>
          <a:off x="2865120" y="6080760"/>
          <a:ext cx="0" cy="18745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22860</xdr:colOff>
      <xdr:row>38</xdr:row>
      <xdr:rowOff>0</xdr:rowOff>
    </xdr:from>
    <xdr:to>
      <xdr:col>42</xdr:col>
      <xdr:colOff>7620</xdr:colOff>
      <xdr:row>38</xdr:row>
      <xdr:rowOff>15240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CxnSpPr/>
      </xdr:nvCxnSpPr>
      <xdr:spPr>
        <a:xfrm flipH="1" flipV="1">
          <a:off x="2872740" y="7955280"/>
          <a:ext cx="3962400" cy="152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83820</xdr:colOff>
      <xdr:row>38</xdr:row>
      <xdr:rowOff>15240</xdr:rowOff>
    </xdr:from>
    <xdr:to>
      <xdr:col>22</xdr:col>
      <xdr:colOff>83820</xdr:colOff>
      <xdr:row>41</xdr:row>
      <xdr:rowOff>8890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CxnSpPr/>
      </xdr:nvCxnSpPr>
      <xdr:spPr>
        <a:xfrm>
          <a:off x="3680460" y="7970520"/>
          <a:ext cx="0" cy="3594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38</xdr:row>
      <xdr:rowOff>7620</xdr:rowOff>
    </xdr:from>
    <xdr:to>
      <xdr:col>42</xdr:col>
      <xdr:colOff>0</xdr:colOff>
      <xdr:row>41</xdr:row>
      <xdr:rowOff>1270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CxnSpPr/>
      </xdr:nvCxnSpPr>
      <xdr:spPr>
        <a:xfrm>
          <a:off x="6827520" y="7962900"/>
          <a:ext cx="0" cy="3594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185056</xdr:colOff>
      <xdr:row>34</xdr:row>
      <xdr:rowOff>189411</xdr:rowOff>
    </xdr:from>
    <xdr:to>
      <xdr:col>41</xdr:col>
      <xdr:colOff>185056</xdr:colOff>
      <xdr:row>36</xdr:row>
      <xdr:rowOff>76200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CxnSpPr/>
      </xdr:nvCxnSpPr>
      <xdr:spPr>
        <a:xfrm>
          <a:off x="6847113" y="7602582"/>
          <a:ext cx="0" cy="2024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185057</xdr:colOff>
      <xdr:row>36</xdr:row>
      <xdr:rowOff>73479</xdr:rowOff>
    </xdr:from>
    <xdr:to>
      <xdr:col>52</xdr:col>
      <xdr:colOff>7620</xdr:colOff>
      <xdr:row>36</xdr:row>
      <xdr:rowOff>77831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CxnSpPr/>
      </xdr:nvCxnSpPr>
      <xdr:spPr>
        <a:xfrm flipH="1" flipV="1">
          <a:off x="6757307" y="7807779"/>
          <a:ext cx="1651363" cy="435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36</xdr:row>
      <xdr:rowOff>87086</xdr:rowOff>
    </xdr:from>
    <xdr:to>
      <xdr:col>52</xdr:col>
      <xdr:colOff>0</xdr:colOff>
      <xdr:row>40</xdr:row>
      <xdr:rowOff>107950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CxnSpPr/>
      </xdr:nvCxnSpPr>
      <xdr:spPr>
        <a:xfrm>
          <a:off x="8523514" y="7815943"/>
          <a:ext cx="0" cy="49983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43543</xdr:colOff>
      <xdr:row>19</xdr:row>
      <xdr:rowOff>21771</xdr:rowOff>
    </xdr:from>
    <xdr:to>
      <xdr:col>16</xdr:col>
      <xdr:colOff>32657</xdr:colOff>
      <xdr:row>65</xdr:row>
      <xdr:rowOff>43543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CxnSpPr/>
      </xdr:nvCxnSpPr>
      <xdr:spPr>
        <a:xfrm>
          <a:off x="2721429" y="4223657"/>
          <a:ext cx="54428" cy="91440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46</xdr:row>
      <xdr:rowOff>97972</xdr:rowOff>
    </xdr:from>
    <xdr:to>
      <xdr:col>22</xdr:col>
      <xdr:colOff>10886</xdr:colOff>
      <xdr:row>46</xdr:row>
      <xdr:rowOff>97972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CxnSpPr/>
      </xdr:nvCxnSpPr>
      <xdr:spPr>
        <a:xfrm flipH="1">
          <a:off x="1992086" y="9731829"/>
          <a:ext cx="1643743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10886</xdr:colOff>
      <xdr:row>46</xdr:row>
      <xdr:rowOff>108858</xdr:rowOff>
    </xdr:from>
    <xdr:to>
      <xdr:col>12</xdr:col>
      <xdr:colOff>10886</xdr:colOff>
      <xdr:row>48</xdr:row>
      <xdr:rowOff>117747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CxnSpPr/>
      </xdr:nvCxnSpPr>
      <xdr:spPr>
        <a:xfrm>
          <a:off x="2002972" y="9742715"/>
          <a:ext cx="0" cy="2483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46</xdr:row>
      <xdr:rowOff>108857</xdr:rowOff>
    </xdr:from>
    <xdr:to>
      <xdr:col>22</xdr:col>
      <xdr:colOff>0</xdr:colOff>
      <xdr:row>48</xdr:row>
      <xdr:rowOff>117746</xdr:rowOff>
    </xdr:to>
    <xdr:cxnSp macro="">
      <xdr:nvCxnSpPr>
        <xdr:cNvPr id="157" name="Straight Arrow Connector 156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CxnSpPr/>
      </xdr:nvCxnSpPr>
      <xdr:spPr>
        <a:xfrm>
          <a:off x="3624943" y="9742714"/>
          <a:ext cx="0" cy="2483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4354</xdr:colOff>
      <xdr:row>35</xdr:row>
      <xdr:rowOff>10886</xdr:rowOff>
    </xdr:from>
    <xdr:to>
      <xdr:col>32</xdr:col>
      <xdr:colOff>4354</xdr:colOff>
      <xdr:row>37</xdr:row>
      <xdr:rowOff>18506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CxnSpPr/>
      </xdr:nvCxnSpPr>
      <xdr:spPr>
        <a:xfrm>
          <a:off x="5262154" y="7620000"/>
          <a:ext cx="0" cy="24710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217714</xdr:colOff>
      <xdr:row>37</xdr:row>
      <xdr:rowOff>10886</xdr:rowOff>
    </xdr:from>
    <xdr:to>
      <xdr:col>46</xdr:col>
      <xdr:colOff>21772</xdr:colOff>
      <xdr:row>37</xdr:row>
      <xdr:rowOff>10886</xdr:rowOff>
    </xdr:to>
    <xdr:cxnSp macro="">
      <xdr:nvCxnSpPr>
        <xdr:cNvPr id="159" name="Straight Connector 158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CxnSpPr/>
      </xdr:nvCxnSpPr>
      <xdr:spPr>
        <a:xfrm flipH="1">
          <a:off x="5246914" y="7859486"/>
          <a:ext cx="2416629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43543</xdr:colOff>
      <xdr:row>37</xdr:row>
      <xdr:rowOff>21772</xdr:rowOff>
    </xdr:from>
    <xdr:to>
      <xdr:col>36</xdr:col>
      <xdr:colOff>43544</xdr:colOff>
      <xdr:row>54</xdr:row>
      <xdr:rowOff>21772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CxnSpPr/>
      </xdr:nvCxnSpPr>
      <xdr:spPr>
        <a:xfrm flipH="1">
          <a:off x="6052457" y="7870372"/>
          <a:ext cx="1" cy="345077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32657</xdr:colOff>
      <xdr:row>47</xdr:row>
      <xdr:rowOff>43543</xdr:rowOff>
    </xdr:from>
    <xdr:to>
      <xdr:col>36</xdr:col>
      <xdr:colOff>55517</xdr:colOff>
      <xdr:row>47</xdr:row>
      <xdr:rowOff>43543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CxnSpPr/>
      </xdr:nvCxnSpPr>
      <xdr:spPr>
        <a:xfrm flipH="1">
          <a:off x="5290457" y="9797143"/>
          <a:ext cx="773974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43543</xdr:colOff>
      <xdr:row>47</xdr:row>
      <xdr:rowOff>43542</xdr:rowOff>
    </xdr:from>
    <xdr:to>
      <xdr:col>32</xdr:col>
      <xdr:colOff>43543</xdr:colOff>
      <xdr:row>49</xdr:row>
      <xdr:rowOff>21771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CxnSpPr/>
      </xdr:nvCxnSpPr>
      <xdr:spPr>
        <a:xfrm>
          <a:off x="5301343" y="9797142"/>
          <a:ext cx="0" cy="21771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43544</xdr:colOff>
      <xdr:row>28</xdr:row>
      <xdr:rowOff>21771</xdr:rowOff>
    </xdr:from>
    <xdr:to>
      <xdr:col>26</xdr:col>
      <xdr:colOff>10886</xdr:colOff>
      <xdr:row>46</xdr:row>
      <xdr:rowOff>0</xdr:rowOff>
    </xdr:to>
    <xdr:cxnSp macro="">
      <xdr:nvCxnSpPr>
        <xdr:cNvPr id="171" name="Straight Connector 170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CxnSpPr/>
      </xdr:nvCxnSpPr>
      <xdr:spPr>
        <a:xfrm>
          <a:off x="4354287" y="6085114"/>
          <a:ext cx="32656" cy="354874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21772</xdr:colOff>
      <xdr:row>46</xdr:row>
      <xdr:rowOff>10886</xdr:rowOff>
    </xdr:from>
    <xdr:to>
      <xdr:col>42</xdr:col>
      <xdr:colOff>10886</xdr:colOff>
      <xdr:row>46</xdr:row>
      <xdr:rowOff>21772</xdr:rowOff>
    </xdr:to>
    <xdr:cxnSp macro="">
      <xdr:nvCxnSpPr>
        <xdr:cNvPr id="173" name="Straight Connector 172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CxnSpPr/>
      </xdr:nvCxnSpPr>
      <xdr:spPr>
        <a:xfrm flipH="1" flipV="1">
          <a:off x="4397829" y="9644743"/>
          <a:ext cx="2503714" cy="1088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10886</xdr:colOff>
      <xdr:row>46</xdr:row>
      <xdr:rowOff>32657</xdr:rowOff>
    </xdr:from>
    <xdr:to>
      <xdr:col>42</xdr:col>
      <xdr:colOff>10886</xdr:colOff>
      <xdr:row>49</xdr:row>
      <xdr:rowOff>8889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CxnSpPr/>
      </xdr:nvCxnSpPr>
      <xdr:spPr>
        <a:xfrm>
          <a:off x="6901543" y="9666514"/>
          <a:ext cx="0" cy="33546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10886</xdr:colOff>
      <xdr:row>37</xdr:row>
      <xdr:rowOff>1</xdr:rowOff>
    </xdr:from>
    <xdr:to>
      <xdr:col>46</xdr:col>
      <xdr:colOff>21772</xdr:colOff>
      <xdr:row>47</xdr:row>
      <xdr:rowOff>21771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CxnSpPr/>
      </xdr:nvCxnSpPr>
      <xdr:spPr>
        <a:xfrm>
          <a:off x="7652657" y="7848601"/>
          <a:ext cx="10886" cy="192677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47</xdr:row>
      <xdr:rowOff>10886</xdr:rowOff>
    </xdr:from>
    <xdr:to>
      <xdr:col>51</xdr:col>
      <xdr:colOff>120831</xdr:colOff>
      <xdr:row>47</xdr:row>
      <xdr:rowOff>10886</xdr:rowOff>
    </xdr:to>
    <xdr:cxnSp macro="">
      <xdr:nvCxnSpPr>
        <xdr:cNvPr id="195" name="Straight Connector 194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CxnSpPr/>
      </xdr:nvCxnSpPr>
      <xdr:spPr>
        <a:xfrm flipH="1">
          <a:off x="7641771" y="9764486"/>
          <a:ext cx="773974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119742</xdr:colOff>
      <xdr:row>47</xdr:row>
      <xdr:rowOff>10886</xdr:rowOff>
    </xdr:from>
    <xdr:to>
      <xdr:col>51</xdr:col>
      <xdr:colOff>119743</xdr:colOff>
      <xdr:row>48</xdr:row>
      <xdr:rowOff>106861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CxnSpPr/>
      </xdr:nvCxnSpPr>
      <xdr:spPr>
        <a:xfrm flipH="1">
          <a:off x="8414656" y="9764486"/>
          <a:ext cx="1" cy="21571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21771</xdr:colOff>
      <xdr:row>53</xdr:row>
      <xdr:rowOff>10885</xdr:rowOff>
    </xdr:from>
    <xdr:to>
      <xdr:col>32</xdr:col>
      <xdr:colOff>21772</xdr:colOff>
      <xdr:row>55</xdr:row>
      <xdr:rowOff>43543</xdr:rowOff>
    </xdr:to>
    <xdr:cxnSp macro="">
      <xdr:nvCxnSpPr>
        <xdr:cNvPr id="200" name="Straight Connector 19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CxnSpPr/>
      </xdr:nvCxnSpPr>
      <xdr:spPr>
        <a:xfrm flipH="1">
          <a:off x="5279571" y="11190514"/>
          <a:ext cx="1" cy="27214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43543</xdr:colOff>
      <xdr:row>55</xdr:row>
      <xdr:rowOff>43543</xdr:rowOff>
    </xdr:from>
    <xdr:to>
      <xdr:col>52</xdr:col>
      <xdr:colOff>21772</xdr:colOff>
      <xdr:row>55</xdr:row>
      <xdr:rowOff>54429</xdr:rowOff>
    </xdr:to>
    <xdr:cxnSp macro="">
      <xdr:nvCxnSpPr>
        <xdr:cNvPr id="201" name="Straight Connector 200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CxnSpPr/>
      </xdr:nvCxnSpPr>
      <xdr:spPr>
        <a:xfrm flipH="1" flipV="1">
          <a:off x="2852057" y="11462657"/>
          <a:ext cx="5693229" cy="1088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10886</xdr:colOff>
      <xdr:row>55</xdr:row>
      <xdr:rowOff>54429</xdr:rowOff>
    </xdr:from>
    <xdr:to>
      <xdr:col>52</xdr:col>
      <xdr:colOff>10886</xdr:colOff>
      <xdr:row>59</xdr:row>
      <xdr:rowOff>19775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CxnSpPr/>
      </xdr:nvCxnSpPr>
      <xdr:spPr>
        <a:xfrm>
          <a:off x="8534400" y="11473543"/>
          <a:ext cx="0" cy="44431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43543</xdr:colOff>
      <xdr:row>45</xdr:row>
      <xdr:rowOff>1</xdr:rowOff>
    </xdr:from>
    <xdr:to>
      <xdr:col>52</xdr:col>
      <xdr:colOff>43543</xdr:colOff>
      <xdr:row>47</xdr:row>
      <xdr:rowOff>7621</xdr:rowOff>
    </xdr:to>
    <xdr:cxnSp macro="">
      <xdr:nvCxnSpPr>
        <xdr:cNvPr id="206" name="Straight Connector 205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CxnSpPr/>
      </xdr:nvCxnSpPr>
      <xdr:spPr>
        <a:xfrm>
          <a:off x="8567057" y="9514115"/>
          <a:ext cx="0" cy="24710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43543</xdr:colOff>
      <xdr:row>46</xdr:row>
      <xdr:rowOff>108858</xdr:rowOff>
    </xdr:from>
    <xdr:to>
      <xdr:col>57</xdr:col>
      <xdr:colOff>1088</xdr:colOff>
      <xdr:row>46</xdr:row>
      <xdr:rowOff>108858</xdr:rowOff>
    </xdr:to>
    <xdr:cxnSp macro="">
      <xdr:nvCxnSpPr>
        <xdr:cNvPr id="207" name="Straight Connector 206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CxnSpPr/>
      </xdr:nvCxnSpPr>
      <xdr:spPr>
        <a:xfrm flipH="1">
          <a:off x="8567057" y="9742715"/>
          <a:ext cx="773974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0</xdr:colOff>
      <xdr:row>46</xdr:row>
      <xdr:rowOff>119742</xdr:rowOff>
    </xdr:from>
    <xdr:to>
      <xdr:col>57</xdr:col>
      <xdr:colOff>0</xdr:colOff>
      <xdr:row>56</xdr:row>
      <xdr:rowOff>87086</xdr:rowOff>
    </xdr:to>
    <xdr:cxnSp macro="">
      <xdr:nvCxnSpPr>
        <xdr:cNvPr id="208" name="Straight Connector 207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CxnSpPr/>
      </xdr:nvCxnSpPr>
      <xdr:spPr>
        <a:xfrm>
          <a:off x="9339943" y="9753599"/>
          <a:ext cx="0" cy="187234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206828</xdr:colOff>
      <xdr:row>56</xdr:row>
      <xdr:rowOff>108858</xdr:rowOff>
    </xdr:from>
    <xdr:to>
      <xdr:col>57</xdr:col>
      <xdr:colOff>10885</xdr:colOff>
      <xdr:row>56</xdr:row>
      <xdr:rowOff>108858</xdr:rowOff>
    </xdr:to>
    <xdr:cxnSp macro="">
      <xdr:nvCxnSpPr>
        <xdr:cNvPr id="210" name="Straight Connector 20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CxnSpPr/>
      </xdr:nvCxnSpPr>
      <xdr:spPr>
        <a:xfrm flipH="1">
          <a:off x="3603171" y="11647715"/>
          <a:ext cx="5747657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217715</xdr:colOff>
      <xdr:row>57</xdr:row>
      <xdr:rowOff>0</xdr:rowOff>
    </xdr:from>
    <xdr:to>
      <xdr:col>21</xdr:col>
      <xdr:colOff>217715</xdr:colOff>
      <xdr:row>59</xdr:row>
      <xdr:rowOff>8889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CxnSpPr/>
      </xdr:nvCxnSpPr>
      <xdr:spPr>
        <a:xfrm>
          <a:off x="3614058" y="11658600"/>
          <a:ext cx="0" cy="2483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217714</xdr:colOff>
      <xdr:row>54</xdr:row>
      <xdr:rowOff>32657</xdr:rowOff>
    </xdr:from>
    <xdr:to>
      <xdr:col>36</xdr:col>
      <xdr:colOff>44632</xdr:colOff>
      <xdr:row>54</xdr:row>
      <xdr:rowOff>32658</xdr:rowOff>
    </xdr:to>
    <xdr:cxnSp macro="">
      <xdr:nvCxnSpPr>
        <xdr:cNvPr id="215" name="Straight Connector 214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CxnSpPr/>
      </xdr:nvCxnSpPr>
      <xdr:spPr>
        <a:xfrm flipH="1">
          <a:off x="5475514" y="11332028"/>
          <a:ext cx="578032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217714</xdr:colOff>
      <xdr:row>54</xdr:row>
      <xdr:rowOff>21772</xdr:rowOff>
    </xdr:from>
    <xdr:to>
      <xdr:col>32</xdr:col>
      <xdr:colOff>217714</xdr:colOff>
      <xdr:row>59</xdr:row>
      <xdr:rowOff>19775</xdr:rowOff>
    </xdr:to>
    <xdr:cxnSp macro="">
      <xdr:nvCxnSpPr>
        <xdr:cNvPr id="217" name="Straight Arrow Connector 216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CxnSpPr/>
      </xdr:nvCxnSpPr>
      <xdr:spPr>
        <a:xfrm>
          <a:off x="5475514" y="11321143"/>
          <a:ext cx="0" cy="59671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10886</xdr:colOff>
      <xdr:row>65</xdr:row>
      <xdr:rowOff>32657</xdr:rowOff>
    </xdr:from>
    <xdr:to>
      <xdr:col>16</xdr:col>
      <xdr:colOff>33746</xdr:colOff>
      <xdr:row>65</xdr:row>
      <xdr:rowOff>32657</xdr:rowOff>
    </xdr:to>
    <xdr:cxnSp macro="">
      <xdr:nvCxnSpPr>
        <xdr:cNvPr id="222" name="Straight Connector 221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CxnSpPr/>
      </xdr:nvCxnSpPr>
      <xdr:spPr>
        <a:xfrm flipH="1">
          <a:off x="2002972" y="13356771"/>
          <a:ext cx="773974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10885</xdr:colOff>
      <xdr:row>65</xdr:row>
      <xdr:rowOff>32657</xdr:rowOff>
    </xdr:from>
    <xdr:to>
      <xdr:col>12</xdr:col>
      <xdr:colOff>10886</xdr:colOff>
      <xdr:row>67</xdr:row>
      <xdr:rowOff>8889</xdr:rowOff>
    </xdr:to>
    <xdr:cxnSp macro="">
      <xdr:nvCxnSpPr>
        <xdr:cNvPr id="224" name="Straight Arrow Connector 223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CxnSpPr/>
      </xdr:nvCxnSpPr>
      <xdr:spPr>
        <a:xfrm>
          <a:off x="2002971" y="13356771"/>
          <a:ext cx="1" cy="21571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32658</xdr:colOff>
      <xdr:row>55</xdr:row>
      <xdr:rowOff>21772</xdr:rowOff>
    </xdr:from>
    <xdr:to>
      <xdr:col>17</xdr:col>
      <xdr:colOff>54429</xdr:colOff>
      <xdr:row>64</xdr:row>
      <xdr:rowOff>108858</xdr:rowOff>
    </xdr:to>
    <xdr:cxnSp macro="">
      <xdr:nvCxnSpPr>
        <xdr:cNvPr id="227" name="Straight Connector 226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CxnSpPr/>
      </xdr:nvCxnSpPr>
      <xdr:spPr>
        <a:xfrm>
          <a:off x="2841172" y="11440886"/>
          <a:ext cx="21771" cy="187234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32658</xdr:colOff>
      <xdr:row>64</xdr:row>
      <xdr:rowOff>108857</xdr:rowOff>
    </xdr:from>
    <xdr:to>
      <xdr:col>32</xdr:col>
      <xdr:colOff>32657</xdr:colOff>
      <xdr:row>64</xdr:row>
      <xdr:rowOff>108858</xdr:rowOff>
    </xdr:to>
    <xdr:cxnSp macro="">
      <xdr:nvCxnSpPr>
        <xdr:cNvPr id="230" name="Straight Connector 22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CxnSpPr/>
      </xdr:nvCxnSpPr>
      <xdr:spPr>
        <a:xfrm flipH="1" flipV="1">
          <a:off x="2841172" y="13313228"/>
          <a:ext cx="2449285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206828</xdr:colOff>
      <xdr:row>64</xdr:row>
      <xdr:rowOff>108858</xdr:rowOff>
    </xdr:from>
    <xdr:to>
      <xdr:col>21</xdr:col>
      <xdr:colOff>206830</xdr:colOff>
      <xdr:row>67</xdr:row>
      <xdr:rowOff>30661</xdr:rowOff>
    </xdr:to>
    <xdr:cxnSp macro="">
      <xdr:nvCxnSpPr>
        <xdr:cNvPr id="231" name="Straight Arrow Connector 230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CxnSpPr/>
      </xdr:nvCxnSpPr>
      <xdr:spPr>
        <a:xfrm>
          <a:off x="3603171" y="13313229"/>
          <a:ext cx="2" cy="28103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21772</xdr:colOff>
      <xdr:row>64</xdr:row>
      <xdr:rowOff>87082</xdr:rowOff>
    </xdr:from>
    <xdr:to>
      <xdr:col>32</xdr:col>
      <xdr:colOff>21774</xdr:colOff>
      <xdr:row>67</xdr:row>
      <xdr:rowOff>8885</xdr:rowOff>
    </xdr:to>
    <xdr:cxnSp macro="">
      <xdr:nvCxnSpPr>
        <xdr:cNvPr id="237" name="Straight Arrow Connector 236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CxnSpPr/>
      </xdr:nvCxnSpPr>
      <xdr:spPr>
        <a:xfrm>
          <a:off x="5279572" y="13291453"/>
          <a:ext cx="2" cy="28103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206828</xdr:colOff>
      <xdr:row>62</xdr:row>
      <xdr:rowOff>185057</xdr:rowOff>
    </xdr:from>
    <xdr:to>
      <xdr:col>21</xdr:col>
      <xdr:colOff>206829</xdr:colOff>
      <xdr:row>64</xdr:row>
      <xdr:rowOff>10886</xdr:rowOff>
    </xdr:to>
    <xdr:cxnSp macro="">
      <xdr:nvCxnSpPr>
        <xdr:cNvPr id="238" name="Straight Connector 237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CxnSpPr/>
      </xdr:nvCxnSpPr>
      <xdr:spPr>
        <a:xfrm flipH="1">
          <a:off x="3603171" y="13073743"/>
          <a:ext cx="1" cy="14151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206828</xdr:colOff>
      <xdr:row>64</xdr:row>
      <xdr:rowOff>10887</xdr:rowOff>
    </xdr:from>
    <xdr:to>
      <xdr:col>42</xdr:col>
      <xdr:colOff>21772</xdr:colOff>
      <xdr:row>64</xdr:row>
      <xdr:rowOff>21772</xdr:rowOff>
    </xdr:to>
    <xdr:cxnSp macro="">
      <xdr:nvCxnSpPr>
        <xdr:cNvPr id="240" name="Straight Connector 23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CxnSpPr/>
      </xdr:nvCxnSpPr>
      <xdr:spPr>
        <a:xfrm flipH="1" flipV="1">
          <a:off x="3603171" y="13215258"/>
          <a:ext cx="3309258" cy="1088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10886</xdr:colOff>
      <xdr:row>64</xdr:row>
      <xdr:rowOff>32657</xdr:rowOff>
    </xdr:from>
    <xdr:to>
      <xdr:col>42</xdr:col>
      <xdr:colOff>10888</xdr:colOff>
      <xdr:row>67</xdr:row>
      <xdr:rowOff>8888</xdr:rowOff>
    </xdr:to>
    <xdr:cxnSp macro="">
      <xdr:nvCxnSpPr>
        <xdr:cNvPr id="242" name="Straight Arrow Connector 241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CxnSpPr/>
      </xdr:nvCxnSpPr>
      <xdr:spPr>
        <a:xfrm>
          <a:off x="6901543" y="13237028"/>
          <a:ext cx="2" cy="3354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195943</xdr:colOff>
      <xdr:row>10</xdr:row>
      <xdr:rowOff>87085</xdr:rowOff>
    </xdr:from>
    <xdr:to>
      <xdr:col>67</xdr:col>
      <xdr:colOff>21771</xdr:colOff>
      <xdr:row>10</xdr:row>
      <xdr:rowOff>97971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CxnSpPr/>
      </xdr:nvCxnSpPr>
      <xdr:spPr>
        <a:xfrm flipH="1" flipV="1">
          <a:off x="6858000" y="2503714"/>
          <a:ext cx="4136571" cy="1088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21771</xdr:colOff>
      <xdr:row>10</xdr:row>
      <xdr:rowOff>108857</xdr:rowOff>
    </xdr:from>
    <xdr:to>
      <xdr:col>67</xdr:col>
      <xdr:colOff>21771</xdr:colOff>
      <xdr:row>73</xdr:row>
      <xdr:rowOff>108857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CxnSpPr/>
      </xdr:nvCxnSpPr>
      <xdr:spPr>
        <a:xfrm flipV="1">
          <a:off x="10994571" y="2525486"/>
          <a:ext cx="0" cy="125730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206829</xdr:colOff>
      <xdr:row>73</xdr:row>
      <xdr:rowOff>108856</xdr:rowOff>
    </xdr:from>
    <xdr:to>
      <xdr:col>67</xdr:col>
      <xdr:colOff>10886</xdr:colOff>
      <xdr:row>73</xdr:row>
      <xdr:rowOff>108857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CxnSpPr/>
      </xdr:nvCxnSpPr>
      <xdr:spPr>
        <a:xfrm flipH="1">
          <a:off x="5236029" y="15098485"/>
          <a:ext cx="5747657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206829</xdr:colOff>
      <xdr:row>73</xdr:row>
      <xdr:rowOff>87085</xdr:rowOff>
    </xdr:from>
    <xdr:to>
      <xdr:col>31</xdr:col>
      <xdr:colOff>206830</xdr:colOff>
      <xdr:row>77</xdr:row>
      <xdr:rowOff>8889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CxnSpPr/>
      </xdr:nvCxnSpPr>
      <xdr:spPr>
        <a:xfrm>
          <a:off x="5236029" y="15076714"/>
          <a:ext cx="1" cy="400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217714</xdr:colOff>
      <xdr:row>71</xdr:row>
      <xdr:rowOff>10885</xdr:rowOff>
    </xdr:from>
    <xdr:to>
      <xdr:col>41</xdr:col>
      <xdr:colOff>217715</xdr:colOff>
      <xdr:row>72</xdr:row>
      <xdr:rowOff>108857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CxnSpPr/>
      </xdr:nvCxnSpPr>
      <xdr:spPr>
        <a:xfrm flipH="1">
          <a:off x="6879771" y="14761028"/>
          <a:ext cx="1" cy="21771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54429</xdr:colOff>
      <xdr:row>72</xdr:row>
      <xdr:rowOff>97971</xdr:rowOff>
    </xdr:from>
    <xdr:to>
      <xdr:col>41</xdr:col>
      <xdr:colOff>217714</xdr:colOff>
      <xdr:row>72</xdr:row>
      <xdr:rowOff>97971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CxnSpPr/>
      </xdr:nvCxnSpPr>
      <xdr:spPr>
        <a:xfrm flipH="1">
          <a:off x="4430486" y="14967857"/>
          <a:ext cx="244928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54429</xdr:colOff>
      <xdr:row>72</xdr:row>
      <xdr:rowOff>97971</xdr:rowOff>
    </xdr:from>
    <xdr:to>
      <xdr:col>27</xdr:col>
      <xdr:colOff>2</xdr:colOff>
      <xdr:row>83</xdr:row>
      <xdr:rowOff>21772</xdr:rowOff>
    </xdr:to>
    <xdr:cxnSp macro="">
      <xdr:nvCxnSpPr>
        <xdr:cNvPr id="261" name="Straight Connector 260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CxnSpPr/>
      </xdr:nvCxnSpPr>
      <xdr:spPr>
        <a:xfrm flipH="1">
          <a:off x="4430486" y="14967857"/>
          <a:ext cx="10887" cy="195942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43543</xdr:colOff>
      <xdr:row>83</xdr:row>
      <xdr:rowOff>21772</xdr:rowOff>
    </xdr:from>
    <xdr:to>
      <xdr:col>32</xdr:col>
      <xdr:colOff>10886</xdr:colOff>
      <xdr:row>83</xdr:row>
      <xdr:rowOff>21772</xdr:rowOff>
    </xdr:to>
    <xdr:cxnSp macro="">
      <xdr:nvCxnSpPr>
        <xdr:cNvPr id="263" name="Straight Connector 262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CxnSpPr/>
      </xdr:nvCxnSpPr>
      <xdr:spPr>
        <a:xfrm flipH="1">
          <a:off x="4419600" y="16927286"/>
          <a:ext cx="84908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217714</xdr:colOff>
      <xdr:row>83</xdr:row>
      <xdr:rowOff>32657</xdr:rowOff>
    </xdr:from>
    <xdr:to>
      <xdr:col>31</xdr:col>
      <xdr:colOff>217715</xdr:colOff>
      <xdr:row>84</xdr:row>
      <xdr:rowOff>106860</xdr:rowOff>
    </xdr:to>
    <xdr:cxnSp macro="">
      <xdr:nvCxnSpPr>
        <xdr:cNvPr id="266" name="Straight Arrow Connector 265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CxnSpPr/>
      </xdr:nvCxnSpPr>
      <xdr:spPr>
        <a:xfrm>
          <a:off x="5246914" y="16938171"/>
          <a:ext cx="1" cy="19394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29</xdr:row>
      <xdr:rowOff>95250</xdr:rowOff>
    </xdr:from>
    <xdr:to>
      <xdr:col>12</xdr:col>
      <xdr:colOff>9525</xdr:colOff>
      <xdr:row>31</xdr:row>
      <xdr:rowOff>10795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0044D21-3DCD-4DC9-B6D2-DBCA9CD334C3}"/>
            </a:ext>
          </a:extLst>
        </xdr:cNvPr>
        <xdr:cNvCxnSpPr/>
      </xdr:nvCxnSpPr>
      <xdr:spPr>
        <a:xfrm>
          <a:off x="2009775" y="6286500"/>
          <a:ext cx="0" cy="1631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85725</xdr:colOff>
      <xdr:row>64</xdr:row>
      <xdr:rowOff>28575</xdr:rowOff>
    </xdr:from>
    <xdr:to>
      <xdr:col>52</xdr:col>
      <xdr:colOff>85727</xdr:colOff>
      <xdr:row>67</xdr:row>
      <xdr:rowOff>4806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1F289AD-57F8-47E9-813F-4E19B71EDF8E}"/>
            </a:ext>
          </a:extLst>
        </xdr:cNvPr>
        <xdr:cNvCxnSpPr/>
      </xdr:nvCxnSpPr>
      <xdr:spPr>
        <a:xfrm>
          <a:off x="8486775" y="13258800"/>
          <a:ext cx="2" cy="34770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76200</xdr:colOff>
      <xdr:row>64</xdr:row>
      <xdr:rowOff>38100</xdr:rowOff>
    </xdr:from>
    <xdr:to>
      <xdr:col>58</xdr:col>
      <xdr:colOff>19050</xdr:colOff>
      <xdr:row>64</xdr:row>
      <xdr:rowOff>38100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046D061-41F6-4E0A-ADE7-3E4F57D52EA8}"/>
            </a:ext>
          </a:extLst>
        </xdr:cNvPr>
        <xdr:cNvCxnSpPr/>
      </xdr:nvCxnSpPr>
      <xdr:spPr>
        <a:xfrm flipH="1">
          <a:off x="8477250" y="13268325"/>
          <a:ext cx="8001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47</xdr:row>
      <xdr:rowOff>28575</xdr:rowOff>
    </xdr:from>
    <xdr:to>
      <xdr:col>58</xdr:col>
      <xdr:colOff>9525</xdr:colOff>
      <xdr:row>64</xdr:row>
      <xdr:rowOff>32658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5C23EA3-FECD-41BC-92A3-AFA8717AFC8F}"/>
            </a:ext>
          </a:extLst>
        </xdr:cNvPr>
        <xdr:cNvCxnSpPr/>
      </xdr:nvCxnSpPr>
      <xdr:spPr>
        <a:xfrm>
          <a:off x="9258300" y="9801225"/>
          <a:ext cx="9525" cy="346165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47</xdr:row>
      <xdr:rowOff>28575</xdr:rowOff>
    </xdr:from>
    <xdr:to>
      <xdr:col>61</xdr:col>
      <xdr:colOff>38100</xdr:colOff>
      <xdr:row>47</xdr:row>
      <xdr:rowOff>28575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65C5615-9B9F-473B-9D61-C9F0EF9B9C2F}"/>
            </a:ext>
          </a:extLst>
        </xdr:cNvPr>
        <xdr:cNvCxnSpPr/>
      </xdr:nvCxnSpPr>
      <xdr:spPr>
        <a:xfrm flipH="1">
          <a:off x="9258300" y="9801225"/>
          <a:ext cx="5524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38100</xdr:colOff>
      <xdr:row>45</xdr:row>
      <xdr:rowOff>0</xdr:rowOff>
    </xdr:from>
    <xdr:to>
      <xdr:col>61</xdr:col>
      <xdr:colOff>38101</xdr:colOff>
      <xdr:row>47</xdr:row>
      <xdr:rowOff>32658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7EF0C90-FD8C-438F-999D-C54C82F6B8E2}"/>
            </a:ext>
          </a:extLst>
        </xdr:cNvPr>
        <xdr:cNvCxnSpPr/>
      </xdr:nvCxnSpPr>
      <xdr:spPr>
        <a:xfrm flipH="1">
          <a:off x="9810750" y="9525000"/>
          <a:ext cx="1" cy="28030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12439650" y="4953000"/>
          <a:ext cx="0" cy="350767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2439650" y="4953000"/>
          <a:ext cx="0" cy="350767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78828</xdr:colOff>
      <xdr:row>9</xdr:row>
      <xdr:rowOff>6569</xdr:rowOff>
    </xdr:from>
    <xdr:to>
      <xdr:col>31</xdr:col>
      <xdr:colOff>80031</xdr:colOff>
      <xdr:row>10</xdr:row>
      <xdr:rowOff>15765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>
          <a:off x="4854466" y="2325414"/>
          <a:ext cx="1203" cy="13400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25619</xdr:colOff>
      <xdr:row>10</xdr:row>
      <xdr:rowOff>13138</xdr:rowOff>
    </xdr:from>
    <xdr:to>
      <xdr:col>31</xdr:col>
      <xdr:colOff>85944</xdr:colOff>
      <xdr:row>10</xdr:row>
      <xdr:rowOff>13138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CxnSpPr/>
      </xdr:nvCxnSpPr>
      <xdr:spPr>
        <a:xfrm flipH="1">
          <a:off x="3480895" y="2456793"/>
          <a:ext cx="1380687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28575</xdr:colOff>
      <xdr:row>10</xdr:row>
      <xdr:rowOff>6350</xdr:rowOff>
    </xdr:from>
    <xdr:to>
      <xdr:col>22</xdr:col>
      <xdr:colOff>28576</xdr:colOff>
      <xdr:row>13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 flipH="1">
          <a:off x="3648075" y="2454275"/>
          <a:ext cx="1" cy="365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9525</xdr:colOff>
      <xdr:row>9</xdr:row>
      <xdr:rowOff>0</xdr:rowOff>
    </xdr:from>
    <xdr:to>
      <xdr:col>52</xdr:col>
      <xdr:colOff>9525</xdr:colOff>
      <xdr:row>12</xdr:row>
      <xdr:rowOff>114300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/>
      </xdr:nvCxnSpPr>
      <xdr:spPr>
        <a:xfrm>
          <a:off x="8258175" y="2324100"/>
          <a:ext cx="0" cy="485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190500</xdr:colOff>
      <xdr:row>16</xdr:row>
      <xdr:rowOff>180975</xdr:rowOff>
    </xdr:from>
    <xdr:to>
      <xdr:col>51</xdr:col>
      <xdr:colOff>190500</xdr:colOff>
      <xdr:row>23</xdr:row>
      <xdr:rowOff>9525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CxnSpPr/>
      </xdr:nvCxnSpPr>
      <xdr:spPr>
        <a:xfrm>
          <a:off x="8220075" y="4000500"/>
          <a:ext cx="0" cy="7715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47625</xdr:colOff>
      <xdr:row>27</xdr:row>
      <xdr:rowOff>9525</xdr:rowOff>
    </xdr:from>
    <xdr:to>
      <xdr:col>51</xdr:col>
      <xdr:colOff>47625</xdr:colOff>
      <xdr:row>29</xdr:row>
      <xdr:rowOff>38100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CxnSpPr/>
      </xdr:nvCxnSpPr>
      <xdr:spPr>
        <a:xfrm>
          <a:off x="8077200" y="5972175"/>
          <a:ext cx="0" cy="2762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186888</xdr:colOff>
      <xdr:row>29</xdr:row>
      <xdr:rowOff>32188</xdr:rowOff>
    </xdr:from>
    <xdr:to>
      <xdr:col>51</xdr:col>
      <xdr:colOff>63063</xdr:colOff>
      <xdr:row>29</xdr:row>
      <xdr:rowOff>41713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 flipH="1" flipV="1">
          <a:off x="4962526" y="6239860"/>
          <a:ext cx="2950451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190500</xdr:colOff>
      <xdr:row>29</xdr:row>
      <xdr:rowOff>28575</xdr:rowOff>
    </xdr:from>
    <xdr:to>
      <xdr:col>31</xdr:col>
      <xdr:colOff>190500</xdr:colOff>
      <xdr:row>31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CxnSpPr/>
      </xdr:nvCxnSpPr>
      <xdr:spPr>
        <a:xfrm>
          <a:off x="5133975" y="6238875"/>
          <a:ext cx="0" cy="2190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209550</xdr:colOff>
      <xdr:row>63</xdr:row>
      <xdr:rowOff>0</xdr:rowOff>
    </xdr:from>
    <xdr:to>
      <xdr:col>51</xdr:col>
      <xdr:colOff>209550</xdr:colOff>
      <xdr:row>66</xdr:row>
      <xdr:rowOff>121583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CxnSpPr/>
      </xdr:nvCxnSpPr>
      <xdr:spPr>
        <a:xfrm>
          <a:off x="8239125" y="13230225"/>
          <a:ext cx="0" cy="4930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14</xdr:row>
      <xdr:rowOff>409575</xdr:rowOff>
    </xdr:from>
    <xdr:to>
      <xdr:col>46</xdr:col>
      <xdr:colOff>38100</xdr:colOff>
      <xdr:row>14</xdr:row>
      <xdr:rowOff>409575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CxnSpPr/>
      </xdr:nvCxnSpPr>
      <xdr:spPr>
        <a:xfrm>
          <a:off x="7362825" y="3419475"/>
          <a:ext cx="952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38100</xdr:colOff>
      <xdr:row>14</xdr:row>
      <xdr:rowOff>428625</xdr:rowOff>
    </xdr:from>
    <xdr:to>
      <xdr:col>47</xdr:col>
      <xdr:colOff>0</xdr:colOff>
      <xdr:row>30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CxnSpPr/>
      </xdr:nvCxnSpPr>
      <xdr:spPr>
        <a:xfrm>
          <a:off x="7458075" y="3438525"/>
          <a:ext cx="19050" cy="28956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38100</xdr:colOff>
      <xdr:row>29</xdr:row>
      <xdr:rowOff>104775</xdr:rowOff>
    </xdr:from>
    <xdr:to>
      <xdr:col>61</xdr:col>
      <xdr:colOff>180975</xdr:colOff>
      <xdr:row>29</xdr:row>
      <xdr:rowOff>114300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CxnSpPr/>
      </xdr:nvCxnSpPr>
      <xdr:spPr>
        <a:xfrm flipV="1">
          <a:off x="7458075" y="6315075"/>
          <a:ext cx="229552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171450</xdr:colOff>
      <xdr:row>29</xdr:row>
      <xdr:rowOff>104775</xdr:rowOff>
    </xdr:from>
    <xdr:to>
      <xdr:col>61</xdr:col>
      <xdr:colOff>190500</xdr:colOff>
      <xdr:row>31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CxnSpPr/>
      </xdr:nvCxnSpPr>
      <xdr:spPr>
        <a:xfrm>
          <a:off x="9744075" y="6315075"/>
          <a:ext cx="19050" cy="1428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124810</xdr:colOff>
      <xdr:row>35</xdr:row>
      <xdr:rowOff>0</xdr:rowOff>
    </xdr:from>
    <xdr:to>
      <xdr:col>61</xdr:col>
      <xdr:colOff>132036</xdr:colOff>
      <xdr:row>37</xdr:row>
      <xdr:rowOff>54194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CxnSpPr/>
      </xdr:nvCxnSpPr>
      <xdr:spPr>
        <a:xfrm>
          <a:off x="9511862" y="7652845"/>
          <a:ext cx="7226" cy="30381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180318</xdr:colOff>
      <xdr:row>37</xdr:row>
      <xdr:rowOff>67332</xdr:rowOff>
    </xdr:from>
    <xdr:to>
      <xdr:col>61</xdr:col>
      <xdr:colOff>142218</xdr:colOff>
      <xdr:row>37</xdr:row>
      <xdr:rowOff>67332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CxnSpPr/>
      </xdr:nvCxnSpPr>
      <xdr:spPr>
        <a:xfrm flipH="1">
          <a:off x="8030232" y="7969798"/>
          <a:ext cx="1499038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190500</xdr:colOff>
      <xdr:row>37</xdr:row>
      <xdr:rowOff>57150</xdr:rowOff>
    </xdr:from>
    <xdr:to>
      <xdr:col>51</xdr:col>
      <xdr:colOff>190500</xdr:colOff>
      <xdr:row>40</xdr:row>
      <xdr:rowOff>114300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CxnSpPr/>
      </xdr:nvCxnSpPr>
      <xdr:spPr>
        <a:xfrm>
          <a:off x="8220075" y="7962900"/>
          <a:ext cx="0" cy="4286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9525</xdr:colOff>
      <xdr:row>24</xdr:row>
      <xdr:rowOff>295275</xdr:rowOff>
    </xdr:from>
    <xdr:to>
      <xdr:col>56</xdr:col>
      <xdr:colOff>38100</xdr:colOff>
      <xdr:row>24</xdr:row>
      <xdr:rowOff>295275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CxnSpPr/>
      </xdr:nvCxnSpPr>
      <xdr:spPr>
        <a:xfrm>
          <a:off x="8915400" y="5248275"/>
          <a:ext cx="8572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38100</xdr:colOff>
      <xdr:row>24</xdr:row>
      <xdr:rowOff>285750</xdr:rowOff>
    </xdr:from>
    <xdr:to>
      <xdr:col>57</xdr:col>
      <xdr:colOff>0</xdr:colOff>
      <xdr:row>36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CxnSpPr/>
      </xdr:nvCxnSpPr>
      <xdr:spPr>
        <a:xfrm>
          <a:off x="9001125" y="5238750"/>
          <a:ext cx="19050" cy="25431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167837</xdr:colOff>
      <xdr:row>36</xdr:row>
      <xdr:rowOff>0</xdr:rowOff>
    </xdr:from>
    <xdr:to>
      <xdr:col>57</xdr:col>
      <xdr:colOff>5912</xdr:colOff>
      <xdr:row>36</xdr:row>
      <xdr:rowOff>9525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CxnSpPr/>
      </xdr:nvCxnSpPr>
      <xdr:spPr>
        <a:xfrm flipH="1" flipV="1">
          <a:off x="7800975" y="7777655"/>
          <a:ext cx="1040196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171450</xdr:colOff>
      <xdr:row>36</xdr:row>
      <xdr:rowOff>0</xdr:rowOff>
    </xdr:from>
    <xdr:to>
      <xdr:col>50</xdr:col>
      <xdr:colOff>171451</xdr:colOff>
      <xdr:row>40</xdr:row>
      <xdr:rowOff>114300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CxnSpPr/>
      </xdr:nvCxnSpPr>
      <xdr:spPr>
        <a:xfrm flipH="1">
          <a:off x="7981950" y="7781925"/>
          <a:ext cx="1" cy="6096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9525</xdr:colOff>
      <xdr:row>32</xdr:row>
      <xdr:rowOff>361950</xdr:rowOff>
    </xdr:from>
    <xdr:to>
      <xdr:col>48</xdr:col>
      <xdr:colOff>28575</xdr:colOff>
      <xdr:row>32</xdr:row>
      <xdr:rowOff>361950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CxnSpPr/>
      </xdr:nvCxnSpPr>
      <xdr:spPr>
        <a:xfrm flipH="1">
          <a:off x="7486650" y="7010400"/>
          <a:ext cx="762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47625</xdr:colOff>
      <xdr:row>32</xdr:row>
      <xdr:rowOff>352425</xdr:rowOff>
    </xdr:from>
    <xdr:to>
      <xdr:col>46</xdr:col>
      <xdr:colOff>47625</xdr:colOff>
      <xdr:row>47</xdr:row>
      <xdr:rowOff>76200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CxnSpPr/>
      </xdr:nvCxnSpPr>
      <xdr:spPr>
        <a:xfrm>
          <a:off x="7467600" y="7000875"/>
          <a:ext cx="0" cy="29146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104776</xdr:colOff>
      <xdr:row>47</xdr:row>
      <xdr:rowOff>66675</xdr:rowOff>
    </xdr:from>
    <xdr:to>
      <xdr:col>46</xdr:col>
      <xdr:colOff>52552</xdr:colOff>
      <xdr:row>47</xdr:row>
      <xdr:rowOff>72259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CxnSpPr/>
      </xdr:nvCxnSpPr>
      <xdr:spPr>
        <a:xfrm flipH="1" flipV="1">
          <a:off x="4880414" y="9906985"/>
          <a:ext cx="2411138" cy="558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114300</xdr:colOff>
      <xdr:row>47</xdr:row>
      <xdr:rowOff>66675</xdr:rowOff>
    </xdr:from>
    <xdr:to>
      <xdr:col>31</xdr:col>
      <xdr:colOff>114300</xdr:colOff>
      <xdr:row>49</xdr:row>
      <xdr:rowOff>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CxnSpPr/>
      </xdr:nvCxnSpPr>
      <xdr:spPr>
        <a:xfrm>
          <a:off x="5057775" y="9906000"/>
          <a:ext cx="0" cy="1809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152400</xdr:colOff>
      <xdr:row>45</xdr:row>
      <xdr:rowOff>0</xdr:rowOff>
    </xdr:from>
    <xdr:to>
      <xdr:col>41</xdr:col>
      <xdr:colOff>152400</xdr:colOff>
      <xdr:row>49</xdr:row>
      <xdr:rowOff>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CxnSpPr/>
      </xdr:nvCxnSpPr>
      <xdr:spPr>
        <a:xfrm>
          <a:off x="6638925" y="959167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152400</xdr:colOff>
      <xdr:row>46</xdr:row>
      <xdr:rowOff>114300</xdr:rowOff>
    </xdr:from>
    <xdr:to>
      <xdr:col>51</xdr:col>
      <xdr:colOff>200025</xdr:colOff>
      <xdr:row>46</xdr:row>
      <xdr:rowOff>114300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CxnSpPr/>
      </xdr:nvCxnSpPr>
      <xdr:spPr>
        <a:xfrm>
          <a:off x="6638925" y="9829800"/>
          <a:ext cx="1590675" cy="0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190500</xdr:colOff>
      <xdr:row>47</xdr:row>
      <xdr:rowOff>0</xdr:rowOff>
    </xdr:from>
    <xdr:to>
      <xdr:col>51</xdr:col>
      <xdr:colOff>190500</xdr:colOff>
      <xdr:row>48</xdr:row>
      <xdr:rowOff>111672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CxnSpPr/>
      </xdr:nvCxnSpPr>
      <xdr:spPr>
        <a:xfrm>
          <a:off x="8040414" y="9840310"/>
          <a:ext cx="0" cy="23648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47625</xdr:colOff>
      <xdr:row>42</xdr:row>
      <xdr:rowOff>485775</xdr:rowOff>
    </xdr:from>
    <xdr:to>
      <xdr:col>39</xdr:col>
      <xdr:colOff>9525</xdr:colOff>
      <xdr:row>42</xdr:row>
      <xdr:rowOff>495300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CxnSpPr/>
      </xdr:nvCxnSpPr>
      <xdr:spPr>
        <a:xfrm flipH="1" flipV="1">
          <a:off x="5924550" y="9077325"/>
          <a:ext cx="13335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</xdr:colOff>
      <xdr:row>42</xdr:row>
      <xdr:rowOff>485775</xdr:rowOff>
    </xdr:from>
    <xdr:to>
      <xdr:col>36</xdr:col>
      <xdr:colOff>38100</xdr:colOff>
      <xdr:row>65</xdr:row>
      <xdr:rowOff>28575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CxnSpPr/>
      </xdr:nvCxnSpPr>
      <xdr:spPr>
        <a:xfrm>
          <a:off x="5915025" y="9077325"/>
          <a:ext cx="0" cy="44291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188201</xdr:colOff>
      <xdr:row>65</xdr:row>
      <xdr:rowOff>25619</xdr:rowOff>
    </xdr:from>
    <xdr:to>
      <xdr:col>36</xdr:col>
      <xdr:colOff>45327</xdr:colOff>
      <xdr:row>65</xdr:row>
      <xdr:rowOff>25619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CxnSpPr/>
      </xdr:nvCxnSpPr>
      <xdr:spPr>
        <a:xfrm flipH="1">
          <a:off x="2106339" y="13505136"/>
          <a:ext cx="36408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65</xdr:row>
      <xdr:rowOff>15437</xdr:rowOff>
    </xdr:from>
    <xdr:to>
      <xdr:col>12</xdr:col>
      <xdr:colOff>191814</xdr:colOff>
      <xdr:row>67</xdr:row>
      <xdr:rowOff>6569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CxnSpPr/>
      </xdr:nvCxnSpPr>
      <xdr:spPr>
        <a:xfrm flipH="1">
          <a:off x="2108638" y="13494954"/>
          <a:ext cx="1314" cy="24075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57150</xdr:colOff>
      <xdr:row>56</xdr:row>
      <xdr:rowOff>38100</xdr:rowOff>
    </xdr:from>
    <xdr:to>
      <xdr:col>36</xdr:col>
      <xdr:colOff>19051</xdr:colOff>
      <xdr:row>56</xdr:row>
      <xdr:rowOff>47625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CxnSpPr/>
      </xdr:nvCxnSpPr>
      <xdr:spPr>
        <a:xfrm flipH="1" flipV="1">
          <a:off x="3676650" y="11696700"/>
          <a:ext cx="2219326" cy="9525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57150</xdr:colOff>
      <xdr:row>56</xdr:row>
      <xdr:rowOff>38100</xdr:rowOff>
    </xdr:from>
    <xdr:to>
      <xdr:col>22</xdr:col>
      <xdr:colOff>57150</xdr:colOff>
      <xdr:row>59</xdr:row>
      <xdr:rowOff>19050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CxnSpPr/>
      </xdr:nvCxnSpPr>
      <xdr:spPr>
        <a:xfrm>
          <a:off x="3676650" y="11696700"/>
          <a:ext cx="0" cy="3524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42</xdr:row>
      <xdr:rowOff>352425</xdr:rowOff>
    </xdr:from>
    <xdr:to>
      <xdr:col>19</xdr:col>
      <xdr:colOff>0</xdr:colOff>
      <xdr:row>42</xdr:row>
      <xdr:rowOff>361951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CxnSpPr/>
      </xdr:nvCxnSpPr>
      <xdr:spPr>
        <a:xfrm flipH="1" flipV="1">
          <a:off x="2686050" y="8943975"/>
          <a:ext cx="114300" cy="952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42</xdr:row>
      <xdr:rowOff>361950</xdr:rowOff>
    </xdr:from>
    <xdr:to>
      <xdr:col>16</xdr:col>
      <xdr:colOff>47625</xdr:colOff>
      <xdr:row>54</xdr:row>
      <xdr:rowOff>66675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CxnSpPr/>
      </xdr:nvCxnSpPr>
      <xdr:spPr>
        <a:xfrm>
          <a:off x="2676525" y="8953500"/>
          <a:ext cx="0" cy="25241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54</xdr:row>
      <xdr:rowOff>66675</xdr:rowOff>
    </xdr:from>
    <xdr:to>
      <xdr:col>32</xdr:col>
      <xdr:colOff>0</xdr:colOff>
      <xdr:row>54</xdr:row>
      <xdr:rowOff>66675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CxnSpPr/>
      </xdr:nvCxnSpPr>
      <xdr:spPr>
        <a:xfrm>
          <a:off x="2828925" y="11477625"/>
          <a:ext cx="233362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213163</xdr:colOff>
      <xdr:row>54</xdr:row>
      <xdr:rowOff>66018</xdr:rowOff>
    </xdr:from>
    <xdr:to>
      <xdr:col>31</xdr:col>
      <xdr:colOff>213163</xdr:colOff>
      <xdr:row>58</xdr:row>
      <xdr:rowOff>114629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CxnSpPr/>
      </xdr:nvCxnSpPr>
      <xdr:spPr>
        <a:xfrm>
          <a:off x="4988801" y="11476311"/>
          <a:ext cx="0" cy="54785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</xdr:colOff>
      <xdr:row>8</xdr:row>
      <xdr:rowOff>182880</xdr:rowOff>
    </xdr:from>
    <xdr:to>
      <xdr:col>12</xdr:col>
      <xdr:colOff>30480</xdr:colOff>
      <xdr:row>13</xdr:row>
      <xdr:rowOff>1270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 flipH="1">
          <a:off x="2004060" y="2278380"/>
          <a:ext cx="7620" cy="4965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12</xdr:col>
      <xdr:colOff>0</xdr:colOff>
      <xdr:row>19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1981200" y="394716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19</xdr:row>
      <xdr:rowOff>106680</xdr:rowOff>
    </xdr:from>
    <xdr:to>
      <xdr:col>17</xdr:col>
      <xdr:colOff>7620</xdr:colOff>
      <xdr:row>19</xdr:row>
      <xdr:rowOff>106680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 flipH="1">
          <a:off x="1981200" y="429768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</xdr:colOff>
      <xdr:row>19</xdr:row>
      <xdr:rowOff>99060</xdr:rowOff>
    </xdr:from>
    <xdr:to>
      <xdr:col>17</xdr:col>
      <xdr:colOff>7620</xdr:colOff>
      <xdr:row>29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>
          <a:off x="2781300" y="4290060"/>
          <a:ext cx="15240" cy="18897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</xdr:colOff>
      <xdr:row>29</xdr:row>
      <xdr:rowOff>0</xdr:rowOff>
    </xdr:from>
    <xdr:to>
      <xdr:col>22</xdr:col>
      <xdr:colOff>0</xdr:colOff>
      <xdr:row>29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CxnSpPr/>
      </xdr:nvCxnSpPr>
      <xdr:spPr>
        <a:xfrm flipH="1">
          <a:off x="2781300" y="617220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29</xdr:row>
      <xdr:rowOff>0</xdr:rowOff>
    </xdr:from>
    <xdr:to>
      <xdr:col>22</xdr:col>
      <xdr:colOff>0</xdr:colOff>
      <xdr:row>31</xdr:row>
      <xdr:rowOff>8890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CxnSpPr/>
      </xdr:nvCxnSpPr>
      <xdr:spPr>
        <a:xfrm>
          <a:off x="3596640" y="6172200"/>
          <a:ext cx="0" cy="25273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190500</xdr:colOff>
      <xdr:row>16</xdr:row>
      <xdr:rowOff>182880</xdr:rowOff>
    </xdr:from>
    <xdr:to>
      <xdr:col>21</xdr:col>
      <xdr:colOff>190500</xdr:colOff>
      <xdr:row>19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CxnSpPr/>
      </xdr:nvCxnSpPr>
      <xdr:spPr>
        <a:xfrm>
          <a:off x="3558540" y="393954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182880</xdr:colOff>
      <xdr:row>19</xdr:row>
      <xdr:rowOff>114300</xdr:rowOff>
    </xdr:from>
    <xdr:to>
      <xdr:col>26</xdr:col>
      <xdr:colOff>22860</xdr:colOff>
      <xdr:row>19</xdr:row>
      <xdr:rowOff>114300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CxnSpPr/>
      </xdr:nvCxnSpPr>
      <xdr:spPr>
        <a:xfrm flipH="1">
          <a:off x="3550920" y="430530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30480</xdr:colOff>
      <xdr:row>19</xdr:row>
      <xdr:rowOff>114300</xdr:rowOff>
    </xdr:from>
    <xdr:to>
      <xdr:col>26</xdr:col>
      <xdr:colOff>38100</xdr:colOff>
      <xdr:row>29</xdr:row>
      <xdr:rowOff>95250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CxnSpPr/>
      </xdr:nvCxnSpPr>
      <xdr:spPr>
        <a:xfrm>
          <a:off x="4373880" y="4314825"/>
          <a:ext cx="7620" cy="19716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29</xdr:row>
      <xdr:rowOff>95250</xdr:rowOff>
    </xdr:from>
    <xdr:to>
      <xdr:col>26</xdr:col>
      <xdr:colOff>28575</xdr:colOff>
      <xdr:row>29</xdr:row>
      <xdr:rowOff>104775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CxnSpPr/>
      </xdr:nvCxnSpPr>
      <xdr:spPr>
        <a:xfrm flipH="1">
          <a:off x="2009775" y="6286500"/>
          <a:ext cx="236220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15240</xdr:colOff>
      <xdr:row>81</xdr:row>
      <xdr:rowOff>7620</xdr:rowOff>
    </xdr:from>
    <xdr:to>
      <xdr:col>42</xdr:col>
      <xdr:colOff>15240</xdr:colOff>
      <xdr:row>84</xdr:row>
      <xdr:rowOff>115570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CxnSpPr/>
      </xdr:nvCxnSpPr>
      <xdr:spPr>
        <a:xfrm>
          <a:off x="6842760" y="16642080"/>
          <a:ext cx="0" cy="4737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190500</xdr:colOff>
      <xdr:row>8</xdr:row>
      <xdr:rowOff>182880</xdr:rowOff>
    </xdr:from>
    <xdr:to>
      <xdr:col>41</xdr:col>
      <xdr:colOff>198120</xdr:colOff>
      <xdr:row>13</xdr:row>
      <xdr:rowOff>1270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CxnSpPr/>
      </xdr:nvCxnSpPr>
      <xdr:spPr>
        <a:xfrm flipH="1">
          <a:off x="6789420" y="2278380"/>
          <a:ext cx="7620" cy="4965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198120</xdr:colOff>
      <xdr:row>17</xdr:row>
      <xdr:rowOff>7620</xdr:rowOff>
    </xdr:from>
    <xdr:to>
      <xdr:col>41</xdr:col>
      <xdr:colOff>198120</xdr:colOff>
      <xdr:row>19</xdr:row>
      <xdr:rowOff>30480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CxnSpPr/>
      </xdr:nvCxnSpPr>
      <xdr:spPr>
        <a:xfrm>
          <a:off x="6797040" y="3954780"/>
          <a:ext cx="0" cy="2667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32657</xdr:colOff>
      <xdr:row>19</xdr:row>
      <xdr:rowOff>9525</xdr:rowOff>
    </xdr:from>
    <xdr:to>
      <xdr:col>57</xdr:col>
      <xdr:colOff>0</xdr:colOff>
      <xdr:row>19</xdr:row>
      <xdr:rowOff>39460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CxnSpPr/>
      </xdr:nvCxnSpPr>
      <xdr:spPr>
        <a:xfrm flipH="1">
          <a:off x="2690132" y="4210050"/>
          <a:ext cx="6482443" cy="2993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30480</xdr:colOff>
      <xdr:row>19</xdr:row>
      <xdr:rowOff>15240</xdr:rowOff>
    </xdr:from>
    <xdr:to>
      <xdr:col>23</xdr:col>
      <xdr:colOff>30480</xdr:colOff>
      <xdr:row>22</xdr:row>
      <xdr:rowOff>115570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CxnSpPr/>
      </xdr:nvCxnSpPr>
      <xdr:spPr>
        <a:xfrm>
          <a:off x="3855720" y="4206240"/>
          <a:ext cx="0" cy="4660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7620</xdr:colOff>
      <xdr:row>9</xdr:row>
      <xdr:rowOff>15240</xdr:rowOff>
    </xdr:from>
    <xdr:to>
      <xdr:col>32</xdr:col>
      <xdr:colOff>7620</xdr:colOff>
      <xdr:row>12</xdr:row>
      <xdr:rowOff>7620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CxnSpPr/>
      </xdr:nvCxnSpPr>
      <xdr:spPr>
        <a:xfrm>
          <a:off x="5219700" y="230124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15240</xdr:colOff>
      <xdr:row>12</xdr:row>
      <xdr:rowOff>0</xdr:rowOff>
    </xdr:from>
    <xdr:to>
      <xdr:col>32</xdr:col>
      <xdr:colOff>22860</xdr:colOff>
      <xdr:row>12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CxnSpPr/>
      </xdr:nvCxnSpPr>
      <xdr:spPr>
        <a:xfrm flipH="1">
          <a:off x="4419600" y="265176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22860</xdr:colOff>
      <xdr:row>12</xdr:row>
      <xdr:rowOff>7620</xdr:rowOff>
    </xdr:from>
    <xdr:to>
      <xdr:col>27</xdr:col>
      <xdr:colOff>30480</xdr:colOff>
      <xdr:row>18</xdr:row>
      <xdr:rowOff>38100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CxnSpPr/>
      </xdr:nvCxnSpPr>
      <xdr:spPr>
        <a:xfrm>
          <a:off x="4427220" y="2659380"/>
          <a:ext cx="7620" cy="14478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30480</xdr:colOff>
      <xdr:row>18</xdr:row>
      <xdr:rowOff>30480</xdr:rowOff>
    </xdr:from>
    <xdr:to>
      <xdr:col>32</xdr:col>
      <xdr:colOff>38100</xdr:colOff>
      <xdr:row>18</xdr:row>
      <xdr:rowOff>30480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CxnSpPr/>
      </xdr:nvCxnSpPr>
      <xdr:spPr>
        <a:xfrm flipH="1">
          <a:off x="4434840" y="409956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30480</xdr:colOff>
      <xdr:row>18</xdr:row>
      <xdr:rowOff>22860</xdr:rowOff>
    </xdr:from>
    <xdr:to>
      <xdr:col>32</xdr:col>
      <xdr:colOff>30480</xdr:colOff>
      <xdr:row>22</xdr:row>
      <xdr:rowOff>114300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CxnSpPr/>
      </xdr:nvCxnSpPr>
      <xdr:spPr>
        <a:xfrm>
          <a:off x="5242560" y="4091940"/>
          <a:ext cx="0" cy="5791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7620</xdr:colOff>
      <xdr:row>26</xdr:row>
      <xdr:rowOff>182880</xdr:rowOff>
    </xdr:from>
    <xdr:to>
      <xdr:col>42</xdr:col>
      <xdr:colOff>7620</xdr:colOff>
      <xdr:row>29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CxnSpPr/>
      </xdr:nvCxnSpPr>
      <xdr:spPr>
        <a:xfrm>
          <a:off x="6835140" y="5920740"/>
          <a:ext cx="0" cy="2514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60960</xdr:colOff>
      <xdr:row>29</xdr:row>
      <xdr:rowOff>0</xdr:rowOff>
    </xdr:from>
    <xdr:to>
      <xdr:col>41</xdr:col>
      <xdr:colOff>220980</xdr:colOff>
      <xdr:row>29</xdr:row>
      <xdr:rowOff>7620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CxnSpPr/>
      </xdr:nvCxnSpPr>
      <xdr:spPr>
        <a:xfrm flipH="1">
          <a:off x="5273040" y="6172200"/>
          <a:ext cx="15468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53340</xdr:colOff>
      <xdr:row>29</xdr:row>
      <xdr:rowOff>0</xdr:rowOff>
    </xdr:from>
    <xdr:to>
      <xdr:col>32</xdr:col>
      <xdr:colOff>53340</xdr:colOff>
      <xdr:row>31</xdr:row>
      <xdr:rowOff>8890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CxnSpPr/>
      </xdr:nvCxnSpPr>
      <xdr:spPr>
        <a:xfrm>
          <a:off x="5265420" y="6172200"/>
          <a:ext cx="0" cy="25273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7620</xdr:colOff>
      <xdr:row>19</xdr:row>
      <xdr:rowOff>15240</xdr:rowOff>
    </xdr:from>
    <xdr:to>
      <xdr:col>37</xdr:col>
      <xdr:colOff>22860</xdr:colOff>
      <xdr:row>28</xdr:row>
      <xdr:rowOff>38100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CxnSpPr/>
      </xdr:nvCxnSpPr>
      <xdr:spPr>
        <a:xfrm>
          <a:off x="6027420" y="4206240"/>
          <a:ext cx="15240" cy="1882140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15240</xdr:colOff>
      <xdr:row>28</xdr:row>
      <xdr:rowOff>45720</xdr:rowOff>
    </xdr:from>
    <xdr:to>
      <xdr:col>41</xdr:col>
      <xdr:colOff>53340</xdr:colOff>
      <xdr:row>28</xdr:row>
      <xdr:rowOff>45720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CxnSpPr/>
      </xdr:nvCxnSpPr>
      <xdr:spPr>
        <a:xfrm flipH="1">
          <a:off x="6035040" y="6096000"/>
          <a:ext cx="6172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45720</xdr:colOff>
      <xdr:row>28</xdr:row>
      <xdr:rowOff>53340</xdr:rowOff>
    </xdr:from>
    <xdr:to>
      <xdr:col>41</xdr:col>
      <xdr:colOff>45720</xdr:colOff>
      <xdr:row>31</xdr:row>
      <xdr:rowOff>1270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CxnSpPr/>
      </xdr:nvCxnSpPr>
      <xdr:spPr>
        <a:xfrm>
          <a:off x="6644640" y="6103620"/>
          <a:ext cx="0" cy="3136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144780</xdr:colOff>
      <xdr:row>27</xdr:row>
      <xdr:rowOff>0</xdr:rowOff>
    </xdr:from>
    <xdr:to>
      <xdr:col>22</xdr:col>
      <xdr:colOff>144780</xdr:colOff>
      <xdr:row>28</xdr:row>
      <xdr:rowOff>30480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CxnSpPr/>
      </xdr:nvCxnSpPr>
      <xdr:spPr>
        <a:xfrm>
          <a:off x="3741420" y="5928360"/>
          <a:ext cx="0" cy="1524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</xdr:colOff>
      <xdr:row>28</xdr:row>
      <xdr:rowOff>30480</xdr:rowOff>
    </xdr:from>
    <xdr:to>
      <xdr:col>25</xdr:col>
      <xdr:colOff>32657</xdr:colOff>
      <xdr:row>28</xdr:row>
      <xdr:rowOff>32657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CxnSpPr/>
      </xdr:nvCxnSpPr>
      <xdr:spPr>
        <a:xfrm flipH="1" flipV="1">
          <a:off x="2865120" y="6080760"/>
          <a:ext cx="1449977" cy="217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</xdr:colOff>
      <xdr:row>28</xdr:row>
      <xdr:rowOff>30480</xdr:rowOff>
    </xdr:from>
    <xdr:to>
      <xdr:col>18</xdr:col>
      <xdr:colOff>15240</xdr:colOff>
      <xdr:row>38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CxnSpPr/>
      </xdr:nvCxnSpPr>
      <xdr:spPr>
        <a:xfrm>
          <a:off x="2865120" y="6080760"/>
          <a:ext cx="0" cy="18745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22860</xdr:colOff>
      <xdr:row>38</xdr:row>
      <xdr:rowOff>0</xdr:rowOff>
    </xdr:from>
    <xdr:to>
      <xdr:col>42</xdr:col>
      <xdr:colOff>7620</xdr:colOff>
      <xdr:row>38</xdr:row>
      <xdr:rowOff>15240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CxnSpPr/>
      </xdr:nvCxnSpPr>
      <xdr:spPr>
        <a:xfrm flipH="1" flipV="1">
          <a:off x="2872740" y="7955280"/>
          <a:ext cx="3962400" cy="152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83820</xdr:colOff>
      <xdr:row>38</xdr:row>
      <xdr:rowOff>15240</xdr:rowOff>
    </xdr:from>
    <xdr:to>
      <xdr:col>22</xdr:col>
      <xdr:colOff>83820</xdr:colOff>
      <xdr:row>41</xdr:row>
      <xdr:rowOff>8890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CxnSpPr/>
      </xdr:nvCxnSpPr>
      <xdr:spPr>
        <a:xfrm>
          <a:off x="3680460" y="7970520"/>
          <a:ext cx="0" cy="3594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38</xdr:row>
      <xdr:rowOff>7620</xdr:rowOff>
    </xdr:from>
    <xdr:to>
      <xdr:col>42</xdr:col>
      <xdr:colOff>0</xdr:colOff>
      <xdr:row>41</xdr:row>
      <xdr:rowOff>1270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CxnSpPr/>
      </xdr:nvCxnSpPr>
      <xdr:spPr>
        <a:xfrm>
          <a:off x="6827520" y="7962900"/>
          <a:ext cx="0" cy="3594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185056</xdr:colOff>
      <xdr:row>34</xdr:row>
      <xdr:rowOff>189411</xdr:rowOff>
    </xdr:from>
    <xdr:to>
      <xdr:col>41</xdr:col>
      <xdr:colOff>185056</xdr:colOff>
      <xdr:row>36</xdr:row>
      <xdr:rowOff>76200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CxnSpPr/>
      </xdr:nvCxnSpPr>
      <xdr:spPr>
        <a:xfrm>
          <a:off x="6783976" y="7588431"/>
          <a:ext cx="0" cy="19920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185057</xdr:colOff>
      <xdr:row>36</xdr:row>
      <xdr:rowOff>73479</xdr:rowOff>
    </xdr:from>
    <xdr:to>
      <xdr:col>52</xdr:col>
      <xdr:colOff>7620</xdr:colOff>
      <xdr:row>36</xdr:row>
      <xdr:rowOff>77831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CxnSpPr/>
      </xdr:nvCxnSpPr>
      <xdr:spPr>
        <a:xfrm flipH="1" flipV="1">
          <a:off x="6757307" y="7807779"/>
          <a:ext cx="1651363" cy="435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36</xdr:row>
      <xdr:rowOff>87086</xdr:rowOff>
    </xdr:from>
    <xdr:to>
      <xdr:col>52</xdr:col>
      <xdr:colOff>0</xdr:colOff>
      <xdr:row>40</xdr:row>
      <xdr:rowOff>107950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CxnSpPr/>
      </xdr:nvCxnSpPr>
      <xdr:spPr>
        <a:xfrm>
          <a:off x="8442960" y="7798526"/>
          <a:ext cx="0" cy="50854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43543</xdr:colOff>
      <xdr:row>19</xdr:row>
      <xdr:rowOff>21771</xdr:rowOff>
    </xdr:from>
    <xdr:to>
      <xdr:col>16</xdr:col>
      <xdr:colOff>19050</xdr:colOff>
      <xdr:row>46</xdr:row>
      <xdr:rowOff>104775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CxnSpPr/>
      </xdr:nvCxnSpPr>
      <xdr:spPr>
        <a:xfrm>
          <a:off x="2710543" y="4212771"/>
          <a:ext cx="36467" cy="550844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46</xdr:row>
      <xdr:rowOff>97972</xdr:rowOff>
    </xdr:from>
    <xdr:to>
      <xdr:col>22</xdr:col>
      <xdr:colOff>10886</xdr:colOff>
      <xdr:row>46</xdr:row>
      <xdr:rowOff>97972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CxnSpPr/>
      </xdr:nvCxnSpPr>
      <xdr:spPr>
        <a:xfrm flipH="1">
          <a:off x="1981200" y="9714412"/>
          <a:ext cx="162632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10886</xdr:colOff>
      <xdr:row>46</xdr:row>
      <xdr:rowOff>108858</xdr:rowOff>
    </xdr:from>
    <xdr:to>
      <xdr:col>12</xdr:col>
      <xdr:colOff>10886</xdr:colOff>
      <xdr:row>48</xdr:row>
      <xdr:rowOff>117747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CxnSpPr/>
      </xdr:nvCxnSpPr>
      <xdr:spPr>
        <a:xfrm>
          <a:off x="1992086" y="9725298"/>
          <a:ext cx="0" cy="25272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46</xdr:row>
      <xdr:rowOff>108857</xdr:rowOff>
    </xdr:from>
    <xdr:to>
      <xdr:col>22</xdr:col>
      <xdr:colOff>0</xdr:colOff>
      <xdr:row>48</xdr:row>
      <xdr:rowOff>117746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CxnSpPr/>
      </xdr:nvCxnSpPr>
      <xdr:spPr>
        <a:xfrm>
          <a:off x="3596640" y="9725297"/>
          <a:ext cx="0" cy="25272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4354</xdr:colOff>
      <xdr:row>35</xdr:row>
      <xdr:rowOff>10886</xdr:rowOff>
    </xdr:from>
    <xdr:to>
      <xdr:col>32</xdr:col>
      <xdr:colOff>4354</xdr:colOff>
      <xdr:row>37</xdr:row>
      <xdr:rowOff>18506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CxnSpPr/>
      </xdr:nvCxnSpPr>
      <xdr:spPr>
        <a:xfrm>
          <a:off x="5216434" y="7600406"/>
          <a:ext cx="0" cy="2514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217714</xdr:colOff>
      <xdr:row>37</xdr:row>
      <xdr:rowOff>10886</xdr:rowOff>
    </xdr:from>
    <xdr:to>
      <xdr:col>46</xdr:col>
      <xdr:colOff>21772</xdr:colOff>
      <xdr:row>37</xdr:row>
      <xdr:rowOff>10886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CxnSpPr/>
      </xdr:nvCxnSpPr>
      <xdr:spPr>
        <a:xfrm flipH="1">
          <a:off x="5201194" y="7844246"/>
          <a:ext cx="2394858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43544</xdr:colOff>
      <xdr:row>37</xdr:row>
      <xdr:rowOff>21772</xdr:rowOff>
    </xdr:from>
    <xdr:to>
      <xdr:col>36</xdr:col>
      <xdr:colOff>47625</xdr:colOff>
      <xdr:row>47</xdr:row>
      <xdr:rowOff>47625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CxnSpPr/>
      </xdr:nvCxnSpPr>
      <xdr:spPr>
        <a:xfrm>
          <a:off x="6002384" y="7855132"/>
          <a:ext cx="4081" cy="193085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32657</xdr:colOff>
      <xdr:row>47</xdr:row>
      <xdr:rowOff>43543</xdr:rowOff>
    </xdr:from>
    <xdr:to>
      <xdr:col>36</xdr:col>
      <xdr:colOff>55517</xdr:colOff>
      <xdr:row>47</xdr:row>
      <xdr:rowOff>43543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CxnSpPr/>
      </xdr:nvCxnSpPr>
      <xdr:spPr>
        <a:xfrm flipH="1">
          <a:off x="5244737" y="9781903"/>
          <a:ext cx="7696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43543</xdr:colOff>
      <xdr:row>47</xdr:row>
      <xdr:rowOff>43542</xdr:rowOff>
    </xdr:from>
    <xdr:to>
      <xdr:col>32</xdr:col>
      <xdr:colOff>43543</xdr:colOff>
      <xdr:row>49</xdr:row>
      <xdr:rowOff>21771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CxnSpPr/>
      </xdr:nvCxnSpPr>
      <xdr:spPr>
        <a:xfrm>
          <a:off x="5255623" y="9781902"/>
          <a:ext cx="0" cy="22206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43544</xdr:colOff>
      <xdr:row>28</xdr:row>
      <xdr:rowOff>21771</xdr:rowOff>
    </xdr:from>
    <xdr:to>
      <xdr:col>26</xdr:col>
      <xdr:colOff>10886</xdr:colOff>
      <xdr:row>46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CxnSpPr/>
      </xdr:nvCxnSpPr>
      <xdr:spPr>
        <a:xfrm>
          <a:off x="4325984" y="6072051"/>
          <a:ext cx="28302" cy="354438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21772</xdr:colOff>
      <xdr:row>46</xdr:row>
      <xdr:rowOff>10886</xdr:rowOff>
    </xdr:from>
    <xdr:to>
      <xdr:col>42</xdr:col>
      <xdr:colOff>10886</xdr:colOff>
      <xdr:row>46</xdr:row>
      <xdr:rowOff>21772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CxnSpPr/>
      </xdr:nvCxnSpPr>
      <xdr:spPr>
        <a:xfrm flipH="1" flipV="1">
          <a:off x="4365172" y="9627326"/>
          <a:ext cx="2473234" cy="1088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10886</xdr:colOff>
      <xdr:row>46</xdr:row>
      <xdr:rowOff>32657</xdr:rowOff>
    </xdr:from>
    <xdr:to>
      <xdr:col>42</xdr:col>
      <xdr:colOff>10886</xdr:colOff>
      <xdr:row>49</xdr:row>
      <xdr:rowOff>8889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CxnSpPr/>
      </xdr:nvCxnSpPr>
      <xdr:spPr>
        <a:xfrm>
          <a:off x="6838406" y="9649097"/>
          <a:ext cx="0" cy="34199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47625</xdr:colOff>
      <xdr:row>37</xdr:row>
      <xdr:rowOff>1</xdr:rowOff>
    </xdr:from>
    <xdr:to>
      <xdr:col>46</xdr:col>
      <xdr:colOff>10886</xdr:colOff>
      <xdr:row>47</xdr:row>
      <xdr:rowOff>28575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CxnSpPr/>
      </xdr:nvCxnSpPr>
      <xdr:spPr>
        <a:xfrm flipH="1">
          <a:off x="7505700" y="7858126"/>
          <a:ext cx="20411" cy="194309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47</xdr:row>
      <xdr:rowOff>10886</xdr:rowOff>
    </xdr:from>
    <xdr:to>
      <xdr:col>51</xdr:col>
      <xdr:colOff>120831</xdr:colOff>
      <xdr:row>47</xdr:row>
      <xdr:rowOff>10886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CxnSpPr/>
      </xdr:nvCxnSpPr>
      <xdr:spPr>
        <a:xfrm flipH="1">
          <a:off x="7574280" y="9749246"/>
          <a:ext cx="760911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119742</xdr:colOff>
      <xdr:row>47</xdr:row>
      <xdr:rowOff>10886</xdr:rowOff>
    </xdr:from>
    <xdr:to>
      <xdr:col>51</xdr:col>
      <xdr:colOff>119743</xdr:colOff>
      <xdr:row>48</xdr:row>
      <xdr:rowOff>106861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CxnSpPr/>
      </xdr:nvCxnSpPr>
      <xdr:spPr>
        <a:xfrm flipH="1">
          <a:off x="8334102" y="9749246"/>
          <a:ext cx="1" cy="2178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21771</xdr:colOff>
      <xdr:row>53</xdr:row>
      <xdr:rowOff>10885</xdr:rowOff>
    </xdr:from>
    <xdr:to>
      <xdr:col>32</xdr:col>
      <xdr:colOff>21772</xdr:colOff>
      <xdr:row>55</xdr:row>
      <xdr:rowOff>43543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CxnSpPr/>
      </xdr:nvCxnSpPr>
      <xdr:spPr>
        <a:xfrm flipH="1">
          <a:off x="5233851" y="11166565"/>
          <a:ext cx="1" cy="27649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43543</xdr:colOff>
      <xdr:row>55</xdr:row>
      <xdr:rowOff>43543</xdr:rowOff>
    </xdr:from>
    <xdr:to>
      <xdr:col>52</xdr:col>
      <xdr:colOff>21772</xdr:colOff>
      <xdr:row>55</xdr:row>
      <xdr:rowOff>54429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CxnSpPr/>
      </xdr:nvCxnSpPr>
      <xdr:spPr>
        <a:xfrm flipH="1" flipV="1">
          <a:off x="2832463" y="11443063"/>
          <a:ext cx="5632269" cy="1088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10886</xdr:colOff>
      <xdr:row>55</xdr:row>
      <xdr:rowOff>54429</xdr:rowOff>
    </xdr:from>
    <xdr:to>
      <xdr:col>52</xdr:col>
      <xdr:colOff>10886</xdr:colOff>
      <xdr:row>59</xdr:row>
      <xdr:rowOff>19775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CxnSpPr/>
      </xdr:nvCxnSpPr>
      <xdr:spPr>
        <a:xfrm>
          <a:off x="8453846" y="11453949"/>
          <a:ext cx="0" cy="45302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47625</xdr:colOff>
      <xdr:row>18</xdr:row>
      <xdr:rowOff>114300</xdr:rowOff>
    </xdr:from>
    <xdr:to>
      <xdr:col>57</xdr:col>
      <xdr:colOff>0</xdr:colOff>
      <xdr:row>56</xdr:row>
      <xdr:rowOff>87086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CxnSpPr/>
      </xdr:nvCxnSpPr>
      <xdr:spPr>
        <a:xfrm>
          <a:off x="9163050" y="4191000"/>
          <a:ext cx="9525" cy="745943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217714</xdr:colOff>
      <xdr:row>54</xdr:row>
      <xdr:rowOff>32658</xdr:rowOff>
    </xdr:from>
    <xdr:to>
      <xdr:col>42</xdr:col>
      <xdr:colOff>9525</xdr:colOff>
      <xdr:row>54</xdr:row>
      <xdr:rowOff>38100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CxnSpPr/>
      </xdr:nvCxnSpPr>
      <xdr:spPr>
        <a:xfrm flipH="1" flipV="1">
          <a:off x="5429794" y="11310258"/>
          <a:ext cx="1407251" cy="544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217714</xdr:colOff>
      <xdr:row>54</xdr:row>
      <xdr:rowOff>21772</xdr:rowOff>
    </xdr:from>
    <xdr:to>
      <xdr:col>32</xdr:col>
      <xdr:colOff>217714</xdr:colOff>
      <xdr:row>59</xdr:row>
      <xdr:rowOff>19775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CxnSpPr/>
      </xdr:nvCxnSpPr>
      <xdr:spPr>
        <a:xfrm>
          <a:off x="5429794" y="11299372"/>
          <a:ext cx="0" cy="60760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63</xdr:row>
      <xdr:rowOff>104775</xdr:rowOff>
    </xdr:from>
    <xdr:to>
      <xdr:col>22</xdr:col>
      <xdr:colOff>38100</xdr:colOff>
      <xdr:row>63</xdr:row>
      <xdr:rowOff>114300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CxnSpPr/>
      </xdr:nvCxnSpPr>
      <xdr:spPr>
        <a:xfrm flipH="1" flipV="1">
          <a:off x="1924050" y="13211175"/>
          <a:ext cx="168592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63</xdr:row>
      <xdr:rowOff>76200</xdr:rowOff>
    </xdr:from>
    <xdr:to>
      <xdr:col>11</xdr:col>
      <xdr:colOff>191861</xdr:colOff>
      <xdr:row>66</xdr:row>
      <xdr:rowOff>123189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CxnSpPr/>
      </xdr:nvCxnSpPr>
      <xdr:spPr>
        <a:xfrm>
          <a:off x="1943100" y="13136880"/>
          <a:ext cx="1361" cy="41274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32658</xdr:colOff>
      <xdr:row>55</xdr:row>
      <xdr:rowOff>21772</xdr:rowOff>
    </xdr:from>
    <xdr:to>
      <xdr:col>17</xdr:col>
      <xdr:colOff>54429</xdr:colOff>
      <xdr:row>64</xdr:row>
      <xdr:rowOff>108858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CxnSpPr/>
      </xdr:nvCxnSpPr>
      <xdr:spPr>
        <a:xfrm>
          <a:off x="2821578" y="11421292"/>
          <a:ext cx="21771" cy="187016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32658</xdr:colOff>
      <xdr:row>64</xdr:row>
      <xdr:rowOff>108857</xdr:rowOff>
    </xdr:from>
    <xdr:to>
      <xdr:col>32</xdr:col>
      <xdr:colOff>32657</xdr:colOff>
      <xdr:row>64</xdr:row>
      <xdr:rowOff>108858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CxnSpPr/>
      </xdr:nvCxnSpPr>
      <xdr:spPr>
        <a:xfrm flipH="1" flipV="1">
          <a:off x="2821578" y="13291457"/>
          <a:ext cx="2423159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206828</xdr:colOff>
      <xdr:row>64</xdr:row>
      <xdr:rowOff>108858</xdr:rowOff>
    </xdr:from>
    <xdr:to>
      <xdr:col>21</xdr:col>
      <xdr:colOff>206830</xdr:colOff>
      <xdr:row>67</xdr:row>
      <xdr:rowOff>30661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CxnSpPr/>
      </xdr:nvCxnSpPr>
      <xdr:spPr>
        <a:xfrm>
          <a:off x="3574868" y="13291458"/>
          <a:ext cx="2" cy="28756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21772</xdr:colOff>
      <xdr:row>64</xdr:row>
      <xdr:rowOff>87082</xdr:rowOff>
    </xdr:from>
    <xdr:to>
      <xdr:col>32</xdr:col>
      <xdr:colOff>21774</xdr:colOff>
      <xdr:row>67</xdr:row>
      <xdr:rowOff>8885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CxnSpPr/>
      </xdr:nvCxnSpPr>
      <xdr:spPr>
        <a:xfrm>
          <a:off x="5233852" y="13269682"/>
          <a:ext cx="2" cy="28756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9525</xdr:colOff>
      <xdr:row>64</xdr:row>
      <xdr:rowOff>0</xdr:rowOff>
    </xdr:from>
    <xdr:to>
      <xdr:col>42</xdr:col>
      <xdr:colOff>10888</xdr:colOff>
      <xdr:row>67</xdr:row>
      <xdr:rowOff>8888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CxnSpPr/>
      </xdr:nvCxnSpPr>
      <xdr:spPr>
        <a:xfrm>
          <a:off x="6781800" y="13230225"/>
          <a:ext cx="1363" cy="38036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2721</xdr:colOff>
      <xdr:row>65</xdr:row>
      <xdr:rowOff>19050</xdr:rowOff>
    </xdr:from>
    <xdr:to>
      <xdr:col>47</xdr:col>
      <xdr:colOff>9525</xdr:colOff>
      <xdr:row>73</xdr:row>
      <xdr:rowOff>99332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CxnSpPr/>
      </xdr:nvCxnSpPr>
      <xdr:spPr>
        <a:xfrm flipV="1">
          <a:off x="7637961" y="13323570"/>
          <a:ext cx="6804" cy="174144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</xdr:colOff>
      <xdr:row>73</xdr:row>
      <xdr:rowOff>85725</xdr:rowOff>
    </xdr:from>
    <xdr:to>
      <xdr:col>46</xdr:col>
      <xdr:colOff>38100</xdr:colOff>
      <xdr:row>73</xdr:row>
      <xdr:rowOff>95250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CxnSpPr/>
      </xdr:nvCxnSpPr>
      <xdr:spPr>
        <a:xfrm flipH="1">
          <a:off x="4343400" y="15106650"/>
          <a:ext cx="320992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206829</xdr:colOff>
      <xdr:row>73</xdr:row>
      <xdr:rowOff>87085</xdr:rowOff>
    </xdr:from>
    <xdr:to>
      <xdr:col>31</xdr:col>
      <xdr:colOff>206830</xdr:colOff>
      <xdr:row>77</xdr:row>
      <xdr:rowOff>8889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CxnSpPr/>
      </xdr:nvCxnSpPr>
      <xdr:spPr>
        <a:xfrm>
          <a:off x="5190309" y="15052765"/>
          <a:ext cx="1" cy="40948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35379</xdr:colOff>
      <xdr:row>73</xdr:row>
      <xdr:rowOff>104775</xdr:rowOff>
    </xdr:from>
    <xdr:to>
      <xdr:col>26</xdr:col>
      <xdr:colOff>38100</xdr:colOff>
      <xdr:row>83</xdr:row>
      <xdr:rowOff>21772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CxnSpPr/>
      </xdr:nvCxnSpPr>
      <xdr:spPr>
        <a:xfrm flipH="1">
          <a:off x="4350204" y="15125700"/>
          <a:ext cx="2721" cy="184104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43543</xdr:colOff>
      <xdr:row>83</xdr:row>
      <xdr:rowOff>21772</xdr:rowOff>
    </xdr:from>
    <xdr:to>
      <xdr:col>32</xdr:col>
      <xdr:colOff>10886</xdr:colOff>
      <xdr:row>83</xdr:row>
      <xdr:rowOff>21772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CxnSpPr/>
      </xdr:nvCxnSpPr>
      <xdr:spPr>
        <a:xfrm flipH="1">
          <a:off x="4386943" y="16900072"/>
          <a:ext cx="836023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217714</xdr:colOff>
      <xdr:row>83</xdr:row>
      <xdr:rowOff>32657</xdr:rowOff>
    </xdr:from>
    <xdr:to>
      <xdr:col>31</xdr:col>
      <xdr:colOff>217715</xdr:colOff>
      <xdr:row>84</xdr:row>
      <xdr:rowOff>106860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CxnSpPr/>
      </xdr:nvCxnSpPr>
      <xdr:spPr>
        <a:xfrm>
          <a:off x="5201194" y="16910957"/>
          <a:ext cx="1" cy="19612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52</xdr:row>
      <xdr:rowOff>171450</xdr:rowOff>
    </xdr:from>
    <xdr:to>
      <xdr:col>42</xdr:col>
      <xdr:colOff>0</xdr:colOff>
      <xdr:row>54</xdr:row>
      <xdr:rowOff>38100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CxnSpPr/>
      </xdr:nvCxnSpPr>
      <xdr:spPr>
        <a:xfrm>
          <a:off x="6827520" y="11136630"/>
          <a:ext cx="0" cy="17907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104775</xdr:colOff>
      <xdr:row>65</xdr:row>
      <xdr:rowOff>28575</xdr:rowOff>
    </xdr:from>
    <xdr:to>
      <xdr:col>46</xdr:col>
      <xdr:colOff>47625</xdr:colOff>
      <xdr:row>65</xdr:row>
      <xdr:rowOff>28575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CxnSpPr/>
      </xdr:nvCxnSpPr>
      <xdr:spPr>
        <a:xfrm flipH="1">
          <a:off x="6877050" y="13382625"/>
          <a:ext cx="6858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114300</xdr:colOff>
      <xdr:row>63</xdr:row>
      <xdr:rowOff>9525</xdr:rowOff>
    </xdr:from>
    <xdr:to>
      <xdr:col>42</xdr:col>
      <xdr:colOff>114301</xdr:colOff>
      <xdr:row>65</xdr:row>
      <xdr:rowOff>42183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CxnSpPr/>
      </xdr:nvCxnSpPr>
      <xdr:spPr>
        <a:xfrm flipH="1">
          <a:off x="6886575" y="13115925"/>
          <a:ext cx="1" cy="28030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38100</xdr:colOff>
      <xdr:row>63</xdr:row>
      <xdr:rowOff>0</xdr:rowOff>
    </xdr:from>
    <xdr:to>
      <xdr:col>22</xdr:col>
      <xdr:colOff>38101</xdr:colOff>
      <xdr:row>64</xdr:row>
      <xdr:rowOff>9525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CxnSpPr/>
      </xdr:nvCxnSpPr>
      <xdr:spPr>
        <a:xfrm flipH="1">
          <a:off x="3609975" y="13106400"/>
          <a:ext cx="1" cy="1333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56</xdr:row>
      <xdr:rowOff>85725</xdr:rowOff>
    </xdr:from>
    <xdr:to>
      <xdr:col>57</xdr:col>
      <xdr:colOff>0</xdr:colOff>
      <xdr:row>56</xdr:row>
      <xdr:rowOff>95250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CxnSpPr/>
      </xdr:nvCxnSpPr>
      <xdr:spPr>
        <a:xfrm flipH="1">
          <a:off x="4381500" y="11649075"/>
          <a:ext cx="479107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</xdr:colOff>
      <xdr:row>56</xdr:row>
      <xdr:rowOff>95250</xdr:rowOff>
    </xdr:from>
    <xdr:to>
      <xdr:col>27</xdr:col>
      <xdr:colOff>28575</xdr:colOff>
      <xdr:row>64</xdr:row>
      <xdr:rowOff>9525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CxnSpPr/>
      </xdr:nvCxnSpPr>
      <xdr:spPr>
        <a:xfrm>
          <a:off x="4391025" y="11658600"/>
          <a:ext cx="9525" cy="15811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28575</xdr:colOff>
      <xdr:row>63</xdr:row>
      <xdr:rowOff>114300</xdr:rowOff>
    </xdr:from>
    <xdr:to>
      <xdr:col>42</xdr:col>
      <xdr:colOff>9525</xdr:colOff>
      <xdr:row>63</xdr:row>
      <xdr:rowOff>114300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CxnSpPr/>
      </xdr:nvCxnSpPr>
      <xdr:spPr>
        <a:xfrm flipH="1">
          <a:off x="4400550" y="13220700"/>
          <a:ext cx="23812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29</xdr:row>
      <xdr:rowOff>95250</xdr:rowOff>
    </xdr:from>
    <xdr:to>
      <xdr:col>12</xdr:col>
      <xdr:colOff>9525</xdr:colOff>
      <xdr:row>31</xdr:row>
      <xdr:rowOff>10795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DD6D4857-C3C6-4151-975E-B8840B2920BD}"/>
            </a:ext>
          </a:extLst>
        </xdr:cNvPr>
        <xdr:cNvCxnSpPr/>
      </xdr:nvCxnSpPr>
      <xdr:spPr>
        <a:xfrm>
          <a:off x="2009775" y="6286500"/>
          <a:ext cx="0" cy="1631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76200</xdr:colOff>
      <xdr:row>64</xdr:row>
      <xdr:rowOff>19050</xdr:rowOff>
    </xdr:from>
    <xdr:to>
      <xdr:col>52</xdr:col>
      <xdr:colOff>76202</xdr:colOff>
      <xdr:row>66</xdr:row>
      <xdr:rowOff>119106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449AD0CA-F073-40B3-9812-C9F69ACC8573}"/>
            </a:ext>
          </a:extLst>
        </xdr:cNvPr>
        <xdr:cNvCxnSpPr/>
      </xdr:nvCxnSpPr>
      <xdr:spPr>
        <a:xfrm>
          <a:off x="8477250" y="13249275"/>
          <a:ext cx="2" cy="34770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66675</xdr:colOff>
      <xdr:row>64</xdr:row>
      <xdr:rowOff>28575</xdr:rowOff>
    </xdr:from>
    <xdr:to>
      <xdr:col>58</xdr:col>
      <xdr:colOff>0</xdr:colOff>
      <xdr:row>64</xdr:row>
      <xdr:rowOff>38100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B21DB307-998D-4A46-B2C2-F95BF7181EC0}"/>
            </a:ext>
          </a:extLst>
        </xdr:cNvPr>
        <xdr:cNvCxnSpPr/>
      </xdr:nvCxnSpPr>
      <xdr:spPr>
        <a:xfrm flipH="1" flipV="1">
          <a:off x="8467725" y="13258800"/>
          <a:ext cx="79057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47625</xdr:colOff>
      <xdr:row>47</xdr:row>
      <xdr:rowOff>38100</xdr:rowOff>
    </xdr:from>
    <xdr:to>
      <xdr:col>58</xdr:col>
      <xdr:colOff>0</xdr:colOff>
      <xdr:row>64</xdr:row>
      <xdr:rowOff>42183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F8CFA649-4CAB-4046-BA05-FBB4D902760F}"/>
            </a:ext>
          </a:extLst>
        </xdr:cNvPr>
        <xdr:cNvCxnSpPr/>
      </xdr:nvCxnSpPr>
      <xdr:spPr>
        <a:xfrm>
          <a:off x="9248775" y="9810750"/>
          <a:ext cx="9525" cy="346165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47625</xdr:colOff>
      <xdr:row>47</xdr:row>
      <xdr:rowOff>38100</xdr:rowOff>
    </xdr:from>
    <xdr:to>
      <xdr:col>61</xdr:col>
      <xdr:colOff>28575</xdr:colOff>
      <xdr:row>47</xdr:row>
      <xdr:rowOff>38100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BAB741DD-7076-427A-B5EA-6633AF3E4ABD}"/>
            </a:ext>
          </a:extLst>
        </xdr:cNvPr>
        <xdr:cNvCxnSpPr/>
      </xdr:nvCxnSpPr>
      <xdr:spPr>
        <a:xfrm flipH="1">
          <a:off x="9248775" y="9810750"/>
          <a:ext cx="5524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19050</xdr:colOff>
      <xdr:row>45</xdr:row>
      <xdr:rowOff>9525</xdr:rowOff>
    </xdr:from>
    <xdr:to>
      <xdr:col>61</xdr:col>
      <xdr:colOff>19051</xdr:colOff>
      <xdr:row>47</xdr:row>
      <xdr:rowOff>42183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C8DC32E0-04BA-489B-9F41-554FCB62A9DD}"/>
            </a:ext>
          </a:extLst>
        </xdr:cNvPr>
        <xdr:cNvCxnSpPr/>
      </xdr:nvCxnSpPr>
      <xdr:spPr>
        <a:xfrm flipH="1">
          <a:off x="9791700" y="9534525"/>
          <a:ext cx="1" cy="28030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</xdr:colOff>
      <xdr:row>8</xdr:row>
      <xdr:rowOff>182880</xdr:rowOff>
    </xdr:from>
    <xdr:to>
      <xdr:col>12</xdr:col>
      <xdr:colOff>30480</xdr:colOff>
      <xdr:row>13</xdr:row>
      <xdr:rowOff>1270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 flipH="1">
          <a:off x="2004060" y="2278380"/>
          <a:ext cx="7620" cy="4965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12</xdr:col>
      <xdr:colOff>0</xdr:colOff>
      <xdr:row>19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1981200" y="394716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19</xdr:row>
      <xdr:rowOff>106680</xdr:rowOff>
    </xdr:from>
    <xdr:to>
      <xdr:col>17</xdr:col>
      <xdr:colOff>7620</xdr:colOff>
      <xdr:row>19</xdr:row>
      <xdr:rowOff>106680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CxnSpPr/>
      </xdr:nvCxnSpPr>
      <xdr:spPr>
        <a:xfrm flipH="1">
          <a:off x="1981200" y="429768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</xdr:colOff>
      <xdr:row>19</xdr:row>
      <xdr:rowOff>99060</xdr:rowOff>
    </xdr:from>
    <xdr:to>
      <xdr:col>17</xdr:col>
      <xdr:colOff>7620</xdr:colOff>
      <xdr:row>29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CxnSpPr/>
      </xdr:nvCxnSpPr>
      <xdr:spPr>
        <a:xfrm>
          <a:off x="2781300" y="4290060"/>
          <a:ext cx="15240" cy="18897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</xdr:colOff>
      <xdr:row>29</xdr:row>
      <xdr:rowOff>0</xdr:rowOff>
    </xdr:from>
    <xdr:to>
      <xdr:col>22</xdr:col>
      <xdr:colOff>0</xdr:colOff>
      <xdr:row>29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CxnSpPr/>
      </xdr:nvCxnSpPr>
      <xdr:spPr>
        <a:xfrm flipH="1">
          <a:off x="2781300" y="617220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29</xdr:row>
      <xdr:rowOff>0</xdr:rowOff>
    </xdr:from>
    <xdr:to>
      <xdr:col>22</xdr:col>
      <xdr:colOff>0</xdr:colOff>
      <xdr:row>31</xdr:row>
      <xdr:rowOff>8890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CxnSpPr/>
      </xdr:nvCxnSpPr>
      <xdr:spPr>
        <a:xfrm>
          <a:off x="3596640" y="6172200"/>
          <a:ext cx="0" cy="25273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190500</xdr:colOff>
      <xdr:row>16</xdr:row>
      <xdr:rowOff>182880</xdr:rowOff>
    </xdr:from>
    <xdr:to>
      <xdr:col>21</xdr:col>
      <xdr:colOff>190500</xdr:colOff>
      <xdr:row>19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CxnSpPr/>
      </xdr:nvCxnSpPr>
      <xdr:spPr>
        <a:xfrm>
          <a:off x="3558540" y="393954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182880</xdr:colOff>
      <xdr:row>19</xdr:row>
      <xdr:rowOff>114300</xdr:rowOff>
    </xdr:from>
    <xdr:to>
      <xdr:col>26</xdr:col>
      <xdr:colOff>22860</xdr:colOff>
      <xdr:row>19</xdr:row>
      <xdr:rowOff>114300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CxnSpPr/>
      </xdr:nvCxnSpPr>
      <xdr:spPr>
        <a:xfrm flipH="1">
          <a:off x="3550920" y="430530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</xdr:colOff>
      <xdr:row>19</xdr:row>
      <xdr:rowOff>114300</xdr:rowOff>
    </xdr:from>
    <xdr:to>
      <xdr:col>26</xdr:col>
      <xdr:colOff>30480</xdr:colOff>
      <xdr:row>29</xdr:row>
      <xdr:rowOff>95250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CxnSpPr/>
      </xdr:nvCxnSpPr>
      <xdr:spPr>
        <a:xfrm flipH="1">
          <a:off x="4371975" y="4314825"/>
          <a:ext cx="1905" cy="19716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34290</xdr:colOff>
      <xdr:row>29</xdr:row>
      <xdr:rowOff>85725</xdr:rowOff>
    </xdr:from>
    <xdr:to>
      <xdr:col>26</xdr:col>
      <xdr:colOff>28575</xdr:colOff>
      <xdr:row>29</xdr:row>
      <xdr:rowOff>95250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CxnSpPr/>
      </xdr:nvCxnSpPr>
      <xdr:spPr>
        <a:xfrm flipH="1" flipV="1">
          <a:off x="2034540" y="6276975"/>
          <a:ext cx="233743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55245</xdr:colOff>
      <xdr:row>29</xdr:row>
      <xdr:rowOff>85725</xdr:rowOff>
    </xdr:from>
    <xdr:to>
      <xdr:col>12</xdr:col>
      <xdr:colOff>57150</xdr:colOff>
      <xdr:row>31</xdr:row>
      <xdr:rowOff>1270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CxnSpPr/>
      </xdr:nvCxnSpPr>
      <xdr:spPr>
        <a:xfrm flipH="1">
          <a:off x="2055495" y="6276975"/>
          <a:ext cx="1905" cy="1631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15240</xdr:colOff>
      <xdr:row>81</xdr:row>
      <xdr:rowOff>7620</xdr:rowOff>
    </xdr:from>
    <xdr:to>
      <xdr:col>42</xdr:col>
      <xdr:colOff>15240</xdr:colOff>
      <xdr:row>84</xdr:row>
      <xdr:rowOff>115570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CxnSpPr/>
      </xdr:nvCxnSpPr>
      <xdr:spPr>
        <a:xfrm>
          <a:off x="6842760" y="16642080"/>
          <a:ext cx="0" cy="4737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190500</xdr:colOff>
      <xdr:row>8</xdr:row>
      <xdr:rowOff>182880</xdr:rowOff>
    </xdr:from>
    <xdr:to>
      <xdr:col>41</xdr:col>
      <xdr:colOff>198120</xdr:colOff>
      <xdr:row>13</xdr:row>
      <xdr:rowOff>1270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CxnSpPr/>
      </xdr:nvCxnSpPr>
      <xdr:spPr>
        <a:xfrm flipH="1">
          <a:off x="6789420" y="2278380"/>
          <a:ext cx="7620" cy="4965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198120</xdr:colOff>
      <xdr:row>17</xdr:row>
      <xdr:rowOff>7620</xdr:rowOff>
    </xdr:from>
    <xdr:to>
      <xdr:col>41</xdr:col>
      <xdr:colOff>198120</xdr:colOff>
      <xdr:row>19</xdr:row>
      <xdr:rowOff>30480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CxnSpPr/>
      </xdr:nvCxnSpPr>
      <xdr:spPr>
        <a:xfrm>
          <a:off x="6797040" y="3954780"/>
          <a:ext cx="0" cy="2667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32657</xdr:colOff>
      <xdr:row>19</xdr:row>
      <xdr:rowOff>38100</xdr:rowOff>
    </xdr:from>
    <xdr:to>
      <xdr:col>41</xdr:col>
      <xdr:colOff>219075</xdr:colOff>
      <xdr:row>19</xdr:row>
      <xdr:rowOff>39460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CxnSpPr/>
      </xdr:nvCxnSpPr>
      <xdr:spPr>
        <a:xfrm flipH="1">
          <a:off x="2699657" y="4229100"/>
          <a:ext cx="4118338" cy="13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30480</xdr:colOff>
      <xdr:row>19</xdr:row>
      <xdr:rowOff>15240</xdr:rowOff>
    </xdr:from>
    <xdr:to>
      <xdr:col>23</xdr:col>
      <xdr:colOff>30480</xdr:colOff>
      <xdr:row>22</xdr:row>
      <xdr:rowOff>115570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CxnSpPr/>
      </xdr:nvCxnSpPr>
      <xdr:spPr>
        <a:xfrm>
          <a:off x="3855720" y="4206240"/>
          <a:ext cx="0" cy="4660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7620</xdr:colOff>
      <xdr:row>9</xdr:row>
      <xdr:rowOff>15240</xdr:rowOff>
    </xdr:from>
    <xdr:to>
      <xdr:col>32</xdr:col>
      <xdr:colOff>7620</xdr:colOff>
      <xdr:row>12</xdr:row>
      <xdr:rowOff>7620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CxnSpPr/>
      </xdr:nvCxnSpPr>
      <xdr:spPr>
        <a:xfrm>
          <a:off x="5219700" y="230124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15240</xdr:colOff>
      <xdr:row>12</xdr:row>
      <xdr:rowOff>0</xdr:rowOff>
    </xdr:from>
    <xdr:to>
      <xdr:col>32</xdr:col>
      <xdr:colOff>22860</xdr:colOff>
      <xdr:row>12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CxnSpPr/>
      </xdr:nvCxnSpPr>
      <xdr:spPr>
        <a:xfrm flipH="1">
          <a:off x="4419600" y="265176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22860</xdr:colOff>
      <xdr:row>12</xdr:row>
      <xdr:rowOff>7620</xdr:rowOff>
    </xdr:from>
    <xdr:to>
      <xdr:col>27</xdr:col>
      <xdr:colOff>30480</xdr:colOff>
      <xdr:row>18</xdr:row>
      <xdr:rowOff>38100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CxnSpPr/>
      </xdr:nvCxnSpPr>
      <xdr:spPr>
        <a:xfrm>
          <a:off x="4427220" y="2659380"/>
          <a:ext cx="7620" cy="14478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30480</xdr:colOff>
      <xdr:row>18</xdr:row>
      <xdr:rowOff>30480</xdr:rowOff>
    </xdr:from>
    <xdr:to>
      <xdr:col>32</xdr:col>
      <xdr:colOff>38100</xdr:colOff>
      <xdr:row>18</xdr:row>
      <xdr:rowOff>30480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CxnSpPr/>
      </xdr:nvCxnSpPr>
      <xdr:spPr>
        <a:xfrm flipH="1">
          <a:off x="4434840" y="409956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30480</xdr:colOff>
      <xdr:row>18</xdr:row>
      <xdr:rowOff>22860</xdr:rowOff>
    </xdr:from>
    <xdr:to>
      <xdr:col>32</xdr:col>
      <xdr:colOff>30480</xdr:colOff>
      <xdr:row>22</xdr:row>
      <xdr:rowOff>114300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CxnSpPr/>
      </xdr:nvCxnSpPr>
      <xdr:spPr>
        <a:xfrm>
          <a:off x="5242560" y="4091940"/>
          <a:ext cx="0" cy="5791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7620</xdr:colOff>
      <xdr:row>26</xdr:row>
      <xdr:rowOff>182880</xdr:rowOff>
    </xdr:from>
    <xdr:to>
      <xdr:col>42</xdr:col>
      <xdr:colOff>7620</xdr:colOff>
      <xdr:row>29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CxnSpPr/>
      </xdr:nvCxnSpPr>
      <xdr:spPr>
        <a:xfrm>
          <a:off x="6835140" y="5920740"/>
          <a:ext cx="0" cy="2514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60960</xdr:colOff>
      <xdr:row>29</xdr:row>
      <xdr:rowOff>0</xdr:rowOff>
    </xdr:from>
    <xdr:to>
      <xdr:col>41</xdr:col>
      <xdr:colOff>220980</xdr:colOff>
      <xdr:row>29</xdr:row>
      <xdr:rowOff>7620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CxnSpPr/>
      </xdr:nvCxnSpPr>
      <xdr:spPr>
        <a:xfrm flipH="1">
          <a:off x="5273040" y="6172200"/>
          <a:ext cx="15468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53340</xdr:colOff>
      <xdr:row>29</xdr:row>
      <xdr:rowOff>0</xdr:rowOff>
    </xdr:from>
    <xdr:to>
      <xdr:col>32</xdr:col>
      <xdr:colOff>53340</xdr:colOff>
      <xdr:row>31</xdr:row>
      <xdr:rowOff>8890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CxnSpPr/>
      </xdr:nvCxnSpPr>
      <xdr:spPr>
        <a:xfrm>
          <a:off x="5265420" y="6172200"/>
          <a:ext cx="0" cy="25273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7620</xdr:colOff>
      <xdr:row>19</xdr:row>
      <xdr:rowOff>15240</xdr:rowOff>
    </xdr:from>
    <xdr:to>
      <xdr:col>37</xdr:col>
      <xdr:colOff>22860</xdr:colOff>
      <xdr:row>28</xdr:row>
      <xdr:rowOff>38100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CxnSpPr/>
      </xdr:nvCxnSpPr>
      <xdr:spPr>
        <a:xfrm>
          <a:off x="6027420" y="4206240"/>
          <a:ext cx="15240" cy="1882140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15240</xdr:colOff>
      <xdr:row>28</xdr:row>
      <xdr:rowOff>45720</xdr:rowOff>
    </xdr:from>
    <xdr:to>
      <xdr:col>41</xdr:col>
      <xdr:colOff>53340</xdr:colOff>
      <xdr:row>28</xdr:row>
      <xdr:rowOff>45720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CxnSpPr/>
      </xdr:nvCxnSpPr>
      <xdr:spPr>
        <a:xfrm flipH="1">
          <a:off x="6035040" y="6096000"/>
          <a:ext cx="6172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45720</xdr:colOff>
      <xdr:row>28</xdr:row>
      <xdr:rowOff>53340</xdr:rowOff>
    </xdr:from>
    <xdr:to>
      <xdr:col>41</xdr:col>
      <xdr:colOff>45720</xdr:colOff>
      <xdr:row>31</xdr:row>
      <xdr:rowOff>1270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CxnSpPr/>
      </xdr:nvCxnSpPr>
      <xdr:spPr>
        <a:xfrm>
          <a:off x="6644640" y="6103620"/>
          <a:ext cx="0" cy="3136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144780</xdr:colOff>
      <xdr:row>27</xdr:row>
      <xdr:rowOff>0</xdr:rowOff>
    </xdr:from>
    <xdr:to>
      <xdr:col>22</xdr:col>
      <xdr:colOff>144780</xdr:colOff>
      <xdr:row>28</xdr:row>
      <xdr:rowOff>30480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CxnSpPr/>
      </xdr:nvCxnSpPr>
      <xdr:spPr>
        <a:xfrm>
          <a:off x="3741420" y="5928360"/>
          <a:ext cx="0" cy="1524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</xdr:colOff>
      <xdr:row>28</xdr:row>
      <xdr:rowOff>30480</xdr:rowOff>
    </xdr:from>
    <xdr:to>
      <xdr:col>25</xdr:col>
      <xdr:colOff>32657</xdr:colOff>
      <xdr:row>28</xdr:row>
      <xdr:rowOff>32657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CxnSpPr/>
      </xdr:nvCxnSpPr>
      <xdr:spPr>
        <a:xfrm flipH="1" flipV="1">
          <a:off x="2865120" y="6080760"/>
          <a:ext cx="1449977" cy="217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</xdr:colOff>
      <xdr:row>28</xdr:row>
      <xdr:rowOff>30480</xdr:rowOff>
    </xdr:from>
    <xdr:to>
      <xdr:col>18</xdr:col>
      <xdr:colOff>15240</xdr:colOff>
      <xdr:row>38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CxnSpPr/>
      </xdr:nvCxnSpPr>
      <xdr:spPr>
        <a:xfrm>
          <a:off x="2865120" y="6080760"/>
          <a:ext cx="0" cy="18745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22860</xdr:colOff>
      <xdr:row>38</xdr:row>
      <xdr:rowOff>0</xdr:rowOff>
    </xdr:from>
    <xdr:to>
      <xdr:col>42</xdr:col>
      <xdr:colOff>7620</xdr:colOff>
      <xdr:row>38</xdr:row>
      <xdr:rowOff>15240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CxnSpPr/>
      </xdr:nvCxnSpPr>
      <xdr:spPr>
        <a:xfrm flipH="1" flipV="1">
          <a:off x="2872740" y="7955280"/>
          <a:ext cx="3962400" cy="152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83820</xdr:colOff>
      <xdr:row>38</xdr:row>
      <xdr:rowOff>15240</xdr:rowOff>
    </xdr:from>
    <xdr:to>
      <xdr:col>22</xdr:col>
      <xdr:colOff>83820</xdr:colOff>
      <xdr:row>41</xdr:row>
      <xdr:rowOff>8890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CxnSpPr/>
      </xdr:nvCxnSpPr>
      <xdr:spPr>
        <a:xfrm>
          <a:off x="3680460" y="7970520"/>
          <a:ext cx="0" cy="3594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38</xdr:row>
      <xdr:rowOff>7620</xdr:rowOff>
    </xdr:from>
    <xdr:to>
      <xdr:col>42</xdr:col>
      <xdr:colOff>0</xdr:colOff>
      <xdr:row>41</xdr:row>
      <xdr:rowOff>1270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CxnSpPr/>
      </xdr:nvCxnSpPr>
      <xdr:spPr>
        <a:xfrm>
          <a:off x="6827520" y="7962900"/>
          <a:ext cx="0" cy="3594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185056</xdr:colOff>
      <xdr:row>34</xdr:row>
      <xdr:rowOff>189411</xdr:rowOff>
    </xdr:from>
    <xdr:to>
      <xdr:col>41</xdr:col>
      <xdr:colOff>185056</xdr:colOff>
      <xdr:row>36</xdr:row>
      <xdr:rowOff>76200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CxnSpPr/>
      </xdr:nvCxnSpPr>
      <xdr:spPr>
        <a:xfrm>
          <a:off x="6783976" y="7588431"/>
          <a:ext cx="0" cy="19920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185057</xdr:colOff>
      <xdr:row>36</xdr:row>
      <xdr:rowOff>54429</xdr:rowOff>
    </xdr:from>
    <xdr:to>
      <xdr:col>69</xdr:col>
      <xdr:colOff>9525</xdr:colOff>
      <xdr:row>36</xdr:row>
      <xdr:rowOff>66675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CxnSpPr/>
      </xdr:nvCxnSpPr>
      <xdr:spPr>
        <a:xfrm flipH="1" flipV="1">
          <a:off x="6728732" y="7788729"/>
          <a:ext cx="4167868" cy="1224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36</xdr:row>
      <xdr:rowOff>87086</xdr:rowOff>
    </xdr:from>
    <xdr:to>
      <xdr:col>52</xdr:col>
      <xdr:colOff>0</xdr:colOff>
      <xdr:row>40</xdr:row>
      <xdr:rowOff>107950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CxnSpPr/>
      </xdr:nvCxnSpPr>
      <xdr:spPr>
        <a:xfrm>
          <a:off x="8442960" y="7798526"/>
          <a:ext cx="0" cy="50854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43543</xdr:colOff>
      <xdr:row>19</xdr:row>
      <xdr:rowOff>21771</xdr:rowOff>
    </xdr:from>
    <xdr:to>
      <xdr:col>16</xdr:col>
      <xdr:colOff>19050</xdr:colOff>
      <xdr:row>46</xdr:row>
      <xdr:rowOff>104775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CxnSpPr/>
      </xdr:nvCxnSpPr>
      <xdr:spPr>
        <a:xfrm>
          <a:off x="2710543" y="4212771"/>
          <a:ext cx="36467" cy="550844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46</xdr:row>
      <xdr:rowOff>95250</xdr:rowOff>
    </xdr:from>
    <xdr:to>
      <xdr:col>22</xdr:col>
      <xdr:colOff>10886</xdr:colOff>
      <xdr:row>46</xdr:row>
      <xdr:rowOff>97972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CxnSpPr/>
      </xdr:nvCxnSpPr>
      <xdr:spPr>
        <a:xfrm flipH="1" flipV="1">
          <a:off x="1924050" y="9744075"/>
          <a:ext cx="1687286" cy="272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46</xdr:row>
      <xdr:rowOff>108857</xdr:rowOff>
    </xdr:from>
    <xdr:to>
      <xdr:col>22</xdr:col>
      <xdr:colOff>0</xdr:colOff>
      <xdr:row>48</xdr:row>
      <xdr:rowOff>117746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CxnSpPr/>
      </xdr:nvCxnSpPr>
      <xdr:spPr>
        <a:xfrm>
          <a:off x="3596640" y="9725297"/>
          <a:ext cx="0" cy="25272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4354</xdr:colOff>
      <xdr:row>35</xdr:row>
      <xdr:rowOff>10886</xdr:rowOff>
    </xdr:from>
    <xdr:to>
      <xdr:col>32</xdr:col>
      <xdr:colOff>4354</xdr:colOff>
      <xdr:row>37</xdr:row>
      <xdr:rowOff>18506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CxnSpPr/>
      </xdr:nvCxnSpPr>
      <xdr:spPr>
        <a:xfrm>
          <a:off x="5216434" y="7600406"/>
          <a:ext cx="0" cy="2514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217714</xdr:colOff>
      <xdr:row>37</xdr:row>
      <xdr:rowOff>10886</xdr:rowOff>
    </xdr:from>
    <xdr:to>
      <xdr:col>46</xdr:col>
      <xdr:colOff>21772</xdr:colOff>
      <xdr:row>37</xdr:row>
      <xdr:rowOff>10886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CxnSpPr/>
      </xdr:nvCxnSpPr>
      <xdr:spPr>
        <a:xfrm flipH="1">
          <a:off x="5201194" y="7844246"/>
          <a:ext cx="2394858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43544</xdr:colOff>
      <xdr:row>37</xdr:row>
      <xdr:rowOff>21772</xdr:rowOff>
    </xdr:from>
    <xdr:to>
      <xdr:col>36</xdr:col>
      <xdr:colOff>47625</xdr:colOff>
      <xdr:row>47</xdr:row>
      <xdr:rowOff>47625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CxnSpPr/>
      </xdr:nvCxnSpPr>
      <xdr:spPr>
        <a:xfrm>
          <a:off x="6002384" y="7855132"/>
          <a:ext cx="4081" cy="193085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</xdr:colOff>
      <xdr:row>47</xdr:row>
      <xdr:rowOff>43543</xdr:rowOff>
    </xdr:from>
    <xdr:to>
      <xdr:col>36</xdr:col>
      <xdr:colOff>55517</xdr:colOff>
      <xdr:row>47</xdr:row>
      <xdr:rowOff>47625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CxnSpPr/>
      </xdr:nvCxnSpPr>
      <xdr:spPr>
        <a:xfrm flipH="1">
          <a:off x="5200650" y="9816193"/>
          <a:ext cx="769892" cy="408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43543</xdr:colOff>
      <xdr:row>47</xdr:row>
      <xdr:rowOff>43542</xdr:rowOff>
    </xdr:from>
    <xdr:to>
      <xdr:col>32</xdr:col>
      <xdr:colOff>43543</xdr:colOff>
      <xdr:row>49</xdr:row>
      <xdr:rowOff>21771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CxnSpPr/>
      </xdr:nvCxnSpPr>
      <xdr:spPr>
        <a:xfrm>
          <a:off x="5255623" y="9781902"/>
          <a:ext cx="0" cy="22206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43544</xdr:colOff>
      <xdr:row>28</xdr:row>
      <xdr:rowOff>21771</xdr:rowOff>
    </xdr:from>
    <xdr:to>
      <xdr:col>26</xdr:col>
      <xdr:colOff>10886</xdr:colOff>
      <xdr:row>46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CxnSpPr/>
      </xdr:nvCxnSpPr>
      <xdr:spPr>
        <a:xfrm>
          <a:off x="4325984" y="6072051"/>
          <a:ext cx="28302" cy="354438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21772</xdr:colOff>
      <xdr:row>46</xdr:row>
      <xdr:rowOff>10886</xdr:rowOff>
    </xdr:from>
    <xdr:to>
      <xdr:col>42</xdr:col>
      <xdr:colOff>10886</xdr:colOff>
      <xdr:row>46</xdr:row>
      <xdr:rowOff>21772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CxnSpPr/>
      </xdr:nvCxnSpPr>
      <xdr:spPr>
        <a:xfrm flipH="1" flipV="1">
          <a:off x="4365172" y="9627326"/>
          <a:ext cx="2473234" cy="1088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10886</xdr:colOff>
      <xdr:row>46</xdr:row>
      <xdr:rowOff>32657</xdr:rowOff>
    </xdr:from>
    <xdr:to>
      <xdr:col>42</xdr:col>
      <xdr:colOff>10886</xdr:colOff>
      <xdr:row>49</xdr:row>
      <xdr:rowOff>8889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CxnSpPr/>
      </xdr:nvCxnSpPr>
      <xdr:spPr>
        <a:xfrm>
          <a:off x="6838406" y="9649097"/>
          <a:ext cx="0" cy="34199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47625</xdr:colOff>
      <xdr:row>37</xdr:row>
      <xdr:rowOff>1</xdr:rowOff>
    </xdr:from>
    <xdr:to>
      <xdr:col>46</xdr:col>
      <xdr:colOff>10886</xdr:colOff>
      <xdr:row>47</xdr:row>
      <xdr:rowOff>28575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CxnSpPr/>
      </xdr:nvCxnSpPr>
      <xdr:spPr>
        <a:xfrm flipH="1">
          <a:off x="7560945" y="7833361"/>
          <a:ext cx="24221" cy="193357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47</xdr:row>
      <xdr:rowOff>10886</xdr:rowOff>
    </xdr:from>
    <xdr:to>
      <xdr:col>51</xdr:col>
      <xdr:colOff>120831</xdr:colOff>
      <xdr:row>47</xdr:row>
      <xdr:rowOff>10886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CxnSpPr/>
      </xdr:nvCxnSpPr>
      <xdr:spPr>
        <a:xfrm flipH="1">
          <a:off x="7574280" y="9749246"/>
          <a:ext cx="760911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119742</xdr:colOff>
      <xdr:row>47</xdr:row>
      <xdr:rowOff>10886</xdr:rowOff>
    </xdr:from>
    <xdr:to>
      <xdr:col>51</xdr:col>
      <xdr:colOff>119743</xdr:colOff>
      <xdr:row>48</xdr:row>
      <xdr:rowOff>106861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CxnSpPr/>
      </xdr:nvCxnSpPr>
      <xdr:spPr>
        <a:xfrm flipH="1">
          <a:off x="8334102" y="9749246"/>
          <a:ext cx="1" cy="2178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2721</xdr:colOff>
      <xdr:row>53</xdr:row>
      <xdr:rowOff>10885</xdr:rowOff>
    </xdr:from>
    <xdr:to>
      <xdr:col>34</xdr:col>
      <xdr:colOff>2722</xdr:colOff>
      <xdr:row>55</xdr:row>
      <xdr:rowOff>43543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CxnSpPr/>
      </xdr:nvCxnSpPr>
      <xdr:spPr>
        <a:xfrm flipH="1">
          <a:off x="5631996" y="11202760"/>
          <a:ext cx="1" cy="28030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219075</xdr:colOff>
      <xdr:row>55</xdr:row>
      <xdr:rowOff>38100</xdr:rowOff>
    </xdr:from>
    <xdr:to>
      <xdr:col>52</xdr:col>
      <xdr:colOff>12247</xdr:colOff>
      <xdr:row>55</xdr:row>
      <xdr:rowOff>44904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CxnSpPr/>
      </xdr:nvCxnSpPr>
      <xdr:spPr>
        <a:xfrm flipH="1" flipV="1">
          <a:off x="5619750" y="11477625"/>
          <a:ext cx="2764972" cy="680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10886</xdr:colOff>
      <xdr:row>55</xdr:row>
      <xdr:rowOff>54429</xdr:rowOff>
    </xdr:from>
    <xdr:to>
      <xdr:col>52</xdr:col>
      <xdr:colOff>10886</xdr:colOff>
      <xdr:row>59</xdr:row>
      <xdr:rowOff>19775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CxnSpPr/>
      </xdr:nvCxnSpPr>
      <xdr:spPr>
        <a:xfrm>
          <a:off x="8453846" y="11453949"/>
          <a:ext cx="0" cy="45302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85725</xdr:colOff>
      <xdr:row>54</xdr:row>
      <xdr:rowOff>28575</xdr:rowOff>
    </xdr:from>
    <xdr:to>
      <xdr:col>59</xdr:col>
      <xdr:colOff>104775</xdr:colOff>
      <xdr:row>54</xdr:row>
      <xdr:rowOff>28575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CxnSpPr/>
      </xdr:nvCxnSpPr>
      <xdr:spPr>
        <a:xfrm flipH="1">
          <a:off x="3657600" y="11344275"/>
          <a:ext cx="57340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217714</xdr:colOff>
      <xdr:row>54</xdr:row>
      <xdr:rowOff>21772</xdr:rowOff>
    </xdr:from>
    <xdr:to>
      <xdr:col>32</xdr:col>
      <xdr:colOff>217714</xdr:colOff>
      <xdr:row>59</xdr:row>
      <xdr:rowOff>19775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CxnSpPr/>
      </xdr:nvCxnSpPr>
      <xdr:spPr>
        <a:xfrm>
          <a:off x="5429794" y="11299372"/>
          <a:ext cx="0" cy="60760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64</xdr:row>
      <xdr:rowOff>85725</xdr:rowOff>
    </xdr:from>
    <xdr:to>
      <xdr:col>11</xdr:col>
      <xdr:colOff>191861</xdr:colOff>
      <xdr:row>66</xdr:row>
      <xdr:rowOff>123189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CxnSpPr/>
      </xdr:nvCxnSpPr>
      <xdr:spPr>
        <a:xfrm>
          <a:off x="1943100" y="13268325"/>
          <a:ext cx="1361" cy="28130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21774</xdr:colOff>
      <xdr:row>64</xdr:row>
      <xdr:rowOff>9525</xdr:rowOff>
    </xdr:from>
    <xdr:to>
      <xdr:col>32</xdr:col>
      <xdr:colOff>28575</xdr:colOff>
      <xdr:row>67</xdr:row>
      <xdr:rowOff>8885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00000000-0008-0000-0A00-000040000000}"/>
            </a:ext>
          </a:extLst>
        </xdr:cNvPr>
        <xdr:cNvCxnSpPr/>
      </xdr:nvCxnSpPr>
      <xdr:spPr>
        <a:xfrm flipH="1">
          <a:off x="5193849" y="13239750"/>
          <a:ext cx="6801" cy="37083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9525</xdr:colOff>
      <xdr:row>64</xdr:row>
      <xdr:rowOff>0</xdr:rowOff>
    </xdr:from>
    <xdr:to>
      <xdr:col>42</xdr:col>
      <xdr:colOff>10888</xdr:colOff>
      <xdr:row>67</xdr:row>
      <xdr:rowOff>8888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A00-000041000000}"/>
            </a:ext>
          </a:extLst>
        </xdr:cNvPr>
        <xdr:cNvCxnSpPr/>
      </xdr:nvCxnSpPr>
      <xdr:spPr>
        <a:xfrm>
          <a:off x="6837045" y="13182600"/>
          <a:ext cx="1363" cy="37464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206830</xdr:colOff>
      <xdr:row>73</xdr:row>
      <xdr:rowOff>38100</xdr:rowOff>
    </xdr:from>
    <xdr:to>
      <xdr:col>31</xdr:col>
      <xdr:colOff>209550</xdr:colOff>
      <xdr:row>77</xdr:row>
      <xdr:rowOff>8889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CxnSpPr/>
      </xdr:nvCxnSpPr>
      <xdr:spPr>
        <a:xfrm flipH="1">
          <a:off x="5150305" y="15059025"/>
          <a:ext cx="2720" cy="46608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205468</xdr:colOff>
      <xdr:row>83</xdr:row>
      <xdr:rowOff>21772</xdr:rowOff>
    </xdr:from>
    <xdr:to>
      <xdr:col>37</xdr:col>
      <xdr:colOff>1361</xdr:colOff>
      <xdr:row>83</xdr:row>
      <xdr:rowOff>21772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CxnSpPr/>
      </xdr:nvCxnSpPr>
      <xdr:spPr>
        <a:xfrm flipH="1">
          <a:off x="5148943" y="16966747"/>
          <a:ext cx="824593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217714</xdr:colOff>
      <xdr:row>83</xdr:row>
      <xdr:rowOff>32657</xdr:rowOff>
    </xdr:from>
    <xdr:to>
      <xdr:col>31</xdr:col>
      <xdr:colOff>217715</xdr:colOff>
      <xdr:row>84</xdr:row>
      <xdr:rowOff>106860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A00-000047000000}"/>
            </a:ext>
          </a:extLst>
        </xdr:cNvPr>
        <xdr:cNvCxnSpPr/>
      </xdr:nvCxnSpPr>
      <xdr:spPr>
        <a:xfrm>
          <a:off x="5201194" y="16910957"/>
          <a:ext cx="1" cy="19612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66675</xdr:colOff>
      <xdr:row>45</xdr:row>
      <xdr:rowOff>9525</xdr:rowOff>
    </xdr:from>
    <xdr:to>
      <xdr:col>52</xdr:col>
      <xdr:colOff>66675</xdr:colOff>
      <xdr:row>46</xdr:row>
      <xdr:rowOff>66675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A00-000048000000}"/>
            </a:ext>
          </a:extLst>
        </xdr:cNvPr>
        <xdr:cNvCxnSpPr/>
      </xdr:nvCxnSpPr>
      <xdr:spPr>
        <a:xfrm>
          <a:off x="8439150" y="9534525"/>
          <a:ext cx="0" cy="1809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55</xdr:row>
      <xdr:rowOff>66675</xdr:rowOff>
    </xdr:from>
    <xdr:to>
      <xdr:col>16</xdr:col>
      <xdr:colOff>9525</xdr:colOff>
      <xdr:row>64</xdr:row>
      <xdr:rowOff>95250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A00-00004D000000}"/>
            </a:ext>
          </a:extLst>
        </xdr:cNvPr>
        <xdr:cNvCxnSpPr/>
      </xdr:nvCxnSpPr>
      <xdr:spPr>
        <a:xfrm>
          <a:off x="2724150" y="11506200"/>
          <a:ext cx="0" cy="18192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64</xdr:row>
      <xdr:rowOff>95250</xdr:rowOff>
    </xdr:from>
    <xdr:to>
      <xdr:col>16</xdr:col>
      <xdr:colOff>28575</xdr:colOff>
      <xdr:row>64</xdr:row>
      <xdr:rowOff>104775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A00-00004E000000}"/>
            </a:ext>
          </a:extLst>
        </xdr:cNvPr>
        <xdr:cNvCxnSpPr/>
      </xdr:nvCxnSpPr>
      <xdr:spPr>
        <a:xfrm flipH="1">
          <a:off x="1914525" y="13325475"/>
          <a:ext cx="82867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85725</xdr:colOff>
      <xdr:row>46</xdr:row>
      <xdr:rowOff>38100</xdr:rowOff>
    </xdr:from>
    <xdr:to>
      <xdr:col>59</xdr:col>
      <xdr:colOff>95250</xdr:colOff>
      <xdr:row>54</xdr:row>
      <xdr:rowOff>19050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A00-000052000000}"/>
            </a:ext>
          </a:extLst>
        </xdr:cNvPr>
        <xdr:cNvCxnSpPr/>
      </xdr:nvCxnSpPr>
      <xdr:spPr>
        <a:xfrm flipH="1">
          <a:off x="9372600" y="9686925"/>
          <a:ext cx="9525" cy="16478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66675</xdr:colOff>
      <xdr:row>46</xdr:row>
      <xdr:rowOff>57150</xdr:rowOff>
    </xdr:from>
    <xdr:to>
      <xdr:col>59</xdr:col>
      <xdr:colOff>95250</xdr:colOff>
      <xdr:row>46</xdr:row>
      <xdr:rowOff>57150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A00-000054000000}"/>
            </a:ext>
          </a:extLst>
        </xdr:cNvPr>
        <xdr:cNvCxnSpPr/>
      </xdr:nvCxnSpPr>
      <xdr:spPr>
        <a:xfrm flipH="1">
          <a:off x="8439150" y="9705975"/>
          <a:ext cx="94297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66675</xdr:colOff>
      <xdr:row>54</xdr:row>
      <xdr:rowOff>9525</xdr:rowOff>
    </xdr:from>
    <xdr:to>
      <xdr:col>22</xdr:col>
      <xdr:colOff>66675</xdr:colOff>
      <xdr:row>59</xdr:row>
      <xdr:rowOff>7528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00000000-0008-0000-0A00-000061000000}"/>
            </a:ext>
          </a:extLst>
        </xdr:cNvPr>
        <xdr:cNvCxnSpPr/>
      </xdr:nvCxnSpPr>
      <xdr:spPr>
        <a:xfrm>
          <a:off x="3638550" y="11325225"/>
          <a:ext cx="0" cy="61712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95250</xdr:colOff>
      <xdr:row>55</xdr:row>
      <xdr:rowOff>76200</xdr:rowOff>
    </xdr:from>
    <xdr:to>
      <xdr:col>16</xdr:col>
      <xdr:colOff>0</xdr:colOff>
      <xdr:row>55</xdr:row>
      <xdr:rowOff>76200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A00-000063000000}"/>
            </a:ext>
          </a:extLst>
        </xdr:cNvPr>
        <xdr:cNvCxnSpPr/>
      </xdr:nvCxnSpPr>
      <xdr:spPr>
        <a:xfrm flipH="1">
          <a:off x="2066925" y="11515725"/>
          <a:ext cx="6477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95250</xdr:colOff>
      <xdr:row>52</xdr:row>
      <xdr:rowOff>180975</xdr:rowOff>
    </xdr:from>
    <xdr:to>
      <xdr:col>12</xdr:col>
      <xdr:colOff>95250</xdr:colOff>
      <xdr:row>55</xdr:row>
      <xdr:rowOff>66675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0A00-000064000000}"/>
            </a:ext>
          </a:extLst>
        </xdr:cNvPr>
        <xdr:cNvCxnSpPr/>
      </xdr:nvCxnSpPr>
      <xdr:spPr>
        <a:xfrm>
          <a:off x="2066925" y="11182350"/>
          <a:ext cx="0" cy="3238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47625</xdr:colOff>
      <xdr:row>64</xdr:row>
      <xdr:rowOff>6804</xdr:rowOff>
    </xdr:from>
    <xdr:to>
      <xdr:col>42</xdr:col>
      <xdr:colOff>12247</xdr:colOff>
      <xdr:row>64</xdr:row>
      <xdr:rowOff>9525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A00-00006C000000}"/>
            </a:ext>
          </a:extLst>
        </xdr:cNvPr>
        <xdr:cNvCxnSpPr/>
      </xdr:nvCxnSpPr>
      <xdr:spPr>
        <a:xfrm flipH="1">
          <a:off x="5962650" y="13237029"/>
          <a:ext cx="821872" cy="272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54</xdr:row>
      <xdr:rowOff>38100</xdr:rowOff>
    </xdr:from>
    <xdr:to>
      <xdr:col>37</xdr:col>
      <xdr:colOff>0</xdr:colOff>
      <xdr:row>64</xdr:row>
      <xdr:rowOff>0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A00-00006E000000}"/>
            </a:ext>
          </a:extLst>
        </xdr:cNvPr>
        <xdr:cNvCxnSpPr/>
      </xdr:nvCxnSpPr>
      <xdr:spPr>
        <a:xfrm>
          <a:off x="5972175" y="11353800"/>
          <a:ext cx="0" cy="18764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38100</xdr:colOff>
      <xdr:row>36</xdr:row>
      <xdr:rowOff>76200</xdr:rowOff>
    </xdr:from>
    <xdr:to>
      <xdr:col>68</xdr:col>
      <xdr:colOff>47625</xdr:colOff>
      <xdr:row>73</xdr:row>
      <xdr:rowOff>66675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00000000-0008-0000-0A00-000071000000}"/>
            </a:ext>
          </a:extLst>
        </xdr:cNvPr>
        <xdr:cNvCxnSpPr/>
      </xdr:nvCxnSpPr>
      <xdr:spPr>
        <a:xfrm>
          <a:off x="10868025" y="7810500"/>
          <a:ext cx="9525" cy="72771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180975</xdr:colOff>
      <xdr:row>64</xdr:row>
      <xdr:rowOff>85725</xdr:rowOff>
    </xdr:from>
    <xdr:to>
      <xdr:col>68</xdr:col>
      <xdr:colOff>50347</xdr:colOff>
      <xdr:row>64</xdr:row>
      <xdr:rowOff>102054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A00-000073000000}"/>
            </a:ext>
          </a:extLst>
        </xdr:cNvPr>
        <xdr:cNvCxnSpPr/>
      </xdr:nvCxnSpPr>
      <xdr:spPr>
        <a:xfrm flipH="1" flipV="1">
          <a:off x="3524250" y="13315950"/>
          <a:ext cx="7356022" cy="1632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190500</xdr:colOff>
      <xdr:row>64</xdr:row>
      <xdr:rowOff>95250</xdr:rowOff>
    </xdr:from>
    <xdr:to>
      <xdr:col>21</xdr:col>
      <xdr:colOff>190502</xdr:colOff>
      <xdr:row>67</xdr:row>
      <xdr:rowOff>17053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00000000-0008-0000-0A00-000075000000}"/>
            </a:ext>
          </a:extLst>
        </xdr:cNvPr>
        <xdr:cNvCxnSpPr/>
      </xdr:nvCxnSpPr>
      <xdr:spPr>
        <a:xfrm>
          <a:off x="3533775" y="13325475"/>
          <a:ext cx="2" cy="29327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28575</xdr:colOff>
      <xdr:row>64</xdr:row>
      <xdr:rowOff>9525</xdr:rowOff>
    </xdr:from>
    <xdr:to>
      <xdr:col>32</xdr:col>
      <xdr:colOff>31297</xdr:colOff>
      <xdr:row>64</xdr:row>
      <xdr:rowOff>19050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00000000-0008-0000-0A00-000077000000}"/>
            </a:ext>
          </a:extLst>
        </xdr:cNvPr>
        <xdr:cNvCxnSpPr/>
      </xdr:nvCxnSpPr>
      <xdr:spPr>
        <a:xfrm flipH="1">
          <a:off x="2800350" y="13239750"/>
          <a:ext cx="2403022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38100</xdr:colOff>
      <xdr:row>39</xdr:row>
      <xdr:rowOff>57150</xdr:rowOff>
    </xdr:from>
    <xdr:to>
      <xdr:col>17</xdr:col>
      <xdr:colOff>38100</xdr:colOff>
      <xdr:row>64</xdr:row>
      <xdr:rowOff>28575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0000000-0008-0000-0A00-000079000000}"/>
            </a:ext>
          </a:extLst>
        </xdr:cNvPr>
        <xdr:cNvCxnSpPr/>
      </xdr:nvCxnSpPr>
      <xdr:spPr>
        <a:xfrm>
          <a:off x="2809875" y="8162925"/>
          <a:ext cx="0" cy="50958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28575</xdr:colOff>
      <xdr:row>39</xdr:row>
      <xdr:rowOff>44903</xdr:rowOff>
    </xdr:from>
    <xdr:to>
      <xdr:col>21</xdr:col>
      <xdr:colOff>9525</xdr:colOff>
      <xdr:row>39</xdr:row>
      <xdr:rowOff>47625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A00-00007B000000}"/>
            </a:ext>
          </a:extLst>
        </xdr:cNvPr>
        <xdr:cNvCxnSpPr/>
      </xdr:nvCxnSpPr>
      <xdr:spPr>
        <a:xfrm flipH="1" flipV="1">
          <a:off x="2800350" y="8150678"/>
          <a:ext cx="552450" cy="272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35</xdr:row>
      <xdr:rowOff>0</xdr:rowOff>
    </xdr:from>
    <xdr:to>
      <xdr:col>21</xdr:col>
      <xdr:colOff>0</xdr:colOff>
      <xdr:row>39</xdr:row>
      <xdr:rowOff>36195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00000000-0008-0000-0A00-00007D000000}"/>
            </a:ext>
          </a:extLst>
        </xdr:cNvPr>
        <xdr:cNvCxnSpPr/>
      </xdr:nvCxnSpPr>
      <xdr:spPr>
        <a:xfrm>
          <a:off x="3343275" y="7610475"/>
          <a:ext cx="0" cy="53149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209550</xdr:colOff>
      <xdr:row>73</xdr:row>
      <xdr:rowOff>47625</xdr:rowOff>
    </xdr:from>
    <xdr:to>
      <xdr:col>68</xdr:col>
      <xdr:colOff>40822</xdr:colOff>
      <xdr:row>73</xdr:row>
      <xdr:rowOff>54429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0000000-0008-0000-0A00-000082000000}"/>
            </a:ext>
          </a:extLst>
        </xdr:cNvPr>
        <xdr:cNvCxnSpPr/>
      </xdr:nvCxnSpPr>
      <xdr:spPr>
        <a:xfrm flipH="1" flipV="1">
          <a:off x="5153025" y="15068550"/>
          <a:ext cx="5717722" cy="680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75</xdr:row>
      <xdr:rowOff>38100</xdr:rowOff>
    </xdr:from>
    <xdr:to>
      <xdr:col>37</xdr:col>
      <xdr:colOff>0</xdr:colOff>
      <xdr:row>83</xdr:row>
      <xdr:rowOff>38100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00000000-0008-0000-0A00-000085000000}"/>
            </a:ext>
          </a:extLst>
        </xdr:cNvPr>
        <xdr:cNvCxnSpPr/>
      </xdr:nvCxnSpPr>
      <xdr:spPr>
        <a:xfrm>
          <a:off x="5972175" y="15306675"/>
          <a:ext cx="0" cy="16764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47625</xdr:colOff>
      <xdr:row>75</xdr:row>
      <xdr:rowOff>47625</xdr:rowOff>
    </xdr:from>
    <xdr:to>
      <xdr:col>42</xdr:col>
      <xdr:colOff>14968</xdr:colOff>
      <xdr:row>75</xdr:row>
      <xdr:rowOff>47625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00000000-0008-0000-0A00-000087000000}"/>
            </a:ext>
          </a:extLst>
        </xdr:cNvPr>
        <xdr:cNvCxnSpPr/>
      </xdr:nvCxnSpPr>
      <xdr:spPr>
        <a:xfrm flipH="1">
          <a:off x="5962650" y="15316200"/>
          <a:ext cx="824593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219075</xdr:colOff>
      <xdr:row>71</xdr:row>
      <xdr:rowOff>0</xdr:rowOff>
    </xdr:from>
    <xdr:to>
      <xdr:col>42</xdr:col>
      <xdr:colOff>0</xdr:colOff>
      <xdr:row>75</xdr:row>
      <xdr:rowOff>47625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00000000-0008-0000-0A00-000089000000}"/>
            </a:ext>
          </a:extLst>
        </xdr:cNvPr>
        <xdr:cNvCxnSpPr/>
      </xdr:nvCxnSpPr>
      <xdr:spPr>
        <a:xfrm>
          <a:off x="6762750" y="14773275"/>
          <a:ext cx="9525" cy="5429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133350</xdr:colOff>
      <xdr:row>63</xdr:row>
      <xdr:rowOff>114300</xdr:rowOff>
    </xdr:from>
    <xdr:to>
      <xdr:col>52</xdr:col>
      <xdr:colOff>133350</xdr:colOff>
      <xdr:row>67</xdr:row>
      <xdr:rowOff>12700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4487424D-E68D-4E5C-AE72-DFFFF8482420}"/>
            </a:ext>
          </a:extLst>
        </xdr:cNvPr>
        <xdr:cNvCxnSpPr/>
      </xdr:nvCxnSpPr>
      <xdr:spPr>
        <a:xfrm>
          <a:off x="8534400" y="13220700"/>
          <a:ext cx="0" cy="3937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133350</xdr:colOff>
      <xdr:row>63</xdr:row>
      <xdr:rowOff>114300</xdr:rowOff>
    </xdr:from>
    <xdr:to>
      <xdr:col>56</xdr:col>
      <xdr:colOff>38100</xdr:colOff>
      <xdr:row>63</xdr:row>
      <xdr:rowOff>117021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7D70D03B-64C1-49AC-BBE0-B46E0C9E9831}"/>
            </a:ext>
          </a:extLst>
        </xdr:cNvPr>
        <xdr:cNvCxnSpPr/>
      </xdr:nvCxnSpPr>
      <xdr:spPr>
        <a:xfrm flipH="1">
          <a:off x="8534400" y="13220700"/>
          <a:ext cx="647700" cy="272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28575</xdr:colOff>
      <xdr:row>48</xdr:row>
      <xdr:rowOff>28575</xdr:rowOff>
    </xdr:from>
    <xdr:to>
      <xdr:col>56</xdr:col>
      <xdr:colOff>38100</xdr:colOff>
      <xdr:row>64</xdr:row>
      <xdr:rowOff>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3F5C0EBB-5E55-4DAA-B5B6-C6ACDCDA3EB4}"/>
            </a:ext>
          </a:extLst>
        </xdr:cNvPr>
        <xdr:cNvCxnSpPr/>
      </xdr:nvCxnSpPr>
      <xdr:spPr>
        <a:xfrm flipH="1">
          <a:off x="9172575" y="9925050"/>
          <a:ext cx="9525" cy="33051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38100</xdr:colOff>
      <xdr:row>48</xdr:row>
      <xdr:rowOff>28575</xdr:rowOff>
    </xdr:from>
    <xdr:to>
      <xdr:col>62</xdr:col>
      <xdr:colOff>123825</xdr:colOff>
      <xdr:row>48</xdr:row>
      <xdr:rowOff>28575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963B93D9-D035-480F-AF66-CE18466B043B}"/>
            </a:ext>
          </a:extLst>
        </xdr:cNvPr>
        <xdr:cNvCxnSpPr/>
      </xdr:nvCxnSpPr>
      <xdr:spPr>
        <a:xfrm flipH="1">
          <a:off x="9182100" y="9925050"/>
          <a:ext cx="94297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104775</xdr:colOff>
      <xdr:row>45</xdr:row>
      <xdr:rowOff>9525</xdr:rowOff>
    </xdr:from>
    <xdr:to>
      <xdr:col>62</xdr:col>
      <xdr:colOff>104775</xdr:colOff>
      <xdr:row>48</xdr:row>
      <xdr:rowOff>28575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11F743A2-6933-4B12-8F15-97E42B4FB1CA}"/>
            </a:ext>
          </a:extLst>
        </xdr:cNvPr>
        <xdr:cNvCxnSpPr/>
      </xdr:nvCxnSpPr>
      <xdr:spPr>
        <a:xfrm>
          <a:off x="10106025" y="9534525"/>
          <a:ext cx="0" cy="390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46</xdr:row>
      <xdr:rowOff>85725</xdr:rowOff>
    </xdr:from>
    <xdr:to>
      <xdr:col>11</xdr:col>
      <xdr:colOff>152400</xdr:colOff>
      <xdr:row>48</xdr:row>
      <xdr:rowOff>94614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B21DF6E-A0C2-4B80-ACB3-657B40AB839D}"/>
            </a:ext>
          </a:extLst>
        </xdr:cNvPr>
        <xdr:cNvCxnSpPr/>
      </xdr:nvCxnSpPr>
      <xdr:spPr>
        <a:xfrm>
          <a:off x="1924050" y="9734550"/>
          <a:ext cx="0" cy="25653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123825</xdr:colOff>
      <xdr:row>28</xdr:row>
      <xdr:rowOff>66675</xdr:rowOff>
    </xdr:from>
    <xdr:to>
      <xdr:col>15</xdr:col>
      <xdr:colOff>47625</xdr:colOff>
      <xdr:row>28</xdr:row>
      <xdr:rowOff>66675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FC309D6D-5ED4-4042-A90B-C602E263EB88}"/>
            </a:ext>
          </a:extLst>
        </xdr:cNvPr>
        <xdr:cNvCxnSpPr/>
      </xdr:nvCxnSpPr>
      <xdr:spPr>
        <a:xfrm flipH="1">
          <a:off x="2124075" y="6134100"/>
          <a:ext cx="6096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114300</xdr:colOff>
      <xdr:row>27</xdr:row>
      <xdr:rowOff>0</xdr:rowOff>
    </xdr:from>
    <xdr:to>
      <xdr:col>12</xdr:col>
      <xdr:colOff>114300</xdr:colOff>
      <xdr:row>28</xdr:row>
      <xdr:rowOff>68580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EC3E2E78-2D70-4425-9876-8BA0C42AD9F3}"/>
            </a:ext>
          </a:extLst>
        </xdr:cNvPr>
        <xdr:cNvCxnSpPr/>
      </xdr:nvCxnSpPr>
      <xdr:spPr>
        <a:xfrm>
          <a:off x="2114550" y="5943600"/>
          <a:ext cx="0" cy="19240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12439650" y="4953000"/>
          <a:ext cx="0" cy="350767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190500</xdr:colOff>
      <xdr:row>8</xdr:row>
      <xdr:rowOff>190500</xdr:rowOff>
    </xdr:from>
    <xdr:to>
      <xdr:col>41</xdr:col>
      <xdr:colOff>193894</xdr:colOff>
      <xdr:row>10</xdr:row>
      <xdr:rowOff>22663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6503276" y="2312276"/>
          <a:ext cx="3394" cy="15404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104775</xdr:colOff>
      <xdr:row>10</xdr:row>
      <xdr:rowOff>19050</xdr:rowOff>
    </xdr:from>
    <xdr:to>
      <xdr:col>41</xdr:col>
      <xdr:colOff>206375</xdr:colOff>
      <xdr:row>10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CxnSpPr/>
      </xdr:nvCxnSpPr>
      <xdr:spPr>
        <a:xfrm flipH="1">
          <a:off x="5267325" y="2466975"/>
          <a:ext cx="142557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114300</xdr:colOff>
      <xdr:row>10</xdr:row>
      <xdr:rowOff>25400</xdr:rowOff>
    </xdr:from>
    <xdr:to>
      <xdr:col>32</xdr:col>
      <xdr:colOff>114301</xdr:colOff>
      <xdr:row>13</xdr:row>
      <xdr:rowOff>19050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CxnSpPr/>
      </xdr:nvCxnSpPr>
      <xdr:spPr>
        <a:xfrm flipH="1">
          <a:off x="5276850" y="2473325"/>
          <a:ext cx="1" cy="365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19050</xdr:colOff>
      <xdr:row>9</xdr:row>
      <xdr:rowOff>0</xdr:rowOff>
    </xdr:from>
    <xdr:to>
      <xdr:col>62</xdr:col>
      <xdr:colOff>19050</xdr:colOff>
      <xdr:row>12</xdr:row>
      <xdr:rowOff>114300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CxnSpPr/>
      </xdr:nvCxnSpPr>
      <xdr:spPr>
        <a:xfrm>
          <a:off x="9810750" y="2324100"/>
          <a:ext cx="0" cy="485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180975</xdr:colOff>
      <xdr:row>17</xdr:row>
      <xdr:rowOff>0</xdr:rowOff>
    </xdr:from>
    <xdr:to>
      <xdr:col>61</xdr:col>
      <xdr:colOff>180975</xdr:colOff>
      <xdr:row>20</xdr:row>
      <xdr:rowOff>76200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CxnSpPr/>
      </xdr:nvCxnSpPr>
      <xdr:spPr>
        <a:xfrm>
          <a:off x="9753600" y="4019550"/>
          <a:ext cx="0" cy="4476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95250</xdr:colOff>
      <xdr:row>20</xdr:row>
      <xdr:rowOff>85725</xdr:rowOff>
    </xdr:from>
    <xdr:to>
      <xdr:col>61</xdr:col>
      <xdr:colOff>190500</xdr:colOff>
      <xdr:row>20</xdr:row>
      <xdr:rowOff>85725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CxnSpPr/>
      </xdr:nvCxnSpPr>
      <xdr:spPr>
        <a:xfrm flipH="1">
          <a:off x="6800850" y="4476750"/>
          <a:ext cx="296227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95250</xdr:colOff>
      <xdr:row>20</xdr:row>
      <xdr:rowOff>85725</xdr:rowOff>
    </xdr:from>
    <xdr:to>
      <xdr:col>42</xdr:col>
      <xdr:colOff>95250</xdr:colOff>
      <xdr:row>23</xdr:row>
      <xdr:rowOff>9525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CxnSpPr/>
      </xdr:nvCxnSpPr>
      <xdr:spPr>
        <a:xfrm>
          <a:off x="6800850" y="4476750"/>
          <a:ext cx="0" cy="2952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2957</xdr:colOff>
      <xdr:row>17</xdr:row>
      <xdr:rowOff>8868</xdr:rowOff>
    </xdr:from>
    <xdr:to>
      <xdr:col>52</xdr:col>
      <xdr:colOff>2957</xdr:colOff>
      <xdr:row>23</xdr:row>
      <xdr:rowOff>8868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CxnSpPr/>
      </xdr:nvCxnSpPr>
      <xdr:spPr>
        <a:xfrm>
          <a:off x="8069647" y="4022506"/>
          <a:ext cx="0" cy="74886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152400</xdr:colOff>
      <xdr:row>26</xdr:row>
      <xdr:rowOff>190500</xdr:rowOff>
    </xdr:from>
    <xdr:to>
      <xdr:col>41</xdr:col>
      <xdr:colOff>152400</xdr:colOff>
      <xdr:row>29</xdr:row>
      <xdr:rowOff>19050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CxnSpPr/>
      </xdr:nvCxnSpPr>
      <xdr:spPr>
        <a:xfrm>
          <a:off x="6638925" y="5953125"/>
          <a:ext cx="0" cy="2762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180975</xdr:colOff>
      <xdr:row>29</xdr:row>
      <xdr:rowOff>19050</xdr:rowOff>
    </xdr:from>
    <xdr:to>
      <xdr:col>41</xdr:col>
      <xdr:colOff>142875</xdr:colOff>
      <xdr:row>29</xdr:row>
      <xdr:rowOff>19050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CxnSpPr/>
      </xdr:nvCxnSpPr>
      <xdr:spPr>
        <a:xfrm flipH="1">
          <a:off x="5124450" y="6229350"/>
          <a:ext cx="15049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171450</xdr:colOff>
      <xdr:row>29</xdr:row>
      <xdr:rowOff>28575</xdr:rowOff>
    </xdr:from>
    <xdr:to>
      <xdr:col>31</xdr:col>
      <xdr:colOff>171450</xdr:colOff>
      <xdr:row>31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CxnSpPr/>
      </xdr:nvCxnSpPr>
      <xdr:spPr>
        <a:xfrm>
          <a:off x="5114925" y="6238875"/>
          <a:ext cx="0" cy="2190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161925</xdr:colOff>
      <xdr:row>27</xdr:row>
      <xdr:rowOff>0</xdr:rowOff>
    </xdr:from>
    <xdr:to>
      <xdr:col>50</xdr:col>
      <xdr:colOff>161925</xdr:colOff>
      <xdr:row>28</xdr:row>
      <xdr:rowOff>47625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CxnSpPr/>
      </xdr:nvCxnSpPr>
      <xdr:spPr>
        <a:xfrm>
          <a:off x="7972425" y="5962650"/>
          <a:ext cx="0" cy="1714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28</xdr:row>
      <xdr:rowOff>45983</xdr:rowOff>
    </xdr:from>
    <xdr:to>
      <xdr:col>50</xdr:col>
      <xdr:colOff>180977</xdr:colOff>
      <xdr:row>28</xdr:row>
      <xdr:rowOff>57152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CxnSpPr/>
      </xdr:nvCxnSpPr>
      <xdr:spPr>
        <a:xfrm flipH="1" flipV="1">
          <a:off x="3455276" y="6128845"/>
          <a:ext cx="4358839" cy="1116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5912</xdr:colOff>
      <xdr:row>28</xdr:row>
      <xdr:rowOff>47624</xdr:rowOff>
    </xdr:from>
    <xdr:to>
      <xdr:col>22</xdr:col>
      <xdr:colOff>13138</xdr:colOff>
      <xdr:row>31</xdr:row>
      <xdr:rowOff>6569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CxnSpPr/>
      </xdr:nvCxnSpPr>
      <xdr:spPr>
        <a:xfrm>
          <a:off x="3461188" y="6130486"/>
          <a:ext cx="7226" cy="33337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209550</xdr:colOff>
      <xdr:row>27</xdr:row>
      <xdr:rowOff>0</xdr:rowOff>
    </xdr:from>
    <xdr:to>
      <xdr:col>61</xdr:col>
      <xdr:colOff>209550</xdr:colOff>
      <xdr:row>31</xdr:row>
      <xdr:rowOff>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CxnSpPr/>
      </xdr:nvCxnSpPr>
      <xdr:spPr>
        <a:xfrm>
          <a:off x="9782175" y="5962650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98534</xdr:colOff>
      <xdr:row>35</xdr:row>
      <xdr:rowOff>6569</xdr:rowOff>
    </xdr:from>
    <xdr:to>
      <xdr:col>61</xdr:col>
      <xdr:colOff>98863</xdr:colOff>
      <xdr:row>38</xdr:row>
      <xdr:rowOff>9197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CxnSpPr/>
      </xdr:nvCxnSpPr>
      <xdr:spPr>
        <a:xfrm>
          <a:off x="9485586" y="7659414"/>
          <a:ext cx="329" cy="37705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180975</xdr:colOff>
      <xdr:row>38</xdr:row>
      <xdr:rowOff>0</xdr:rowOff>
    </xdr:from>
    <xdr:to>
      <xdr:col>61</xdr:col>
      <xdr:colOff>104775</xdr:colOff>
      <xdr:row>38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CxnSpPr/>
      </xdr:nvCxnSpPr>
      <xdr:spPr>
        <a:xfrm flipH="1">
          <a:off x="8210550" y="8029575"/>
          <a:ext cx="14668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190501</xdr:colOff>
      <xdr:row>38</xdr:row>
      <xdr:rowOff>9525</xdr:rowOff>
    </xdr:from>
    <xdr:to>
      <xdr:col>51</xdr:col>
      <xdr:colOff>190501</xdr:colOff>
      <xdr:row>41</xdr:row>
      <xdr:rowOff>9525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CxnSpPr/>
      </xdr:nvCxnSpPr>
      <xdr:spPr>
        <a:xfrm>
          <a:off x="8220076" y="8039100"/>
          <a:ext cx="0" cy="3714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190500</xdr:colOff>
      <xdr:row>35</xdr:row>
      <xdr:rowOff>0</xdr:rowOff>
    </xdr:from>
    <xdr:to>
      <xdr:col>62</xdr:col>
      <xdr:colOff>190500</xdr:colOff>
      <xdr:row>41</xdr:row>
      <xdr:rowOff>19050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CxnSpPr/>
      </xdr:nvCxnSpPr>
      <xdr:spPr>
        <a:xfrm>
          <a:off x="9982200" y="7658100"/>
          <a:ext cx="0" cy="762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9525</xdr:colOff>
      <xdr:row>63</xdr:row>
      <xdr:rowOff>0</xdr:rowOff>
    </xdr:from>
    <xdr:to>
      <xdr:col>62</xdr:col>
      <xdr:colOff>9525</xdr:colOff>
      <xdr:row>66</xdr:row>
      <xdr:rowOff>121583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CxnSpPr/>
      </xdr:nvCxnSpPr>
      <xdr:spPr>
        <a:xfrm>
          <a:off x="9801225" y="13230225"/>
          <a:ext cx="0" cy="4930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66675</xdr:colOff>
      <xdr:row>9</xdr:row>
      <xdr:rowOff>9525</xdr:rowOff>
    </xdr:from>
    <xdr:to>
      <xdr:col>52</xdr:col>
      <xdr:colOff>66675</xdr:colOff>
      <xdr:row>13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CxnSpPr/>
      </xdr:nvCxnSpPr>
      <xdr:spPr>
        <a:xfrm>
          <a:off x="8315325" y="2333625"/>
          <a:ext cx="0" cy="485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130175</xdr:colOff>
      <xdr:row>17</xdr:row>
      <xdr:rowOff>0</xdr:rowOff>
    </xdr:from>
    <xdr:to>
      <xdr:col>41</xdr:col>
      <xdr:colOff>133350</xdr:colOff>
      <xdr:row>20</xdr:row>
      <xdr:rowOff>9525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CxnSpPr/>
      </xdr:nvCxnSpPr>
      <xdr:spPr>
        <a:xfrm>
          <a:off x="6616700" y="4019550"/>
          <a:ext cx="3175" cy="3810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41713</xdr:colOff>
      <xdr:row>20</xdr:row>
      <xdr:rowOff>2956</xdr:rowOff>
    </xdr:from>
    <xdr:to>
      <xdr:col>41</xdr:col>
      <xdr:colOff>143313</xdr:colOff>
      <xdr:row>20</xdr:row>
      <xdr:rowOff>2956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CxnSpPr/>
      </xdr:nvCxnSpPr>
      <xdr:spPr>
        <a:xfrm flipH="1">
          <a:off x="5034127" y="4391025"/>
          <a:ext cx="1421962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</xdr:colOff>
      <xdr:row>20</xdr:row>
      <xdr:rowOff>6350</xdr:rowOff>
    </xdr:from>
    <xdr:to>
      <xdr:col>32</xdr:col>
      <xdr:colOff>38101</xdr:colOff>
      <xdr:row>23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CxnSpPr/>
      </xdr:nvCxnSpPr>
      <xdr:spPr>
        <a:xfrm flipH="1">
          <a:off x="5200650" y="4397375"/>
          <a:ext cx="1" cy="365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161925</xdr:colOff>
      <xdr:row>45</xdr:row>
      <xdr:rowOff>9525</xdr:rowOff>
    </xdr:from>
    <xdr:to>
      <xdr:col>61</xdr:col>
      <xdr:colOff>161925</xdr:colOff>
      <xdr:row>46</xdr:row>
      <xdr:rowOff>104775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CxnSpPr/>
      </xdr:nvCxnSpPr>
      <xdr:spPr>
        <a:xfrm>
          <a:off x="9734550" y="9601200"/>
          <a:ext cx="0" cy="2190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19050</xdr:colOff>
      <xdr:row>46</xdr:row>
      <xdr:rowOff>104775</xdr:rowOff>
    </xdr:from>
    <xdr:to>
      <xdr:col>61</xdr:col>
      <xdr:colOff>161925</xdr:colOff>
      <xdr:row>46</xdr:row>
      <xdr:rowOff>104775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CxnSpPr/>
      </xdr:nvCxnSpPr>
      <xdr:spPr>
        <a:xfrm flipH="1">
          <a:off x="8267700" y="9820275"/>
          <a:ext cx="14668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28575</xdr:colOff>
      <xdr:row>46</xdr:row>
      <xdr:rowOff>104775</xdr:rowOff>
    </xdr:from>
    <xdr:to>
      <xdr:col>52</xdr:col>
      <xdr:colOff>28576</xdr:colOff>
      <xdr:row>49</xdr:row>
      <xdr:rowOff>19050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CxnSpPr/>
      </xdr:nvCxnSpPr>
      <xdr:spPr>
        <a:xfrm>
          <a:off x="8277225" y="9820275"/>
          <a:ext cx="1" cy="2857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47625</xdr:colOff>
      <xdr:row>45</xdr:row>
      <xdr:rowOff>19050</xdr:rowOff>
    </xdr:from>
    <xdr:to>
      <xdr:col>51</xdr:col>
      <xdr:colOff>47625</xdr:colOff>
      <xdr:row>49</xdr:row>
      <xdr:rowOff>19050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CxnSpPr/>
      </xdr:nvCxnSpPr>
      <xdr:spPr>
        <a:xfrm>
          <a:off x="8077200" y="961072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9525</xdr:colOff>
      <xdr:row>32</xdr:row>
      <xdr:rowOff>323850</xdr:rowOff>
    </xdr:from>
    <xdr:to>
      <xdr:col>66</xdr:col>
      <xdr:colOff>47625</xdr:colOff>
      <xdr:row>32</xdr:row>
      <xdr:rowOff>323850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CxnSpPr/>
      </xdr:nvCxnSpPr>
      <xdr:spPr>
        <a:xfrm>
          <a:off x="10458450" y="6972300"/>
          <a:ext cx="952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47625</xdr:colOff>
      <xdr:row>32</xdr:row>
      <xdr:rowOff>323850</xdr:rowOff>
    </xdr:from>
    <xdr:to>
      <xdr:col>67</xdr:col>
      <xdr:colOff>19050</xdr:colOff>
      <xdr:row>48</xdr:row>
      <xdr:rowOff>9525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CxnSpPr/>
      </xdr:nvCxnSpPr>
      <xdr:spPr>
        <a:xfrm>
          <a:off x="10553700" y="6972300"/>
          <a:ext cx="28575" cy="30003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47</xdr:row>
      <xdr:rowOff>85725</xdr:rowOff>
    </xdr:from>
    <xdr:to>
      <xdr:col>67</xdr:col>
      <xdr:colOff>47625</xdr:colOff>
      <xdr:row>48</xdr:row>
      <xdr:rowOff>19050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CxnSpPr/>
      </xdr:nvCxnSpPr>
      <xdr:spPr>
        <a:xfrm flipH="1" flipV="1">
          <a:off x="3619500" y="9925050"/>
          <a:ext cx="6991350" cy="571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2956</xdr:colOff>
      <xdr:row>47</xdr:row>
      <xdr:rowOff>85725</xdr:rowOff>
    </xdr:from>
    <xdr:to>
      <xdr:col>22</xdr:col>
      <xdr:colOff>12481</xdr:colOff>
      <xdr:row>48</xdr:row>
      <xdr:rowOff>114300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CxnSpPr/>
      </xdr:nvCxnSpPr>
      <xdr:spPr>
        <a:xfrm flipH="1">
          <a:off x="3458232" y="9926035"/>
          <a:ext cx="9525" cy="15338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</xdr:colOff>
      <xdr:row>47</xdr:row>
      <xdr:rowOff>95250</xdr:rowOff>
    </xdr:from>
    <xdr:to>
      <xdr:col>26</xdr:col>
      <xdr:colOff>9525</xdr:colOff>
      <xdr:row>56</xdr:row>
      <xdr:rowOff>38100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CxnSpPr/>
      </xdr:nvCxnSpPr>
      <xdr:spPr>
        <a:xfrm>
          <a:off x="4343400" y="9934575"/>
          <a:ext cx="0" cy="1762125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161927</xdr:colOff>
      <xdr:row>56</xdr:row>
      <xdr:rowOff>39414</xdr:rowOff>
    </xdr:from>
    <xdr:to>
      <xdr:col>26</xdr:col>
      <xdr:colOff>13138</xdr:colOff>
      <xdr:row>56</xdr:row>
      <xdr:rowOff>47626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CxnSpPr/>
      </xdr:nvCxnSpPr>
      <xdr:spPr>
        <a:xfrm flipH="1">
          <a:off x="3400427" y="11699328"/>
          <a:ext cx="777435" cy="821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172107</xdr:colOff>
      <xdr:row>56</xdr:row>
      <xdr:rowOff>47625</xdr:rowOff>
    </xdr:from>
    <xdr:to>
      <xdr:col>21</xdr:col>
      <xdr:colOff>172107</xdr:colOff>
      <xdr:row>59</xdr:row>
      <xdr:rowOff>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CxnSpPr/>
      </xdr:nvCxnSpPr>
      <xdr:spPr>
        <a:xfrm>
          <a:off x="3410607" y="11707539"/>
          <a:ext cx="0" cy="32680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9525</xdr:colOff>
      <xdr:row>42</xdr:row>
      <xdr:rowOff>304800</xdr:rowOff>
    </xdr:from>
    <xdr:to>
      <xdr:col>47</xdr:col>
      <xdr:colOff>19050</xdr:colOff>
      <xdr:row>56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CxnSpPr/>
      </xdr:nvCxnSpPr>
      <xdr:spPr>
        <a:xfrm>
          <a:off x="7486650" y="8896350"/>
          <a:ext cx="9525" cy="27622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209550</xdr:colOff>
      <xdr:row>55</xdr:row>
      <xdr:rowOff>114300</xdr:rowOff>
    </xdr:from>
    <xdr:to>
      <xdr:col>47</xdr:col>
      <xdr:colOff>19050</xdr:colOff>
      <xdr:row>56</xdr:row>
      <xdr:rowOff>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CxnSpPr/>
      </xdr:nvCxnSpPr>
      <xdr:spPr>
        <a:xfrm flipH="1" flipV="1">
          <a:off x="5153025" y="11649075"/>
          <a:ext cx="234315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55</xdr:row>
      <xdr:rowOff>107731</xdr:rowOff>
    </xdr:from>
    <xdr:to>
      <xdr:col>32</xdr:col>
      <xdr:colOff>2956</xdr:colOff>
      <xdr:row>59</xdr:row>
      <xdr:rowOff>6569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B00-00003A000000}"/>
            </a:ext>
          </a:extLst>
        </xdr:cNvPr>
        <xdr:cNvCxnSpPr/>
      </xdr:nvCxnSpPr>
      <xdr:spPr>
        <a:xfrm flipH="1">
          <a:off x="4992414" y="11642834"/>
          <a:ext cx="2956" cy="3980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9525</xdr:colOff>
      <xdr:row>42</xdr:row>
      <xdr:rowOff>304800</xdr:rowOff>
    </xdr:from>
    <xdr:to>
      <xdr:col>48</xdr:col>
      <xdr:colOff>47625</xdr:colOff>
      <xdr:row>42</xdr:row>
      <xdr:rowOff>304800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B00-00003B000000}"/>
            </a:ext>
          </a:extLst>
        </xdr:cNvPr>
        <xdr:cNvCxnSpPr/>
      </xdr:nvCxnSpPr>
      <xdr:spPr>
        <a:xfrm>
          <a:off x="7486650" y="8896350"/>
          <a:ext cx="952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</xdr:colOff>
      <xdr:row>56</xdr:row>
      <xdr:rowOff>0</xdr:rowOff>
    </xdr:from>
    <xdr:to>
      <xdr:col>37</xdr:col>
      <xdr:colOff>19050</xdr:colOff>
      <xdr:row>64</xdr:row>
      <xdr:rowOff>66675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B00-00003C000000}"/>
            </a:ext>
          </a:extLst>
        </xdr:cNvPr>
        <xdr:cNvCxnSpPr/>
      </xdr:nvCxnSpPr>
      <xdr:spPr>
        <a:xfrm>
          <a:off x="5953125" y="11658600"/>
          <a:ext cx="0" cy="1762125"/>
        </a:xfrm>
        <a:prstGeom prst="line">
          <a:avLst/>
        </a:prstGeom>
        <a:ln>
          <a:headEnd type="oval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167837</xdr:colOff>
      <xdr:row>64</xdr:row>
      <xdr:rowOff>69631</xdr:rowOff>
    </xdr:from>
    <xdr:to>
      <xdr:col>37</xdr:col>
      <xdr:colOff>24962</xdr:colOff>
      <xdr:row>64</xdr:row>
      <xdr:rowOff>69631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B00-00003D000000}"/>
            </a:ext>
          </a:extLst>
        </xdr:cNvPr>
        <xdr:cNvCxnSpPr/>
      </xdr:nvCxnSpPr>
      <xdr:spPr>
        <a:xfrm flipH="1">
          <a:off x="4943475" y="13424338"/>
          <a:ext cx="84247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178019</xdr:colOff>
      <xdr:row>64</xdr:row>
      <xdr:rowOff>56493</xdr:rowOff>
    </xdr:from>
    <xdr:to>
      <xdr:col>31</xdr:col>
      <xdr:colOff>178019</xdr:colOff>
      <xdr:row>67</xdr:row>
      <xdr:rowOff>8868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CxnSpPr/>
      </xdr:nvCxnSpPr>
      <xdr:spPr>
        <a:xfrm>
          <a:off x="4953657" y="13411200"/>
          <a:ext cx="0" cy="32680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19051</xdr:colOff>
      <xdr:row>42</xdr:row>
      <xdr:rowOff>209551</xdr:rowOff>
    </xdr:from>
    <xdr:to>
      <xdr:col>29</xdr:col>
      <xdr:colOff>0</xdr:colOff>
      <xdr:row>42</xdr:row>
      <xdr:rowOff>210207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B00-00003F000000}"/>
            </a:ext>
          </a:extLst>
        </xdr:cNvPr>
        <xdr:cNvCxnSpPr/>
      </xdr:nvCxnSpPr>
      <xdr:spPr>
        <a:xfrm flipH="1" flipV="1">
          <a:off x="4242896" y="8801758"/>
          <a:ext cx="99190" cy="65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47625</xdr:colOff>
      <xdr:row>42</xdr:row>
      <xdr:rowOff>219075</xdr:rowOff>
    </xdr:from>
    <xdr:to>
      <xdr:col>27</xdr:col>
      <xdr:colOff>47625</xdr:colOff>
      <xdr:row>64</xdr:row>
      <xdr:rowOff>114300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CxnSpPr/>
      </xdr:nvCxnSpPr>
      <xdr:spPr>
        <a:xfrm>
          <a:off x="4438650" y="8810625"/>
          <a:ext cx="0" cy="46577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213164</xdr:colOff>
      <xdr:row>64</xdr:row>
      <xdr:rowOff>114300</xdr:rowOff>
    </xdr:from>
    <xdr:to>
      <xdr:col>27</xdr:col>
      <xdr:colOff>51238</xdr:colOff>
      <xdr:row>64</xdr:row>
      <xdr:rowOff>114301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B00-000041000000}"/>
            </a:ext>
          </a:extLst>
        </xdr:cNvPr>
        <xdr:cNvCxnSpPr/>
      </xdr:nvCxnSpPr>
      <xdr:spPr>
        <a:xfrm flipH="1">
          <a:off x="3668440" y="13469007"/>
          <a:ext cx="606643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209550</xdr:colOff>
      <xdr:row>64</xdr:row>
      <xdr:rowOff>104775</xdr:rowOff>
    </xdr:from>
    <xdr:to>
      <xdr:col>22</xdr:col>
      <xdr:colOff>209550</xdr:colOff>
      <xdr:row>67</xdr:row>
      <xdr:rowOff>28575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0000000-0008-0000-0B00-000042000000}"/>
            </a:ext>
          </a:extLst>
        </xdr:cNvPr>
        <xdr:cNvCxnSpPr/>
      </xdr:nvCxnSpPr>
      <xdr:spPr>
        <a:xfrm>
          <a:off x="3829050" y="13458825"/>
          <a:ext cx="0" cy="2952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9525</xdr:colOff>
      <xdr:row>24</xdr:row>
      <xdr:rowOff>304800</xdr:rowOff>
    </xdr:from>
    <xdr:to>
      <xdr:col>58</xdr:col>
      <xdr:colOff>47625</xdr:colOff>
      <xdr:row>24</xdr:row>
      <xdr:rowOff>304800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B00-000047000000}"/>
            </a:ext>
          </a:extLst>
        </xdr:cNvPr>
        <xdr:cNvCxnSpPr/>
      </xdr:nvCxnSpPr>
      <xdr:spPr>
        <a:xfrm flipH="1">
          <a:off x="9029700" y="5257800"/>
          <a:ext cx="952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12481</xdr:colOff>
      <xdr:row>24</xdr:row>
      <xdr:rowOff>293962</xdr:rowOff>
    </xdr:from>
    <xdr:to>
      <xdr:col>57</xdr:col>
      <xdr:colOff>19707</xdr:colOff>
      <xdr:row>36</xdr:row>
      <xdr:rowOff>59121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B00-000049000000}"/>
            </a:ext>
          </a:extLst>
        </xdr:cNvPr>
        <xdr:cNvCxnSpPr/>
      </xdr:nvCxnSpPr>
      <xdr:spPr>
        <a:xfrm>
          <a:off x="8847740" y="5246962"/>
          <a:ext cx="7226" cy="258981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38100</xdr:colOff>
      <xdr:row>36</xdr:row>
      <xdr:rowOff>57150</xdr:rowOff>
    </xdr:from>
    <xdr:to>
      <xdr:col>57</xdr:col>
      <xdr:colOff>38100</xdr:colOff>
      <xdr:row>36</xdr:row>
      <xdr:rowOff>57150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B00-00004B000000}"/>
            </a:ext>
          </a:extLst>
        </xdr:cNvPr>
        <xdr:cNvCxnSpPr/>
      </xdr:nvCxnSpPr>
      <xdr:spPr>
        <a:xfrm flipH="1">
          <a:off x="5857875" y="7839075"/>
          <a:ext cx="32004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47625</xdr:colOff>
      <xdr:row>36</xdr:row>
      <xdr:rowOff>57150</xdr:rowOff>
    </xdr:from>
    <xdr:to>
      <xdr:col>35</xdr:col>
      <xdr:colOff>47625</xdr:colOff>
      <xdr:row>46</xdr:row>
      <xdr:rowOff>47625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B00-00004D000000}"/>
            </a:ext>
          </a:extLst>
        </xdr:cNvPr>
        <xdr:cNvCxnSpPr/>
      </xdr:nvCxnSpPr>
      <xdr:spPr>
        <a:xfrm>
          <a:off x="5867400" y="7839075"/>
          <a:ext cx="0" cy="19240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135649</xdr:colOff>
      <xdr:row>46</xdr:row>
      <xdr:rowOff>60763</xdr:rowOff>
    </xdr:from>
    <xdr:to>
      <xdr:col>35</xdr:col>
      <xdr:colOff>51895</xdr:colOff>
      <xdr:row>46</xdr:row>
      <xdr:rowOff>60763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B00-00004F000000}"/>
            </a:ext>
          </a:extLst>
        </xdr:cNvPr>
        <xdr:cNvCxnSpPr/>
      </xdr:nvCxnSpPr>
      <xdr:spPr>
        <a:xfrm flipH="1">
          <a:off x="4911287" y="9776263"/>
          <a:ext cx="783349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145174</xdr:colOff>
      <xdr:row>46</xdr:row>
      <xdr:rowOff>49925</xdr:rowOff>
    </xdr:from>
    <xdr:to>
      <xdr:col>31</xdr:col>
      <xdr:colOff>151086</xdr:colOff>
      <xdr:row>49</xdr:row>
      <xdr:rowOff>0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0B00-000051000000}"/>
            </a:ext>
          </a:extLst>
        </xdr:cNvPr>
        <xdr:cNvCxnSpPr/>
      </xdr:nvCxnSpPr>
      <xdr:spPr>
        <a:xfrm>
          <a:off x="4920812" y="9765425"/>
          <a:ext cx="5912" cy="32450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47626</xdr:colOff>
      <xdr:row>24</xdr:row>
      <xdr:rowOff>394138</xdr:rowOff>
    </xdr:from>
    <xdr:to>
      <xdr:col>19</xdr:col>
      <xdr:colOff>0</xdr:colOff>
      <xdr:row>24</xdr:row>
      <xdr:rowOff>400050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B00-000055000000}"/>
            </a:ext>
          </a:extLst>
        </xdr:cNvPr>
        <xdr:cNvCxnSpPr/>
      </xdr:nvCxnSpPr>
      <xdr:spPr>
        <a:xfrm flipH="1">
          <a:off x="2675212" y="5347138"/>
          <a:ext cx="129736" cy="591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24</xdr:row>
      <xdr:rowOff>390525</xdr:rowOff>
    </xdr:from>
    <xdr:to>
      <xdr:col>17</xdr:col>
      <xdr:colOff>28575</xdr:colOff>
      <xdr:row>47</xdr:row>
      <xdr:rowOff>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0000000-0008-0000-0B00-000057000000}"/>
            </a:ext>
          </a:extLst>
        </xdr:cNvPr>
        <xdr:cNvCxnSpPr/>
      </xdr:nvCxnSpPr>
      <xdr:spPr>
        <a:xfrm>
          <a:off x="2828925" y="5343525"/>
          <a:ext cx="47625" cy="44958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47625</xdr:colOff>
      <xdr:row>46</xdr:row>
      <xdr:rowOff>114300</xdr:rowOff>
    </xdr:from>
    <xdr:to>
      <xdr:col>41</xdr:col>
      <xdr:colOff>209550</xdr:colOff>
      <xdr:row>47</xdr:row>
      <xdr:rowOff>9525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B00-000059000000}"/>
            </a:ext>
          </a:extLst>
        </xdr:cNvPr>
        <xdr:cNvCxnSpPr/>
      </xdr:nvCxnSpPr>
      <xdr:spPr>
        <a:xfrm>
          <a:off x="2895600" y="9829800"/>
          <a:ext cx="3800475" cy="190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206594</xdr:colOff>
      <xdr:row>47</xdr:row>
      <xdr:rowOff>0</xdr:rowOff>
    </xdr:from>
    <xdr:to>
      <xdr:col>41</xdr:col>
      <xdr:colOff>216119</xdr:colOff>
      <xdr:row>49</xdr:row>
      <xdr:rowOff>9525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B00-00005C000000}"/>
            </a:ext>
          </a:extLst>
        </xdr:cNvPr>
        <xdr:cNvCxnSpPr/>
      </xdr:nvCxnSpPr>
      <xdr:spPr>
        <a:xfrm>
          <a:off x="6519370" y="9840310"/>
          <a:ext cx="9525" cy="25914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CxnSpPr/>
      </xdr:nvCxnSpPr>
      <xdr:spPr>
        <a:xfrm>
          <a:off x="12439650" y="4953000"/>
          <a:ext cx="0" cy="350767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12439650" y="4953000"/>
          <a:ext cx="0" cy="350767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149225</xdr:colOff>
      <xdr:row>8</xdr:row>
      <xdr:rowOff>190500</xdr:rowOff>
    </xdr:from>
    <xdr:to>
      <xdr:col>31</xdr:col>
      <xdr:colOff>149225</xdr:colOff>
      <xdr:row>9</xdr:row>
      <xdr:rowOff>104775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CxnSpPr/>
      </xdr:nvCxnSpPr>
      <xdr:spPr>
        <a:xfrm>
          <a:off x="5092700" y="2314575"/>
          <a:ext cx="0" cy="1143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66675</xdr:colOff>
      <xdr:row>9</xdr:row>
      <xdr:rowOff>114300</xdr:rowOff>
    </xdr:from>
    <xdr:to>
      <xdr:col>31</xdr:col>
      <xdr:colOff>168275</xdr:colOff>
      <xdr:row>9</xdr:row>
      <xdr:rowOff>114300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CxnSpPr/>
      </xdr:nvCxnSpPr>
      <xdr:spPr>
        <a:xfrm flipH="1">
          <a:off x="3686175" y="2438400"/>
          <a:ext cx="142557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69631</xdr:colOff>
      <xdr:row>9</xdr:row>
      <xdr:rowOff>114081</xdr:rowOff>
    </xdr:from>
    <xdr:to>
      <xdr:col>22</xdr:col>
      <xdr:colOff>69632</xdr:colOff>
      <xdr:row>12</xdr:row>
      <xdr:rowOff>107731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CxnSpPr/>
      </xdr:nvCxnSpPr>
      <xdr:spPr>
        <a:xfrm flipH="1">
          <a:off x="3524907" y="2432926"/>
          <a:ext cx="1" cy="36808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28575</xdr:colOff>
      <xdr:row>9</xdr:row>
      <xdr:rowOff>0</xdr:rowOff>
    </xdr:from>
    <xdr:to>
      <xdr:col>52</xdr:col>
      <xdr:colOff>28575</xdr:colOff>
      <xdr:row>12</xdr:row>
      <xdr:rowOff>114300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CxnSpPr/>
      </xdr:nvCxnSpPr>
      <xdr:spPr>
        <a:xfrm>
          <a:off x="8277225" y="2324100"/>
          <a:ext cx="0" cy="485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180975</xdr:colOff>
      <xdr:row>17</xdr:row>
      <xdr:rowOff>9525</xdr:rowOff>
    </xdr:from>
    <xdr:to>
      <xdr:col>51</xdr:col>
      <xdr:colOff>180975</xdr:colOff>
      <xdr:row>23</xdr:row>
      <xdr:rowOff>38100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CxnSpPr/>
      </xdr:nvCxnSpPr>
      <xdr:spPr>
        <a:xfrm>
          <a:off x="8210550" y="4029075"/>
          <a:ext cx="0" cy="7715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9525</xdr:colOff>
      <xdr:row>17</xdr:row>
      <xdr:rowOff>0</xdr:rowOff>
    </xdr:from>
    <xdr:to>
      <xdr:col>42</xdr:col>
      <xdr:colOff>9525</xdr:colOff>
      <xdr:row>20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CxnSpPr/>
      </xdr:nvCxnSpPr>
      <xdr:spPr>
        <a:xfrm>
          <a:off x="6715125" y="4019550"/>
          <a:ext cx="0" cy="3810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9525</xdr:colOff>
      <xdr:row>20</xdr:row>
      <xdr:rowOff>0</xdr:rowOff>
    </xdr:from>
    <xdr:to>
      <xdr:col>62</xdr:col>
      <xdr:colOff>9525</xdr:colOff>
      <xdr:row>20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CxnSpPr/>
      </xdr:nvCxnSpPr>
      <xdr:spPr>
        <a:xfrm>
          <a:off x="6715125" y="4391025"/>
          <a:ext cx="30861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28575</xdr:colOff>
      <xdr:row>20</xdr:row>
      <xdr:rowOff>9525</xdr:rowOff>
    </xdr:from>
    <xdr:to>
      <xdr:col>62</xdr:col>
      <xdr:colOff>28575</xdr:colOff>
      <xdr:row>22</xdr:row>
      <xdr:rowOff>114300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CxnSpPr/>
      </xdr:nvCxnSpPr>
      <xdr:spPr>
        <a:xfrm>
          <a:off x="9820275" y="4400550"/>
          <a:ext cx="0" cy="3524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152400</xdr:colOff>
      <xdr:row>27</xdr:row>
      <xdr:rowOff>9525</xdr:rowOff>
    </xdr:from>
    <xdr:to>
      <xdr:col>51</xdr:col>
      <xdr:colOff>152400</xdr:colOff>
      <xdr:row>29</xdr:row>
      <xdr:rowOff>38100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CxnSpPr/>
      </xdr:nvCxnSpPr>
      <xdr:spPr>
        <a:xfrm>
          <a:off x="8181975" y="5972175"/>
          <a:ext cx="0" cy="2762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66019</xdr:colOff>
      <xdr:row>29</xdr:row>
      <xdr:rowOff>12481</xdr:rowOff>
    </xdr:from>
    <xdr:to>
      <xdr:col>51</xdr:col>
      <xdr:colOff>161269</xdr:colOff>
      <xdr:row>29</xdr:row>
      <xdr:rowOff>22006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>
        <a:xfrm flipH="1" flipV="1">
          <a:off x="5058433" y="6220153"/>
          <a:ext cx="295275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63062</xdr:colOff>
      <xdr:row>29</xdr:row>
      <xdr:rowOff>8869</xdr:rowOff>
    </xdr:from>
    <xdr:to>
      <xdr:col>32</xdr:col>
      <xdr:colOff>63062</xdr:colOff>
      <xdr:row>30</xdr:row>
      <xdr:rowOff>105104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CxnSpPr/>
      </xdr:nvCxnSpPr>
      <xdr:spPr>
        <a:xfrm>
          <a:off x="5055476" y="6216541"/>
          <a:ext cx="0" cy="22104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104775</xdr:colOff>
      <xdr:row>27</xdr:row>
      <xdr:rowOff>9525</xdr:rowOff>
    </xdr:from>
    <xdr:to>
      <xdr:col>62</xdr:col>
      <xdr:colOff>104775</xdr:colOff>
      <xdr:row>29</xdr:row>
      <xdr:rowOff>38100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CxnSpPr/>
      </xdr:nvCxnSpPr>
      <xdr:spPr>
        <a:xfrm>
          <a:off x="9896475" y="5972175"/>
          <a:ext cx="0" cy="2762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133350</xdr:colOff>
      <xdr:row>29</xdr:row>
      <xdr:rowOff>38100</xdr:rowOff>
    </xdr:from>
    <xdr:to>
      <xdr:col>62</xdr:col>
      <xdr:colOff>95250</xdr:colOff>
      <xdr:row>29</xdr:row>
      <xdr:rowOff>38100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CxnSpPr/>
      </xdr:nvCxnSpPr>
      <xdr:spPr>
        <a:xfrm flipH="1">
          <a:off x="8382000" y="6248400"/>
          <a:ext cx="15049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136963</xdr:colOff>
      <xdr:row>29</xdr:row>
      <xdr:rowOff>34487</xdr:rowOff>
    </xdr:from>
    <xdr:to>
      <xdr:col>52</xdr:col>
      <xdr:colOff>136963</xdr:colOff>
      <xdr:row>31</xdr:row>
      <xdr:rowOff>5912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CxnSpPr/>
      </xdr:nvCxnSpPr>
      <xdr:spPr>
        <a:xfrm>
          <a:off x="8203653" y="6242159"/>
          <a:ext cx="0" cy="22104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209550</xdr:colOff>
      <xdr:row>45</xdr:row>
      <xdr:rowOff>0</xdr:rowOff>
    </xdr:from>
    <xdr:to>
      <xdr:col>51</xdr:col>
      <xdr:colOff>209550</xdr:colOff>
      <xdr:row>49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CxnSpPr/>
      </xdr:nvCxnSpPr>
      <xdr:spPr>
        <a:xfrm>
          <a:off x="8239125" y="959167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19050</xdr:colOff>
      <xdr:row>62</xdr:row>
      <xdr:rowOff>189843</xdr:rowOff>
    </xdr:from>
    <xdr:to>
      <xdr:col>52</xdr:col>
      <xdr:colOff>19050</xdr:colOff>
      <xdr:row>66</xdr:row>
      <xdr:rowOff>115342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CxnSpPr/>
      </xdr:nvCxnSpPr>
      <xdr:spPr>
        <a:xfrm>
          <a:off x="8085740" y="13222671"/>
          <a:ext cx="0" cy="49699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19050</xdr:colOff>
      <xdr:row>9</xdr:row>
      <xdr:rowOff>0</xdr:rowOff>
    </xdr:from>
    <xdr:to>
      <xdr:col>42</xdr:col>
      <xdr:colOff>19050</xdr:colOff>
      <xdr:row>12</xdr:row>
      <xdr:rowOff>114300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CxnSpPr/>
      </xdr:nvCxnSpPr>
      <xdr:spPr>
        <a:xfrm>
          <a:off x="6724650" y="2324100"/>
          <a:ext cx="0" cy="485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28355</xdr:colOff>
      <xdr:row>17</xdr:row>
      <xdr:rowOff>657</xdr:rowOff>
    </xdr:from>
    <xdr:to>
      <xdr:col>32</xdr:col>
      <xdr:colOff>31530</xdr:colOff>
      <xdr:row>20</xdr:row>
      <xdr:rowOff>6241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CxnSpPr/>
      </xdr:nvCxnSpPr>
      <xdr:spPr>
        <a:xfrm>
          <a:off x="5020769" y="4014295"/>
          <a:ext cx="3175" cy="38001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</xdr:colOff>
      <xdr:row>20</xdr:row>
      <xdr:rowOff>0</xdr:rowOff>
    </xdr:from>
    <xdr:to>
      <xdr:col>40</xdr:col>
      <xdr:colOff>219074</xdr:colOff>
      <xdr:row>20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CxnSpPr/>
      </xdr:nvCxnSpPr>
      <xdr:spPr>
        <a:xfrm flipH="1">
          <a:off x="5191125" y="4391025"/>
          <a:ext cx="1295399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219074</xdr:colOff>
      <xdr:row>19</xdr:row>
      <xdr:rowOff>120650</xdr:rowOff>
    </xdr:from>
    <xdr:to>
      <xdr:col>41</xdr:col>
      <xdr:colOff>0</xdr:colOff>
      <xdr:row>22</xdr:row>
      <xdr:rowOff>114300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CxnSpPr/>
      </xdr:nvCxnSpPr>
      <xdr:spPr>
        <a:xfrm flipH="1">
          <a:off x="6486524" y="4387850"/>
          <a:ext cx="1" cy="365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42</xdr:row>
      <xdr:rowOff>447675</xdr:rowOff>
    </xdr:from>
    <xdr:to>
      <xdr:col>29</xdr:col>
      <xdr:colOff>0</xdr:colOff>
      <xdr:row>42</xdr:row>
      <xdr:rowOff>457200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CxnSpPr/>
      </xdr:nvCxnSpPr>
      <xdr:spPr>
        <a:xfrm flipH="1" flipV="1">
          <a:off x="4371975" y="9039225"/>
          <a:ext cx="13335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47626</xdr:colOff>
      <xdr:row>42</xdr:row>
      <xdr:rowOff>457200</xdr:rowOff>
    </xdr:from>
    <xdr:to>
      <xdr:col>27</xdr:col>
      <xdr:colOff>9525</xdr:colOff>
      <xdr:row>64</xdr:row>
      <xdr:rowOff>104775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CxnSpPr/>
      </xdr:nvCxnSpPr>
      <xdr:spPr>
        <a:xfrm flipH="1">
          <a:off x="4381501" y="9048750"/>
          <a:ext cx="19049" cy="44100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149445</xdr:colOff>
      <xdr:row>64</xdr:row>
      <xdr:rowOff>98206</xdr:rowOff>
    </xdr:from>
    <xdr:to>
      <xdr:col>26</xdr:col>
      <xdr:colOff>44669</xdr:colOff>
      <xdr:row>64</xdr:row>
      <xdr:rowOff>98207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CxnSpPr/>
      </xdr:nvCxnSpPr>
      <xdr:spPr>
        <a:xfrm flipH="1">
          <a:off x="3604721" y="13452913"/>
          <a:ext cx="604672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153057</xdr:colOff>
      <xdr:row>64</xdr:row>
      <xdr:rowOff>85725</xdr:rowOff>
    </xdr:from>
    <xdr:to>
      <xdr:col>22</xdr:col>
      <xdr:colOff>153057</xdr:colOff>
      <xdr:row>67</xdr:row>
      <xdr:rowOff>9525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CxnSpPr/>
      </xdr:nvCxnSpPr>
      <xdr:spPr>
        <a:xfrm>
          <a:off x="3608333" y="13440432"/>
          <a:ext cx="0" cy="29823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14</xdr:row>
      <xdr:rowOff>361950</xdr:rowOff>
    </xdr:from>
    <xdr:to>
      <xdr:col>56</xdr:col>
      <xdr:colOff>47625</xdr:colOff>
      <xdr:row>14</xdr:row>
      <xdr:rowOff>361950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CxnSpPr/>
      </xdr:nvCxnSpPr>
      <xdr:spPr>
        <a:xfrm>
          <a:off x="8905875" y="3371850"/>
          <a:ext cx="10477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47625</xdr:colOff>
      <xdr:row>14</xdr:row>
      <xdr:rowOff>371475</xdr:rowOff>
    </xdr:from>
    <xdr:to>
      <xdr:col>57</xdr:col>
      <xdr:colOff>0</xdr:colOff>
      <xdr:row>19</xdr:row>
      <xdr:rowOff>38100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CxnSpPr/>
      </xdr:nvCxnSpPr>
      <xdr:spPr>
        <a:xfrm>
          <a:off x="9010650" y="3381375"/>
          <a:ext cx="9525" cy="9239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6569</xdr:colOff>
      <xdr:row>19</xdr:row>
      <xdr:rowOff>45982</xdr:rowOff>
    </xdr:from>
    <xdr:to>
      <xdr:col>66</xdr:col>
      <xdr:colOff>52552</xdr:colOff>
      <xdr:row>19</xdr:row>
      <xdr:rowOff>54851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CxnSpPr/>
      </xdr:nvCxnSpPr>
      <xdr:spPr>
        <a:xfrm>
          <a:off x="8841828" y="4309241"/>
          <a:ext cx="1524000" cy="886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9525</xdr:colOff>
      <xdr:row>19</xdr:row>
      <xdr:rowOff>47625</xdr:rowOff>
    </xdr:from>
    <xdr:to>
      <xdr:col>67</xdr:col>
      <xdr:colOff>9525</xdr:colOff>
      <xdr:row>38</xdr:row>
      <xdr:rowOff>19050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CxnSpPr/>
      </xdr:nvCxnSpPr>
      <xdr:spPr>
        <a:xfrm>
          <a:off x="10572750" y="4314825"/>
          <a:ext cx="0" cy="37338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209550</xdr:colOff>
      <xdr:row>38</xdr:row>
      <xdr:rowOff>19050</xdr:rowOff>
    </xdr:from>
    <xdr:to>
      <xdr:col>67</xdr:col>
      <xdr:colOff>9525</xdr:colOff>
      <xdr:row>38</xdr:row>
      <xdr:rowOff>28575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CxnSpPr/>
      </xdr:nvCxnSpPr>
      <xdr:spPr>
        <a:xfrm flipH="1">
          <a:off x="6696075" y="8048625"/>
          <a:ext cx="387667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5912</xdr:colOff>
      <xdr:row>38</xdr:row>
      <xdr:rowOff>27919</xdr:rowOff>
    </xdr:from>
    <xdr:to>
      <xdr:col>42</xdr:col>
      <xdr:colOff>13138</xdr:colOff>
      <xdr:row>40</xdr:row>
      <xdr:rowOff>114629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CxnSpPr/>
      </xdr:nvCxnSpPr>
      <xdr:spPr>
        <a:xfrm>
          <a:off x="6535464" y="8055195"/>
          <a:ext cx="7226" cy="33633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52553</xdr:colOff>
      <xdr:row>6</xdr:row>
      <xdr:rowOff>476250</xdr:rowOff>
    </xdr:from>
    <xdr:to>
      <xdr:col>49</xdr:col>
      <xdr:colOff>6569</xdr:colOff>
      <xdr:row>6</xdr:row>
      <xdr:rowOff>486104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CxnSpPr/>
      </xdr:nvCxnSpPr>
      <xdr:spPr>
        <a:xfrm flipH="1" flipV="1">
          <a:off x="7291553" y="1790043"/>
          <a:ext cx="131378" cy="985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47625</xdr:colOff>
      <xdr:row>6</xdr:row>
      <xdr:rowOff>476250</xdr:rowOff>
    </xdr:from>
    <xdr:to>
      <xdr:col>47</xdr:col>
      <xdr:colOff>19050</xdr:colOff>
      <xdr:row>47</xdr:row>
      <xdr:rowOff>57150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CxnSpPr/>
      </xdr:nvCxnSpPr>
      <xdr:spPr>
        <a:xfrm>
          <a:off x="7467600" y="1790700"/>
          <a:ext cx="28575" cy="81057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209550</xdr:colOff>
      <xdr:row>47</xdr:row>
      <xdr:rowOff>47625</xdr:rowOff>
    </xdr:from>
    <xdr:to>
      <xdr:col>47</xdr:col>
      <xdr:colOff>19050</xdr:colOff>
      <xdr:row>47</xdr:row>
      <xdr:rowOff>57150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CxnSpPr/>
      </xdr:nvCxnSpPr>
      <xdr:spPr>
        <a:xfrm flipH="1" flipV="1">
          <a:off x="5153025" y="9886950"/>
          <a:ext cx="234315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47</xdr:row>
      <xdr:rowOff>37444</xdr:rowOff>
    </xdr:from>
    <xdr:to>
      <xdr:col>32</xdr:col>
      <xdr:colOff>5912</xdr:colOff>
      <xdr:row>49</xdr:row>
      <xdr:rowOff>32845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CxnSpPr/>
      </xdr:nvCxnSpPr>
      <xdr:spPr>
        <a:xfrm flipH="1">
          <a:off x="4992414" y="9877754"/>
          <a:ext cx="5912" cy="24502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19706</xdr:colOff>
      <xdr:row>32</xdr:row>
      <xdr:rowOff>432238</xdr:rowOff>
    </xdr:from>
    <xdr:to>
      <xdr:col>58</xdr:col>
      <xdr:colOff>38757</xdr:colOff>
      <xdr:row>32</xdr:row>
      <xdr:rowOff>432238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CxnSpPr/>
      </xdr:nvCxnSpPr>
      <xdr:spPr>
        <a:xfrm flipH="1">
          <a:off x="8854965" y="7080031"/>
          <a:ext cx="78171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31531</xdr:colOff>
      <xdr:row>32</xdr:row>
      <xdr:rowOff>409575</xdr:rowOff>
    </xdr:from>
    <xdr:to>
      <xdr:col>57</xdr:col>
      <xdr:colOff>31531</xdr:colOff>
      <xdr:row>48</xdr:row>
      <xdr:rowOff>9525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CxnSpPr/>
      </xdr:nvCxnSpPr>
      <xdr:spPr>
        <a:xfrm>
          <a:off x="8866790" y="7057368"/>
          <a:ext cx="0" cy="291727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191814</xdr:colOff>
      <xdr:row>48</xdr:row>
      <xdr:rowOff>0</xdr:rowOff>
    </xdr:from>
    <xdr:to>
      <xdr:col>57</xdr:col>
      <xdr:colOff>48939</xdr:colOff>
      <xdr:row>48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CxnSpPr/>
      </xdr:nvCxnSpPr>
      <xdr:spPr>
        <a:xfrm flipH="1">
          <a:off x="6504590" y="9965121"/>
          <a:ext cx="2379608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194770</xdr:colOff>
      <xdr:row>48</xdr:row>
      <xdr:rowOff>0</xdr:rowOff>
    </xdr:from>
    <xdr:to>
      <xdr:col>41</xdr:col>
      <xdr:colOff>203638</xdr:colOff>
      <xdr:row>48</xdr:row>
      <xdr:rowOff>118241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CxnSpPr/>
      </xdr:nvCxnSpPr>
      <xdr:spPr>
        <a:xfrm>
          <a:off x="6507546" y="9965121"/>
          <a:ext cx="8868" cy="11824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216119</xdr:colOff>
      <xdr:row>65</xdr:row>
      <xdr:rowOff>60107</xdr:rowOff>
    </xdr:from>
    <xdr:to>
      <xdr:col>31</xdr:col>
      <xdr:colOff>197069</xdr:colOff>
      <xdr:row>65</xdr:row>
      <xdr:rowOff>79156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CxnSpPr/>
      </xdr:nvCxnSpPr>
      <xdr:spPr>
        <a:xfrm flipH="1" flipV="1">
          <a:off x="1917481" y="13539624"/>
          <a:ext cx="3055226" cy="1904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65</xdr:row>
      <xdr:rowOff>66675</xdr:rowOff>
    </xdr:from>
    <xdr:to>
      <xdr:col>12</xdr:col>
      <xdr:colOff>0</xdr:colOff>
      <xdr:row>67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CxnSpPr/>
      </xdr:nvCxnSpPr>
      <xdr:spPr>
        <a:xfrm>
          <a:off x="2076450" y="13544550"/>
          <a:ext cx="0" cy="1809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216119</xdr:colOff>
      <xdr:row>35</xdr:row>
      <xdr:rowOff>6569</xdr:rowOff>
    </xdr:from>
    <xdr:to>
      <xdr:col>22</xdr:col>
      <xdr:colOff>0</xdr:colOff>
      <xdr:row>36</xdr:row>
      <xdr:rowOff>114957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CxnSpPr/>
      </xdr:nvCxnSpPr>
      <xdr:spPr>
        <a:xfrm flipH="1">
          <a:off x="3454619" y="7659414"/>
          <a:ext cx="657" cy="23319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209550</xdr:colOff>
      <xdr:row>36</xdr:row>
      <xdr:rowOff>114300</xdr:rowOff>
    </xdr:from>
    <xdr:to>
      <xdr:col>62</xdr:col>
      <xdr:colOff>19050</xdr:colOff>
      <xdr:row>37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CxnSpPr/>
      </xdr:nvCxnSpPr>
      <xdr:spPr>
        <a:xfrm>
          <a:off x="3609975" y="7896225"/>
          <a:ext cx="620077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19050</xdr:colOff>
      <xdr:row>37</xdr:row>
      <xdr:rowOff>0</xdr:rowOff>
    </xdr:from>
    <xdr:to>
      <xdr:col>62</xdr:col>
      <xdr:colOff>19050</xdr:colOff>
      <xdr:row>40</xdr:row>
      <xdr:rowOff>114300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CxnSpPr/>
      </xdr:nvCxnSpPr>
      <xdr:spPr>
        <a:xfrm>
          <a:off x="9810750" y="7905750"/>
          <a:ext cx="0" cy="485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73901</xdr:colOff>
      <xdr:row>53</xdr:row>
      <xdr:rowOff>0</xdr:rowOff>
    </xdr:from>
    <xdr:to>
      <xdr:col>62</xdr:col>
      <xdr:colOff>73901</xdr:colOff>
      <xdr:row>55</xdr:row>
      <xdr:rowOff>28575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CxnSpPr/>
      </xdr:nvCxnSpPr>
      <xdr:spPr>
        <a:xfrm>
          <a:off x="9677729" y="11285483"/>
          <a:ext cx="0" cy="27819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200025</xdr:colOff>
      <xdr:row>55</xdr:row>
      <xdr:rowOff>19050</xdr:rowOff>
    </xdr:from>
    <xdr:to>
      <xdr:col>62</xdr:col>
      <xdr:colOff>76201</xdr:colOff>
      <xdr:row>55</xdr:row>
      <xdr:rowOff>19051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CxnSpPr/>
      </xdr:nvCxnSpPr>
      <xdr:spPr>
        <a:xfrm flipH="1" flipV="1">
          <a:off x="3600450" y="11553825"/>
          <a:ext cx="6267451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210207</xdr:colOff>
      <xdr:row>55</xdr:row>
      <xdr:rowOff>19050</xdr:rowOff>
    </xdr:from>
    <xdr:to>
      <xdr:col>21</xdr:col>
      <xdr:colOff>210207</xdr:colOff>
      <xdr:row>59</xdr:row>
      <xdr:rowOff>19050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CxnSpPr/>
      </xdr:nvCxnSpPr>
      <xdr:spPr>
        <a:xfrm>
          <a:off x="3448707" y="11554153"/>
          <a:ext cx="0" cy="49924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89338</xdr:colOff>
      <xdr:row>53</xdr:row>
      <xdr:rowOff>8868</xdr:rowOff>
    </xdr:from>
    <xdr:to>
      <xdr:col>51</xdr:col>
      <xdr:colOff>89338</xdr:colOff>
      <xdr:row>57</xdr:row>
      <xdr:rowOff>8868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CxnSpPr/>
      </xdr:nvCxnSpPr>
      <xdr:spPr>
        <a:xfrm>
          <a:off x="7939252" y="11294351"/>
          <a:ext cx="0" cy="49924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57</xdr:row>
      <xdr:rowOff>9525</xdr:rowOff>
    </xdr:from>
    <xdr:to>
      <xdr:col>51</xdr:col>
      <xdr:colOff>104775</xdr:colOff>
      <xdr:row>57</xdr:row>
      <xdr:rowOff>19050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CxnSpPr/>
      </xdr:nvCxnSpPr>
      <xdr:spPr>
        <a:xfrm flipH="1" flipV="1">
          <a:off x="5172075" y="11791950"/>
          <a:ext cx="296227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13138</xdr:colOff>
      <xdr:row>57</xdr:row>
      <xdr:rowOff>5912</xdr:rowOff>
    </xdr:from>
    <xdr:to>
      <xdr:col>32</xdr:col>
      <xdr:colOff>13138</xdr:colOff>
      <xdr:row>59</xdr:row>
      <xdr:rowOff>13138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CxnSpPr/>
      </xdr:nvCxnSpPr>
      <xdr:spPr>
        <a:xfrm>
          <a:off x="5005552" y="11790636"/>
          <a:ext cx="0" cy="25684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183931</xdr:colOff>
      <xdr:row>63</xdr:row>
      <xdr:rowOff>13137</xdr:rowOff>
    </xdr:from>
    <xdr:to>
      <xdr:col>31</xdr:col>
      <xdr:colOff>191158</xdr:colOff>
      <xdr:row>65</xdr:row>
      <xdr:rowOff>85725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C00-000041000000}"/>
            </a:ext>
          </a:extLst>
        </xdr:cNvPr>
        <xdr:cNvCxnSpPr/>
      </xdr:nvCxnSpPr>
      <xdr:spPr>
        <a:xfrm>
          <a:off x="4959569" y="13243034"/>
          <a:ext cx="7227" cy="32220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114300</xdr:colOff>
      <xdr:row>9</xdr:row>
      <xdr:rowOff>0</xdr:rowOff>
    </xdr:from>
    <xdr:to>
      <xdr:col>32</xdr:col>
      <xdr:colOff>117694</xdr:colOff>
      <xdr:row>10</xdr:row>
      <xdr:rowOff>22663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5326380" y="2286000"/>
          <a:ext cx="3394" cy="14458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104775</xdr:colOff>
      <xdr:row>10</xdr:row>
      <xdr:rowOff>19050</xdr:rowOff>
    </xdr:from>
    <xdr:to>
      <xdr:col>41</xdr:col>
      <xdr:colOff>206375</xdr:colOff>
      <xdr:row>10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CxnSpPr/>
      </xdr:nvCxnSpPr>
      <xdr:spPr>
        <a:xfrm flipH="1">
          <a:off x="5316855" y="2426970"/>
          <a:ext cx="14884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9</xdr:row>
      <xdr:rowOff>0</xdr:rowOff>
    </xdr:from>
    <xdr:to>
      <xdr:col>12</xdr:col>
      <xdr:colOff>15240</xdr:colOff>
      <xdr:row>12</xdr:row>
      <xdr:rowOff>118110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CxnSpPr/>
      </xdr:nvCxnSpPr>
      <xdr:spPr>
        <a:xfrm flipH="1">
          <a:off x="1988820" y="2286000"/>
          <a:ext cx="7620" cy="4838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205740</xdr:colOff>
      <xdr:row>10</xdr:row>
      <xdr:rowOff>30480</xdr:rowOff>
    </xdr:from>
    <xdr:to>
      <xdr:col>41</xdr:col>
      <xdr:colOff>209550</xdr:colOff>
      <xdr:row>13</xdr:row>
      <xdr:rowOff>1905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CxnSpPr/>
      </xdr:nvCxnSpPr>
      <xdr:spPr>
        <a:xfrm>
          <a:off x="6804660" y="2438400"/>
          <a:ext cx="3810" cy="3371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220980</xdr:colOff>
      <xdr:row>6</xdr:row>
      <xdr:rowOff>312420</xdr:rowOff>
    </xdr:from>
    <xdr:to>
      <xdr:col>18</xdr:col>
      <xdr:colOff>0</xdr:colOff>
      <xdr:row>6</xdr:row>
      <xdr:rowOff>312420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CxnSpPr/>
      </xdr:nvCxnSpPr>
      <xdr:spPr>
        <a:xfrm>
          <a:off x="2659380" y="1592580"/>
          <a:ext cx="1905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45720</xdr:colOff>
      <xdr:row>6</xdr:row>
      <xdr:rowOff>320040</xdr:rowOff>
    </xdr:from>
    <xdr:to>
      <xdr:col>18</xdr:col>
      <xdr:colOff>0</xdr:colOff>
      <xdr:row>65</xdr:row>
      <xdr:rowOff>15240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CxnSpPr/>
      </xdr:nvCxnSpPr>
      <xdr:spPr>
        <a:xfrm flipH="1" flipV="1">
          <a:off x="2834640" y="1600200"/>
          <a:ext cx="15240" cy="116433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65</xdr:row>
      <xdr:rowOff>0</xdr:rowOff>
    </xdr:from>
    <xdr:to>
      <xdr:col>32</xdr:col>
      <xdr:colOff>0</xdr:colOff>
      <xdr:row>65</xdr:row>
      <xdr:rowOff>7620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CxnSpPr/>
      </xdr:nvCxnSpPr>
      <xdr:spPr>
        <a:xfrm flipH="1" flipV="1">
          <a:off x="2849880" y="13228320"/>
          <a:ext cx="236220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217170</xdr:colOff>
      <xdr:row>65</xdr:row>
      <xdr:rowOff>7620</xdr:rowOff>
    </xdr:from>
    <xdr:to>
      <xdr:col>31</xdr:col>
      <xdr:colOff>220980</xdr:colOff>
      <xdr:row>67</xdr:row>
      <xdr:rowOff>9525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CxnSpPr/>
      </xdr:nvCxnSpPr>
      <xdr:spPr>
        <a:xfrm flipH="1">
          <a:off x="5200650" y="13235940"/>
          <a:ext cx="3810" cy="24574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213360</xdr:colOff>
      <xdr:row>20</xdr:row>
      <xdr:rowOff>15240</xdr:rowOff>
    </xdr:from>
    <xdr:to>
      <xdr:col>32</xdr:col>
      <xdr:colOff>7620</xdr:colOff>
      <xdr:row>20</xdr:row>
      <xdr:rowOff>15240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CxnSpPr/>
      </xdr:nvCxnSpPr>
      <xdr:spPr>
        <a:xfrm flipH="1">
          <a:off x="3581400" y="4328160"/>
          <a:ext cx="16383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7620</xdr:colOff>
      <xdr:row>20</xdr:row>
      <xdr:rowOff>15240</xdr:rowOff>
    </xdr:from>
    <xdr:to>
      <xdr:col>32</xdr:col>
      <xdr:colOff>11430</xdr:colOff>
      <xdr:row>22</xdr:row>
      <xdr:rowOff>108585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CxnSpPr/>
      </xdr:nvCxnSpPr>
      <xdr:spPr>
        <a:xfrm>
          <a:off x="5219700" y="4328160"/>
          <a:ext cx="3810" cy="3371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213360</xdr:colOff>
      <xdr:row>16</xdr:row>
      <xdr:rowOff>182880</xdr:rowOff>
    </xdr:from>
    <xdr:to>
      <xdr:col>11</xdr:col>
      <xdr:colOff>213360</xdr:colOff>
      <xdr:row>22</xdr:row>
      <xdr:rowOff>102870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CxnSpPr/>
      </xdr:nvCxnSpPr>
      <xdr:spPr>
        <a:xfrm>
          <a:off x="1965960" y="3939540"/>
          <a:ext cx="0" cy="7200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205740</xdr:colOff>
      <xdr:row>19</xdr:row>
      <xdr:rowOff>7620</xdr:rowOff>
    </xdr:from>
    <xdr:to>
      <xdr:col>56</xdr:col>
      <xdr:colOff>9525</xdr:colOff>
      <xdr:row>19</xdr:row>
      <xdr:rowOff>38100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CxnSpPr/>
      </xdr:nvCxnSpPr>
      <xdr:spPr>
        <a:xfrm flipH="1" flipV="1">
          <a:off x="1977390" y="4208145"/>
          <a:ext cx="7176135" cy="3048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7620</xdr:colOff>
      <xdr:row>19</xdr:row>
      <xdr:rowOff>22860</xdr:rowOff>
    </xdr:from>
    <xdr:to>
      <xdr:col>42</xdr:col>
      <xdr:colOff>11430</xdr:colOff>
      <xdr:row>22</xdr:row>
      <xdr:rowOff>116205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CxnSpPr/>
      </xdr:nvCxnSpPr>
      <xdr:spPr>
        <a:xfrm>
          <a:off x="6835140" y="4213860"/>
          <a:ext cx="3810" cy="4591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205740</xdr:colOff>
      <xdr:row>29</xdr:row>
      <xdr:rowOff>0</xdr:rowOff>
    </xdr:from>
    <xdr:to>
      <xdr:col>27</xdr:col>
      <xdr:colOff>15240</xdr:colOff>
      <xdr:row>29</xdr:row>
      <xdr:rowOff>7620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CxnSpPr/>
      </xdr:nvCxnSpPr>
      <xdr:spPr>
        <a:xfrm flipH="1">
          <a:off x="1958340" y="6096000"/>
          <a:ext cx="24612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3810</xdr:colOff>
      <xdr:row>29</xdr:row>
      <xdr:rowOff>7620</xdr:rowOff>
    </xdr:from>
    <xdr:to>
      <xdr:col>22</xdr:col>
      <xdr:colOff>7620</xdr:colOff>
      <xdr:row>30</xdr:row>
      <xdr:rowOff>116205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CxnSpPr/>
      </xdr:nvCxnSpPr>
      <xdr:spPr>
        <a:xfrm flipH="1">
          <a:off x="3600450" y="6103620"/>
          <a:ext cx="3810" cy="2305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17</xdr:row>
      <xdr:rowOff>0</xdr:rowOff>
    </xdr:from>
    <xdr:to>
      <xdr:col>44</xdr:col>
      <xdr:colOff>0</xdr:colOff>
      <xdr:row>19</xdr:row>
      <xdr:rowOff>99060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CxnSpPr/>
      </xdr:nvCxnSpPr>
      <xdr:spPr>
        <a:xfrm>
          <a:off x="7284720" y="3947160"/>
          <a:ext cx="0" cy="3429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213360</xdr:colOff>
      <xdr:row>19</xdr:row>
      <xdr:rowOff>106680</xdr:rowOff>
    </xdr:from>
    <xdr:to>
      <xdr:col>47</xdr:col>
      <xdr:colOff>0</xdr:colOff>
      <xdr:row>19</xdr:row>
      <xdr:rowOff>114300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CxnSpPr/>
      </xdr:nvCxnSpPr>
      <xdr:spPr>
        <a:xfrm flipH="1" flipV="1">
          <a:off x="7269480" y="4297680"/>
          <a:ext cx="3657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19</xdr:row>
      <xdr:rowOff>106680</xdr:rowOff>
    </xdr:from>
    <xdr:to>
      <xdr:col>47</xdr:col>
      <xdr:colOff>7620</xdr:colOff>
      <xdr:row>29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CxnSpPr/>
      </xdr:nvCxnSpPr>
      <xdr:spPr>
        <a:xfrm>
          <a:off x="7635240" y="4297680"/>
          <a:ext cx="7620" cy="17983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30480</xdr:colOff>
      <xdr:row>29</xdr:row>
      <xdr:rowOff>0</xdr:rowOff>
    </xdr:from>
    <xdr:to>
      <xdr:col>42</xdr:col>
      <xdr:colOff>34290</xdr:colOff>
      <xdr:row>31</xdr:row>
      <xdr:rowOff>1905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CxnSpPr/>
      </xdr:nvCxnSpPr>
      <xdr:spPr>
        <a:xfrm>
          <a:off x="6858000" y="6096000"/>
          <a:ext cx="3810" cy="24574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53340</xdr:colOff>
      <xdr:row>28</xdr:row>
      <xdr:rowOff>0</xdr:rowOff>
    </xdr:from>
    <xdr:to>
      <xdr:col>37</xdr:col>
      <xdr:colOff>7620</xdr:colOff>
      <xdr:row>46</xdr:row>
      <xdr:rowOff>53340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CxnSpPr/>
      </xdr:nvCxnSpPr>
      <xdr:spPr>
        <a:xfrm flipH="1">
          <a:off x="6012180" y="5974080"/>
          <a:ext cx="15240" cy="36195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7620</xdr:colOff>
      <xdr:row>29</xdr:row>
      <xdr:rowOff>0</xdr:rowOff>
    </xdr:from>
    <xdr:to>
      <xdr:col>27</xdr:col>
      <xdr:colOff>15240</xdr:colOff>
      <xdr:row>37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CxnSpPr/>
      </xdr:nvCxnSpPr>
      <xdr:spPr>
        <a:xfrm flipV="1">
          <a:off x="4411980" y="6096000"/>
          <a:ext cx="7620" cy="16611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15240</xdr:colOff>
      <xdr:row>37</xdr:row>
      <xdr:rowOff>0</xdr:rowOff>
    </xdr:from>
    <xdr:to>
      <xdr:col>52</xdr:col>
      <xdr:colOff>7620</xdr:colOff>
      <xdr:row>37</xdr:row>
      <xdr:rowOff>7620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CxnSpPr/>
      </xdr:nvCxnSpPr>
      <xdr:spPr>
        <a:xfrm flipH="1" flipV="1">
          <a:off x="4419600" y="7757160"/>
          <a:ext cx="403098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7620</xdr:colOff>
      <xdr:row>37</xdr:row>
      <xdr:rowOff>15240</xdr:rowOff>
    </xdr:from>
    <xdr:to>
      <xdr:col>52</xdr:col>
      <xdr:colOff>7620</xdr:colOff>
      <xdr:row>41</xdr:row>
      <xdr:rowOff>9525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CxnSpPr/>
      </xdr:nvCxnSpPr>
      <xdr:spPr>
        <a:xfrm>
          <a:off x="8450580" y="7772400"/>
          <a:ext cx="0" cy="4819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167640</xdr:colOff>
      <xdr:row>46</xdr:row>
      <xdr:rowOff>45720</xdr:rowOff>
    </xdr:from>
    <xdr:to>
      <xdr:col>36</xdr:col>
      <xdr:colOff>38100</xdr:colOff>
      <xdr:row>46</xdr:row>
      <xdr:rowOff>45720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CxnSpPr/>
      </xdr:nvCxnSpPr>
      <xdr:spPr>
        <a:xfrm flipH="1">
          <a:off x="5151120" y="9585960"/>
          <a:ext cx="8458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175260</xdr:colOff>
      <xdr:row>46</xdr:row>
      <xdr:rowOff>45720</xdr:rowOff>
    </xdr:from>
    <xdr:to>
      <xdr:col>31</xdr:col>
      <xdr:colOff>182880</xdr:colOff>
      <xdr:row>48</xdr:row>
      <xdr:rowOff>116205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CxnSpPr/>
      </xdr:nvCxnSpPr>
      <xdr:spPr>
        <a:xfrm flipH="1">
          <a:off x="5158740" y="9585960"/>
          <a:ext cx="7620" cy="3143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45</xdr:row>
      <xdr:rowOff>0</xdr:rowOff>
    </xdr:from>
    <xdr:to>
      <xdr:col>29</xdr:col>
      <xdr:colOff>190500</xdr:colOff>
      <xdr:row>47</xdr:row>
      <xdr:rowOff>114300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CxnSpPr/>
      </xdr:nvCxnSpPr>
      <xdr:spPr>
        <a:xfrm flipV="1">
          <a:off x="4716780" y="941832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220980</xdr:colOff>
      <xdr:row>55</xdr:row>
      <xdr:rowOff>114300</xdr:rowOff>
    </xdr:from>
    <xdr:to>
      <xdr:col>42</xdr:col>
      <xdr:colOff>45720</xdr:colOff>
      <xdr:row>56</xdr:row>
      <xdr:rowOff>7620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CxnSpPr/>
      </xdr:nvCxnSpPr>
      <xdr:spPr>
        <a:xfrm>
          <a:off x="1973580" y="11437620"/>
          <a:ext cx="4899660" cy="152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220980</xdr:colOff>
      <xdr:row>56</xdr:row>
      <xdr:rowOff>7620</xdr:rowOff>
    </xdr:from>
    <xdr:to>
      <xdr:col>11</xdr:col>
      <xdr:colOff>220980</xdr:colOff>
      <xdr:row>59</xdr:row>
      <xdr:rowOff>9525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CxnSpPr/>
      </xdr:nvCxnSpPr>
      <xdr:spPr>
        <a:xfrm>
          <a:off x="1973580" y="11452860"/>
          <a:ext cx="0" cy="3676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45720</xdr:colOff>
      <xdr:row>56</xdr:row>
      <xdr:rowOff>0</xdr:rowOff>
    </xdr:from>
    <xdr:to>
      <xdr:col>42</xdr:col>
      <xdr:colOff>45720</xdr:colOff>
      <xdr:row>59</xdr:row>
      <xdr:rowOff>1905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CxnSpPr/>
      </xdr:nvCxnSpPr>
      <xdr:spPr>
        <a:xfrm>
          <a:off x="6873240" y="11445240"/>
          <a:ext cx="0" cy="3676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213360</xdr:colOff>
      <xdr:row>62</xdr:row>
      <xdr:rowOff>175260</xdr:rowOff>
    </xdr:from>
    <xdr:to>
      <xdr:col>11</xdr:col>
      <xdr:colOff>213360</xdr:colOff>
      <xdr:row>67</xdr:row>
      <xdr:rowOff>1905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CxnSpPr/>
      </xdr:nvCxnSpPr>
      <xdr:spPr>
        <a:xfrm>
          <a:off x="1965960" y="12969240"/>
          <a:ext cx="0" cy="5048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213360</xdr:colOff>
      <xdr:row>17</xdr:row>
      <xdr:rowOff>15240</xdr:rowOff>
    </xdr:from>
    <xdr:to>
      <xdr:col>21</xdr:col>
      <xdr:colOff>220980</xdr:colOff>
      <xdr:row>20</xdr:row>
      <xdr:rowOff>22860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CxnSpPr/>
      </xdr:nvCxnSpPr>
      <xdr:spPr>
        <a:xfrm flipH="1">
          <a:off x="3581400" y="3962400"/>
          <a:ext cx="7620" cy="37338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30480</xdr:colOff>
      <xdr:row>28</xdr:row>
      <xdr:rowOff>114300</xdr:rowOff>
    </xdr:from>
    <xdr:to>
      <xdr:col>47</xdr:col>
      <xdr:colOff>15240</xdr:colOff>
      <xdr:row>29</xdr:row>
      <xdr:rowOff>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CxnSpPr/>
      </xdr:nvCxnSpPr>
      <xdr:spPr>
        <a:xfrm flipV="1">
          <a:off x="6858000" y="6088380"/>
          <a:ext cx="79248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27</xdr:row>
      <xdr:rowOff>114300</xdr:rowOff>
    </xdr:from>
    <xdr:to>
      <xdr:col>37</xdr:col>
      <xdr:colOff>0</xdr:colOff>
      <xdr:row>28</xdr:row>
      <xdr:rowOff>15240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D00-000045000000}"/>
            </a:ext>
          </a:extLst>
        </xdr:cNvPr>
        <xdr:cNvCxnSpPr/>
      </xdr:nvCxnSpPr>
      <xdr:spPr>
        <a:xfrm flipV="1">
          <a:off x="2171700" y="5966460"/>
          <a:ext cx="3848100" cy="228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</xdr:colOff>
      <xdr:row>19</xdr:row>
      <xdr:rowOff>15240</xdr:rowOff>
    </xdr:from>
    <xdr:to>
      <xdr:col>16</xdr:col>
      <xdr:colOff>30480</xdr:colOff>
      <xdr:row>28</xdr:row>
      <xdr:rowOff>15240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D00-000047000000}"/>
            </a:ext>
          </a:extLst>
        </xdr:cNvPr>
        <xdr:cNvCxnSpPr/>
      </xdr:nvCxnSpPr>
      <xdr:spPr>
        <a:xfrm flipH="1">
          <a:off x="2750820" y="4206240"/>
          <a:ext cx="7620" cy="178308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213360</xdr:colOff>
      <xdr:row>26</xdr:row>
      <xdr:rowOff>175260</xdr:rowOff>
    </xdr:from>
    <xdr:to>
      <xdr:col>11</xdr:col>
      <xdr:colOff>220980</xdr:colOff>
      <xdr:row>29</xdr:row>
      <xdr:rowOff>15240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D00-000049000000}"/>
            </a:ext>
          </a:extLst>
        </xdr:cNvPr>
        <xdr:cNvCxnSpPr/>
      </xdr:nvCxnSpPr>
      <xdr:spPr>
        <a:xfrm flipH="1">
          <a:off x="1965960" y="5836920"/>
          <a:ext cx="7620" cy="2743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205740</xdr:colOff>
      <xdr:row>28</xdr:row>
      <xdr:rowOff>22860</xdr:rowOff>
    </xdr:from>
    <xdr:to>
      <xdr:col>12</xdr:col>
      <xdr:colOff>205740</xdr:colOff>
      <xdr:row>30</xdr:row>
      <xdr:rowOff>108585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0D00-000052000000}"/>
            </a:ext>
          </a:extLst>
        </xdr:cNvPr>
        <xdr:cNvCxnSpPr/>
      </xdr:nvCxnSpPr>
      <xdr:spPr>
        <a:xfrm>
          <a:off x="2186940" y="5996940"/>
          <a:ext cx="0" cy="3295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</xdr:colOff>
      <xdr:row>27</xdr:row>
      <xdr:rowOff>0</xdr:rowOff>
    </xdr:from>
    <xdr:to>
      <xdr:col>23</xdr:col>
      <xdr:colOff>38100</xdr:colOff>
      <xdr:row>29</xdr:row>
      <xdr:rowOff>99060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D00-000054000000}"/>
            </a:ext>
          </a:extLst>
        </xdr:cNvPr>
        <xdr:cNvCxnSpPr/>
      </xdr:nvCxnSpPr>
      <xdr:spPr>
        <a:xfrm>
          <a:off x="3863340" y="5852160"/>
          <a:ext cx="0" cy="3429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45720</xdr:colOff>
      <xdr:row>29</xdr:row>
      <xdr:rowOff>91440</xdr:rowOff>
    </xdr:from>
    <xdr:to>
      <xdr:col>32</xdr:col>
      <xdr:colOff>38100</xdr:colOff>
      <xdr:row>29</xdr:row>
      <xdr:rowOff>99060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D00-000056000000}"/>
            </a:ext>
          </a:extLst>
        </xdr:cNvPr>
        <xdr:cNvCxnSpPr/>
      </xdr:nvCxnSpPr>
      <xdr:spPr>
        <a:xfrm flipV="1">
          <a:off x="3870960" y="6187440"/>
          <a:ext cx="137922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15240</xdr:colOff>
      <xdr:row>29</xdr:row>
      <xdr:rowOff>83820</xdr:rowOff>
    </xdr:from>
    <xdr:to>
      <xdr:col>32</xdr:col>
      <xdr:colOff>22860</xdr:colOff>
      <xdr:row>31</xdr:row>
      <xdr:rowOff>1905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00000000-0008-0000-0D00-00005B000000}"/>
            </a:ext>
          </a:extLst>
        </xdr:cNvPr>
        <xdr:cNvCxnSpPr/>
      </xdr:nvCxnSpPr>
      <xdr:spPr>
        <a:xfrm flipH="1">
          <a:off x="5227320" y="6179820"/>
          <a:ext cx="7620" cy="1619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213360</xdr:colOff>
      <xdr:row>35</xdr:row>
      <xdr:rowOff>7620</xdr:rowOff>
    </xdr:from>
    <xdr:to>
      <xdr:col>31</xdr:col>
      <xdr:colOff>213360</xdr:colOff>
      <xdr:row>38</xdr:row>
      <xdr:rowOff>68580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D00-00005E000000}"/>
            </a:ext>
          </a:extLst>
        </xdr:cNvPr>
        <xdr:cNvCxnSpPr/>
      </xdr:nvCxnSpPr>
      <xdr:spPr>
        <a:xfrm>
          <a:off x="5196840" y="7520940"/>
          <a:ext cx="0" cy="4267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220980</xdr:colOff>
      <xdr:row>38</xdr:row>
      <xdr:rowOff>60960</xdr:rowOff>
    </xdr:from>
    <xdr:to>
      <xdr:col>31</xdr:col>
      <xdr:colOff>213360</xdr:colOff>
      <xdr:row>38</xdr:row>
      <xdr:rowOff>68580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D00-000060000000}"/>
            </a:ext>
          </a:extLst>
        </xdr:cNvPr>
        <xdr:cNvCxnSpPr/>
      </xdr:nvCxnSpPr>
      <xdr:spPr>
        <a:xfrm flipH="1" flipV="1">
          <a:off x="1973580" y="7940040"/>
          <a:ext cx="32232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220980</xdr:colOff>
      <xdr:row>38</xdr:row>
      <xdr:rowOff>60960</xdr:rowOff>
    </xdr:from>
    <xdr:to>
      <xdr:col>12</xdr:col>
      <xdr:colOff>0</xdr:colOff>
      <xdr:row>40</xdr:row>
      <xdr:rowOff>108585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00000000-0008-0000-0D00-000063000000}"/>
            </a:ext>
          </a:extLst>
        </xdr:cNvPr>
        <xdr:cNvCxnSpPr/>
      </xdr:nvCxnSpPr>
      <xdr:spPr>
        <a:xfrm flipH="1">
          <a:off x="1973580" y="7940040"/>
          <a:ext cx="7620" cy="2914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</xdr:colOff>
      <xdr:row>27</xdr:row>
      <xdr:rowOff>0</xdr:rowOff>
    </xdr:from>
    <xdr:to>
      <xdr:col>41</xdr:col>
      <xdr:colOff>7620</xdr:colOff>
      <xdr:row>28</xdr:row>
      <xdr:rowOff>76200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0D00-000065000000}"/>
            </a:ext>
          </a:extLst>
        </xdr:cNvPr>
        <xdr:cNvCxnSpPr/>
      </xdr:nvCxnSpPr>
      <xdr:spPr>
        <a:xfrm>
          <a:off x="6606540" y="5852160"/>
          <a:ext cx="0" cy="1981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53340</xdr:colOff>
      <xdr:row>28</xdr:row>
      <xdr:rowOff>76200</xdr:rowOff>
    </xdr:from>
    <xdr:to>
      <xdr:col>41</xdr:col>
      <xdr:colOff>22860</xdr:colOff>
      <xdr:row>28</xdr:row>
      <xdr:rowOff>83820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D00-000067000000}"/>
            </a:ext>
          </a:extLst>
        </xdr:cNvPr>
        <xdr:cNvCxnSpPr/>
      </xdr:nvCxnSpPr>
      <xdr:spPr>
        <a:xfrm flipV="1">
          <a:off x="5951220" y="6050280"/>
          <a:ext cx="6705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45720</xdr:colOff>
      <xdr:row>28</xdr:row>
      <xdr:rowOff>91440</xdr:rowOff>
    </xdr:from>
    <xdr:to>
      <xdr:col>36</xdr:col>
      <xdr:colOff>0</xdr:colOff>
      <xdr:row>38</xdr:row>
      <xdr:rowOff>106680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D00-000069000000}"/>
            </a:ext>
          </a:extLst>
        </xdr:cNvPr>
        <xdr:cNvCxnSpPr/>
      </xdr:nvCxnSpPr>
      <xdr:spPr>
        <a:xfrm flipH="1">
          <a:off x="5943600" y="6065520"/>
          <a:ext cx="15240" cy="19202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45720</xdr:colOff>
      <xdr:row>38</xdr:row>
      <xdr:rowOff>99060</xdr:rowOff>
    </xdr:from>
    <xdr:to>
      <xdr:col>35</xdr:col>
      <xdr:colOff>30480</xdr:colOff>
      <xdr:row>38</xdr:row>
      <xdr:rowOff>106680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00000000-0008-0000-0D00-00006B000000}"/>
            </a:ext>
          </a:extLst>
        </xdr:cNvPr>
        <xdr:cNvCxnSpPr/>
      </xdr:nvCxnSpPr>
      <xdr:spPr>
        <a:xfrm flipV="1">
          <a:off x="5257800" y="7978140"/>
          <a:ext cx="6705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</xdr:colOff>
      <xdr:row>38</xdr:row>
      <xdr:rowOff>114300</xdr:rowOff>
    </xdr:from>
    <xdr:to>
      <xdr:col>32</xdr:col>
      <xdr:colOff>38100</xdr:colOff>
      <xdr:row>40</xdr:row>
      <xdr:rowOff>108585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00000000-0008-0000-0D00-00006C000000}"/>
            </a:ext>
          </a:extLst>
        </xdr:cNvPr>
        <xdr:cNvCxnSpPr/>
      </xdr:nvCxnSpPr>
      <xdr:spPr>
        <a:xfrm>
          <a:off x="5250180" y="7993380"/>
          <a:ext cx="0" cy="238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29</xdr:row>
      <xdr:rowOff>0</xdr:rowOff>
    </xdr:from>
    <xdr:to>
      <xdr:col>16</xdr:col>
      <xdr:colOff>15240</xdr:colOff>
      <xdr:row>47</xdr:row>
      <xdr:rowOff>76200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00000000-0008-0000-0D00-000076000000}"/>
            </a:ext>
          </a:extLst>
        </xdr:cNvPr>
        <xdr:cNvCxnSpPr/>
      </xdr:nvCxnSpPr>
      <xdr:spPr>
        <a:xfrm flipH="1">
          <a:off x="2727960" y="6096000"/>
          <a:ext cx="15240" cy="36423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121920</xdr:colOff>
      <xdr:row>47</xdr:row>
      <xdr:rowOff>60960</xdr:rowOff>
    </xdr:from>
    <xdr:to>
      <xdr:col>15</xdr:col>
      <xdr:colOff>53340</xdr:colOff>
      <xdr:row>47</xdr:row>
      <xdr:rowOff>60960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00000000-0008-0000-0D00-000078000000}"/>
            </a:ext>
          </a:extLst>
        </xdr:cNvPr>
        <xdr:cNvCxnSpPr/>
      </xdr:nvCxnSpPr>
      <xdr:spPr>
        <a:xfrm flipH="1">
          <a:off x="1874520" y="9723120"/>
          <a:ext cx="8458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129540</xdr:colOff>
      <xdr:row>47</xdr:row>
      <xdr:rowOff>68580</xdr:rowOff>
    </xdr:from>
    <xdr:to>
      <xdr:col>11</xdr:col>
      <xdr:colOff>137160</xdr:colOff>
      <xdr:row>48</xdr:row>
      <xdr:rowOff>108585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D00-000079000000}"/>
            </a:ext>
          </a:extLst>
        </xdr:cNvPr>
        <xdr:cNvCxnSpPr/>
      </xdr:nvCxnSpPr>
      <xdr:spPr>
        <a:xfrm flipH="1">
          <a:off x="1882140" y="9730740"/>
          <a:ext cx="7620" cy="1619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</xdr:colOff>
      <xdr:row>45</xdr:row>
      <xdr:rowOff>0</xdr:rowOff>
    </xdr:from>
    <xdr:to>
      <xdr:col>12</xdr:col>
      <xdr:colOff>30480</xdr:colOff>
      <xdr:row>45</xdr:row>
      <xdr:rowOff>106680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D00-00007B000000}"/>
            </a:ext>
          </a:extLst>
        </xdr:cNvPr>
        <xdr:cNvCxnSpPr/>
      </xdr:nvCxnSpPr>
      <xdr:spPr>
        <a:xfrm flipH="1" flipV="1">
          <a:off x="2004060" y="9418320"/>
          <a:ext cx="7620" cy="10668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</xdr:colOff>
      <xdr:row>45</xdr:row>
      <xdr:rowOff>83820</xdr:rowOff>
    </xdr:from>
    <xdr:to>
      <xdr:col>51</xdr:col>
      <xdr:colOff>213360</xdr:colOff>
      <xdr:row>45</xdr:row>
      <xdr:rowOff>91440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0000000-0008-0000-0D00-00007E000000}"/>
            </a:ext>
          </a:extLst>
        </xdr:cNvPr>
        <xdr:cNvCxnSpPr/>
      </xdr:nvCxnSpPr>
      <xdr:spPr>
        <a:xfrm flipH="1" flipV="1">
          <a:off x="1996440" y="9502140"/>
          <a:ext cx="643128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190500</xdr:colOff>
      <xdr:row>45</xdr:row>
      <xdr:rowOff>106680</xdr:rowOff>
    </xdr:from>
    <xdr:to>
      <xdr:col>51</xdr:col>
      <xdr:colOff>190500</xdr:colOff>
      <xdr:row>48</xdr:row>
      <xdr:rowOff>116205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D00-000082000000}"/>
            </a:ext>
          </a:extLst>
        </xdr:cNvPr>
        <xdr:cNvCxnSpPr/>
      </xdr:nvCxnSpPr>
      <xdr:spPr>
        <a:xfrm>
          <a:off x="8404860" y="9525000"/>
          <a:ext cx="0" cy="3752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53340</xdr:colOff>
      <xdr:row>47</xdr:row>
      <xdr:rowOff>106680</xdr:rowOff>
    </xdr:from>
    <xdr:to>
      <xdr:col>29</xdr:col>
      <xdr:colOff>182880</xdr:colOff>
      <xdr:row>47</xdr:row>
      <xdr:rowOff>106680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00000000-0008-0000-0D00-000085000000}"/>
            </a:ext>
          </a:extLst>
        </xdr:cNvPr>
        <xdr:cNvCxnSpPr/>
      </xdr:nvCxnSpPr>
      <xdr:spPr>
        <a:xfrm flipH="1">
          <a:off x="4396740" y="9768840"/>
          <a:ext cx="3124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47</xdr:row>
      <xdr:rowOff>91440</xdr:rowOff>
    </xdr:from>
    <xdr:to>
      <xdr:col>26</xdr:col>
      <xdr:colOff>53340</xdr:colOff>
      <xdr:row>56</xdr:row>
      <xdr:rowOff>0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00000000-0008-0000-0D00-000089000000}"/>
            </a:ext>
          </a:extLst>
        </xdr:cNvPr>
        <xdr:cNvCxnSpPr/>
      </xdr:nvCxnSpPr>
      <xdr:spPr>
        <a:xfrm flipV="1">
          <a:off x="4381500" y="9753600"/>
          <a:ext cx="15240" cy="16916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</xdr:colOff>
      <xdr:row>53</xdr:row>
      <xdr:rowOff>22860</xdr:rowOff>
    </xdr:from>
    <xdr:to>
      <xdr:col>12</xdr:col>
      <xdr:colOff>30480</xdr:colOff>
      <xdr:row>54</xdr:row>
      <xdr:rowOff>91440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00000000-0008-0000-0D00-00008C000000}"/>
            </a:ext>
          </a:extLst>
        </xdr:cNvPr>
        <xdr:cNvCxnSpPr/>
      </xdr:nvCxnSpPr>
      <xdr:spPr>
        <a:xfrm flipV="1">
          <a:off x="2011680" y="11102340"/>
          <a:ext cx="0" cy="1905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45720</xdr:colOff>
      <xdr:row>54</xdr:row>
      <xdr:rowOff>83820</xdr:rowOff>
    </xdr:from>
    <xdr:to>
      <xdr:col>22</xdr:col>
      <xdr:colOff>15240</xdr:colOff>
      <xdr:row>54</xdr:row>
      <xdr:rowOff>83820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00000000-0008-0000-0D00-00008E000000}"/>
            </a:ext>
          </a:extLst>
        </xdr:cNvPr>
        <xdr:cNvCxnSpPr/>
      </xdr:nvCxnSpPr>
      <xdr:spPr>
        <a:xfrm flipH="1">
          <a:off x="2026920" y="11285220"/>
          <a:ext cx="158496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54</xdr:row>
      <xdr:rowOff>91440</xdr:rowOff>
    </xdr:from>
    <xdr:to>
      <xdr:col>22</xdr:col>
      <xdr:colOff>0</xdr:colOff>
      <xdr:row>58</xdr:row>
      <xdr:rowOff>108585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D00-000090000000}"/>
            </a:ext>
          </a:extLst>
        </xdr:cNvPr>
        <xdr:cNvCxnSpPr/>
      </xdr:nvCxnSpPr>
      <xdr:spPr>
        <a:xfrm>
          <a:off x="3596640" y="11292840"/>
          <a:ext cx="0" cy="5048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15240</xdr:colOff>
      <xdr:row>63</xdr:row>
      <xdr:rowOff>22860</xdr:rowOff>
    </xdr:from>
    <xdr:to>
      <xdr:col>31</xdr:col>
      <xdr:colOff>15240</xdr:colOff>
      <xdr:row>64</xdr:row>
      <xdr:rowOff>91440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00000000-0008-0000-0D00-000094000000}"/>
            </a:ext>
          </a:extLst>
        </xdr:cNvPr>
        <xdr:cNvCxnSpPr/>
      </xdr:nvCxnSpPr>
      <xdr:spPr>
        <a:xfrm flipV="1">
          <a:off x="4998720" y="13007340"/>
          <a:ext cx="0" cy="1905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</xdr:colOff>
      <xdr:row>64</xdr:row>
      <xdr:rowOff>76200</xdr:rowOff>
    </xdr:from>
    <xdr:to>
      <xdr:col>31</xdr:col>
      <xdr:colOff>0</xdr:colOff>
      <xdr:row>64</xdr:row>
      <xdr:rowOff>76200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00000000-0008-0000-0D00-000095000000}"/>
            </a:ext>
          </a:extLst>
        </xdr:cNvPr>
        <xdr:cNvCxnSpPr/>
      </xdr:nvCxnSpPr>
      <xdr:spPr>
        <a:xfrm flipH="1">
          <a:off x="3604260" y="13182600"/>
          <a:ext cx="13792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64</xdr:row>
      <xdr:rowOff>83820</xdr:rowOff>
    </xdr:from>
    <xdr:to>
      <xdr:col>22</xdr:col>
      <xdr:colOff>0</xdr:colOff>
      <xdr:row>67</xdr:row>
      <xdr:rowOff>9525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00000000-0008-0000-0D00-000097000000}"/>
            </a:ext>
          </a:extLst>
        </xdr:cNvPr>
        <xdr:cNvCxnSpPr/>
      </xdr:nvCxnSpPr>
      <xdr:spPr>
        <a:xfrm>
          <a:off x="3596640" y="13190220"/>
          <a:ext cx="0" cy="2914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7620</xdr:colOff>
      <xdr:row>19</xdr:row>
      <xdr:rowOff>47625</xdr:rowOff>
    </xdr:from>
    <xdr:to>
      <xdr:col>56</xdr:col>
      <xdr:colOff>9525</xdr:colOff>
      <xdr:row>29</xdr:row>
      <xdr:rowOff>57150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D443CBB-F630-4338-873D-5C70B17107F5}"/>
            </a:ext>
          </a:extLst>
        </xdr:cNvPr>
        <xdr:cNvCxnSpPr/>
      </xdr:nvCxnSpPr>
      <xdr:spPr>
        <a:xfrm>
          <a:off x="9151620" y="4248150"/>
          <a:ext cx="1905" cy="19240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29</xdr:row>
      <xdr:rowOff>66675</xdr:rowOff>
    </xdr:from>
    <xdr:to>
      <xdr:col>61</xdr:col>
      <xdr:colOff>152400</xdr:colOff>
      <xdr:row>29</xdr:row>
      <xdr:rowOff>66675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98BE3AFB-3AB6-41D5-9065-A8BDEA6274F5}"/>
            </a:ext>
          </a:extLst>
        </xdr:cNvPr>
        <xdr:cNvCxnSpPr/>
      </xdr:nvCxnSpPr>
      <xdr:spPr>
        <a:xfrm>
          <a:off x="9144000" y="6181725"/>
          <a:ext cx="7810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152400</xdr:colOff>
      <xdr:row>29</xdr:row>
      <xdr:rowOff>57150</xdr:rowOff>
    </xdr:from>
    <xdr:to>
      <xdr:col>61</xdr:col>
      <xdr:colOff>156210</xdr:colOff>
      <xdr:row>31</xdr:row>
      <xdr:rowOff>30480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773EE1AB-53C1-4F8C-BA64-F60D2ACE3A36}"/>
            </a:ext>
          </a:extLst>
        </xdr:cNvPr>
        <xdr:cNvCxnSpPr/>
      </xdr:nvCxnSpPr>
      <xdr:spPr>
        <a:xfrm>
          <a:off x="9925050" y="6172200"/>
          <a:ext cx="3810" cy="2209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190500</xdr:colOff>
      <xdr:row>39</xdr:row>
      <xdr:rowOff>38100</xdr:rowOff>
    </xdr:from>
    <xdr:to>
      <xdr:col>41</xdr:col>
      <xdr:colOff>190500</xdr:colOff>
      <xdr:row>41</xdr:row>
      <xdr:rowOff>17145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535F885D-1340-4A5C-BB94-C8CA1439C161}"/>
            </a:ext>
          </a:extLst>
        </xdr:cNvPr>
        <xdr:cNvCxnSpPr/>
      </xdr:nvCxnSpPr>
      <xdr:spPr>
        <a:xfrm>
          <a:off x="6762750" y="8067675"/>
          <a:ext cx="0" cy="2266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190500</xdr:colOff>
      <xdr:row>39</xdr:row>
      <xdr:rowOff>47625</xdr:rowOff>
    </xdr:from>
    <xdr:to>
      <xdr:col>62</xdr:col>
      <xdr:colOff>38100</xdr:colOff>
      <xdr:row>39</xdr:row>
      <xdr:rowOff>47625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CD676213-DCD5-4AEB-B52A-2FA269E8E205}"/>
            </a:ext>
          </a:extLst>
        </xdr:cNvPr>
        <xdr:cNvCxnSpPr/>
      </xdr:nvCxnSpPr>
      <xdr:spPr>
        <a:xfrm flipH="1">
          <a:off x="6762750" y="8077200"/>
          <a:ext cx="32766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47625</xdr:colOff>
      <xdr:row>35</xdr:row>
      <xdr:rowOff>9525</xdr:rowOff>
    </xdr:from>
    <xdr:to>
      <xdr:col>62</xdr:col>
      <xdr:colOff>47625</xdr:colOff>
      <xdr:row>39</xdr:row>
      <xdr:rowOff>51435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BB4427A9-7EB3-448A-AE8F-241E21B99122}"/>
            </a:ext>
          </a:extLst>
        </xdr:cNvPr>
        <xdr:cNvCxnSpPr/>
      </xdr:nvCxnSpPr>
      <xdr:spPr>
        <a:xfrm>
          <a:off x="10048875" y="7543800"/>
          <a:ext cx="0" cy="53721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123825</xdr:colOff>
      <xdr:row>46</xdr:row>
      <xdr:rowOff>66675</xdr:rowOff>
    </xdr:from>
    <xdr:to>
      <xdr:col>22</xdr:col>
      <xdr:colOff>131445</xdr:colOff>
      <xdr:row>48</xdr:row>
      <xdr:rowOff>114300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9BBCFED3-31C3-4AB7-816A-30FE74945F4B}"/>
            </a:ext>
          </a:extLst>
        </xdr:cNvPr>
        <xdr:cNvCxnSpPr/>
      </xdr:nvCxnSpPr>
      <xdr:spPr>
        <a:xfrm flipH="1">
          <a:off x="3724275" y="9639300"/>
          <a:ext cx="7620" cy="2952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133350</xdr:colOff>
      <xdr:row>46</xdr:row>
      <xdr:rowOff>85725</xdr:rowOff>
    </xdr:from>
    <xdr:to>
      <xdr:col>26</xdr:col>
      <xdr:colOff>38100</xdr:colOff>
      <xdr:row>46</xdr:row>
      <xdr:rowOff>85725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10289B6-E307-4950-A2F7-CAE82C2B4752}"/>
            </a:ext>
          </a:extLst>
        </xdr:cNvPr>
        <xdr:cNvCxnSpPr/>
      </xdr:nvCxnSpPr>
      <xdr:spPr>
        <a:xfrm flipH="1">
          <a:off x="3733800" y="9658350"/>
          <a:ext cx="6477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37</xdr:row>
      <xdr:rowOff>104775</xdr:rowOff>
    </xdr:from>
    <xdr:to>
      <xdr:col>26</xdr:col>
      <xdr:colOff>47625</xdr:colOff>
      <xdr:row>46</xdr:row>
      <xdr:rowOff>85725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1C74BE4-6141-4F8F-9863-8AC0A0C39AF3}"/>
            </a:ext>
          </a:extLst>
        </xdr:cNvPr>
        <xdr:cNvCxnSpPr/>
      </xdr:nvCxnSpPr>
      <xdr:spPr>
        <a:xfrm flipV="1">
          <a:off x="4381500" y="7886700"/>
          <a:ext cx="9525" cy="17716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37</xdr:row>
      <xdr:rowOff>104775</xdr:rowOff>
    </xdr:from>
    <xdr:to>
      <xdr:col>51</xdr:col>
      <xdr:colOff>19050</xdr:colOff>
      <xdr:row>37</xdr:row>
      <xdr:rowOff>104775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13CA3BE1-3F61-4E3F-9B79-3FE9A7C6ADD7}"/>
            </a:ext>
          </a:extLst>
        </xdr:cNvPr>
        <xdr:cNvCxnSpPr/>
      </xdr:nvCxnSpPr>
      <xdr:spPr>
        <a:xfrm flipH="1">
          <a:off x="4381500" y="7886700"/>
          <a:ext cx="38100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9525</xdr:colOff>
      <xdr:row>35</xdr:row>
      <xdr:rowOff>9525</xdr:rowOff>
    </xdr:from>
    <xdr:to>
      <xdr:col>51</xdr:col>
      <xdr:colOff>9525</xdr:colOff>
      <xdr:row>37</xdr:row>
      <xdr:rowOff>108585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1AD91236-E872-4687-BEF8-7CAA8BFF2108}"/>
            </a:ext>
          </a:extLst>
        </xdr:cNvPr>
        <xdr:cNvCxnSpPr/>
      </xdr:nvCxnSpPr>
      <xdr:spPr>
        <a:xfrm>
          <a:off x="8181975" y="7543800"/>
          <a:ext cx="0" cy="34671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12439650" y="4953000"/>
          <a:ext cx="0" cy="350767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12439650" y="4953000"/>
          <a:ext cx="0" cy="350767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151086</xdr:colOff>
      <xdr:row>9</xdr:row>
      <xdr:rowOff>0</xdr:rowOff>
    </xdr:from>
    <xdr:to>
      <xdr:col>31</xdr:col>
      <xdr:colOff>152838</xdr:colOff>
      <xdr:row>10</xdr:row>
      <xdr:rowOff>22663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CxnSpPr/>
      </xdr:nvCxnSpPr>
      <xdr:spPr>
        <a:xfrm>
          <a:off x="4926724" y="2318845"/>
          <a:ext cx="1752" cy="14747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57150</xdr:colOff>
      <xdr:row>10</xdr:row>
      <xdr:rowOff>19050</xdr:rowOff>
    </xdr:from>
    <xdr:to>
      <xdr:col>31</xdr:col>
      <xdr:colOff>158750</xdr:colOff>
      <xdr:row>10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CxnSpPr/>
      </xdr:nvCxnSpPr>
      <xdr:spPr>
        <a:xfrm flipH="1">
          <a:off x="3676650" y="2466975"/>
          <a:ext cx="142557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66675</xdr:colOff>
      <xdr:row>10</xdr:row>
      <xdr:rowOff>25400</xdr:rowOff>
    </xdr:from>
    <xdr:to>
      <xdr:col>22</xdr:col>
      <xdr:colOff>66676</xdr:colOff>
      <xdr:row>13</xdr:row>
      <xdr:rowOff>19050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CxnSpPr/>
      </xdr:nvCxnSpPr>
      <xdr:spPr>
        <a:xfrm flipH="1">
          <a:off x="3686175" y="2473325"/>
          <a:ext cx="1" cy="365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19050</xdr:colOff>
      <xdr:row>9</xdr:row>
      <xdr:rowOff>9525</xdr:rowOff>
    </xdr:from>
    <xdr:to>
      <xdr:col>52</xdr:col>
      <xdr:colOff>19050</xdr:colOff>
      <xdr:row>13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CxnSpPr/>
      </xdr:nvCxnSpPr>
      <xdr:spPr>
        <a:xfrm>
          <a:off x="8267700" y="2333625"/>
          <a:ext cx="0" cy="485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180975</xdr:colOff>
      <xdr:row>17</xdr:row>
      <xdr:rowOff>0</xdr:rowOff>
    </xdr:from>
    <xdr:to>
      <xdr:col>51</xdr:col>
      <xdr:colOff>180975</xdr:colOff>
      <xdr:row>23</xdr:row>
      <xdr:rowOff>28575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CxnSpPr/>
      </xdr:nvCxnSpPr>
      <xdr:spPr>
        <a:xfrm>
          <a:off x="8210550" y="4019550"/>
          <a:ext cx="0" cy="7715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9525</xdr:colOff>
      <xdr:row>17</xdr:row>
      <xdr:rowOff>9525</xdr:rowOff>
    </xdr:from>
    <xdr:to>
      <xdr:col>42</xdr:col>
      <xdr:colOff>9525</xdr:colOff>
      <xdr:row>20</xdr:row>
      <xdr:rowOff>19050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CxnSpPr/>
      </xdr:nvCxnSpPr>
      <xdr:spPr>
        <a:xfrm>
          <a:off x="6715125" y="4029075"/>
          <a:ext cx="0" cy="3810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9525</xdr:colOff>
      <xdr:row>20</xdr:row>
      <xdr:rowOff>9525</xdr:rowOff>
    </xdr:from>
    <xdr:to>
      <xdr:col>62</xdr:col>
      <xdr:colOff>9525</xdr:colOff>
      <xdr:row>20</xdr:row>
      <xdr:rowOff>9525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CxnSpPr/>
      </xdr:nvCxnSpPr>
      <xdr:spPr>
        <a:xfrm>
          <a:off x="6715125" y="4400550"/>
          <a:ext cx="30861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13335</xdr:colOff>
      <xdr:row>20</xdr:row>
      <xdr:rowOff>19050</xdr:rowOff>
    </xdr:from>
    <xdr:to>
      <xdr:col>62</xdr:col>
      <xdr:colOff>13335</xdr:colOff>
      <xdr:row>23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CxnSpPr/>
      </xdr:nvCxnSpPr>
      <xdr:spPr>
        <a:xfrm>
          <a:off x="10071735" y="4331970"/>
          <a:ext cx="0" cy="3467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194113</xdr:colOff>
      <xdr:row>27</xdr:row>
      <xdr:rowOff>2956</xdr:rowOff>
    </xdr:from>
    <xdr:to>
      <xdr:col>51</xdr:col>
      <xdr:colOff>194113</xdr:colOff>
      <xdr:row>29</xdr:row>
      <xdr:rowOff>31531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CxnSpPr/>
      </xdr:nvCxnSpPr>
      <xdr:spPr>
        <a:xfrm>
          <a:off x="8044027" y="5961008"/>
          <a:ext cx="0" cy="27819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114300</xdr:colOff>
      <xdr:row>29</xdr:row>
      <xdr:rowOff>19050</xdr:rowOff>
    </xdr:from>
    <xdr:to>
      <xdr:col>51</xdr:col>
      <xdr:colOff>209550</xdr:colOff>
      <xdr:row>29</xdr:row>
      <xdr:rowOff>28575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CxnSpPr/>
      </xdr:nvCxnSpPr>
      <xdr:spPr>
        <a:xfrm flipH="1" flipV="1">
          <a:off x="5276850" y="6229350"/>
          <a:ext cx="296227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111344</xdr:colOff>
      <xdr:row>29</xdr:row>
      <xdr:rowOff>15438</xdr:rowOff>
    </xdr:from>
    <xdr:to>
      <xdr:col>32</xdr:col>
      <xdr:colOff>111344</xdr:colOff>
      <xdr:row>30</xdr:row>
      <xdr:rowOff>111673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CxnSpPr/>
      </xdr:nvCxnSpPr>
      <xdr:spPr>
        <a:xfrm>
          <a:off x="5103758" y="6223110"/>
          <a:ext cx="0" cy="22104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114300</xdr:colOff>
      <xdr:row>27</xdr:row>
      <xdr:rowOff>0</xdr:rowOff>
    </xdr:from>
    <xdr:to>
      <xdr:col>62</xdr:col>
      <xdr:colOff>114300</xdr:colOff>
      <xdr:row>29</xdr:row>
      <xdr:rowOff>28575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CxnSpPr/>
      </xdr:nvCxnSpPr>
      <xdr:spPr>
        <a:xfrm>
          <a:off x="9906000" y="5962650"/>
          <a:ext cx="0" cy="2762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142875</xdr:colOff>
      <xdr:row>29</xdr:row>
      <xdr:rowOff>28575</xdr:rowOff>
    </xdr:from>
    <xdr:to>
      <xdr:col>62</xdr:col>
      <xdr:colOff>104775</xdr:colOff>
      <xdr:row>29</xdr:row>
      <xdr:rowOff>28575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CxnSpPr/>
      </xdr:nvCxnSpPr>
      <xdr:spPr>
        <a:xfrm flipH="1">
          <a:off x="8391525" y="6238875"/>
          <a:ext cx="15049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153057</xdr:colOff>
      <xdr:row>29</xdr:row>
      <xdr:rowOff>24962</xdr:rowOff>
    </xdr:from>
    <xdr:to>
      <xdr:col>52</xdr:col>
      <xdr:colOff>153057</xdr:colOff>
      <xdr:row>30</xdr:row>
      <xdr:rowOff>121197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CxnSpPr/>
      </xdr:nvCxnSpPr>
      <xdr:spPr>
        <a:xfrm>
          <a:off x="8219747" y="6232634"/>
          <a:ext cx="0" cy="22104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216118</xdr:colOff>
      <xdr:row>44</xdr:row>
      <xdr:rowOff>189843</xdr:rowOff>
    </xdr:from>
    <xdr:to>
      <xdr:col>51</xdr:col>
      <xdr:colOff>216118</xdr:colOff>
      <xdr:row>48</xdr:row>
      <xdr:rowOff>117584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CxnSpPr/>
      </xdr:nvCxnSpPr>
      <xdr:spPr>
        <a:xfrm>
          <a:off x="8066032" y="9583464"/>
          <a:ext cx="0" cy="49924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63</xdr:row>
      <xdr:rowOff>9525</xdr:rowOff>
    </xdr:from>
    <xdr:to>
      <xdr:col>52</xdr:col>
      <xdr:colOff>0</xdr:colOff>
      <xdr:row>67</xdr:row>
      <xdr:rowOff>7283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CxnSpPr/>
      </xdr:nvCxnSpPr>
      <xdr:spPr>
        <a:xfrm>
          <a:off x="8248650" y="13239750"/>
          <a:ext cx="0" cy="4930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57150</xdr:colOff>
      <xdr:row>9</xdr:row>
      <xdr:rowOff>0</xdr:rowOff>
    </xdr:from>
    <xdr:to>
      <xdr:col>42</xdr:col>
      <xdr:colOff>57150</xdr:colOff>
      <xdr:row>12</xdr:row>
      <xdr:rowOff>114300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CxnSpPr/>
      </xdr:nvCxnSpPr>
      <xdr:spPr>
        <a:xfrm>
          <a:off x="6762750" y="2324100"/>
          <a:ext cx="0" cy="485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205740</xdr:colOff>
      <xdr:row>16</xdr:row>
      <xdr:rowOff>182880</xdr:rowOff>
    </xdr:from>
    <xdr:to>
      <xdr:col>31</xdr:col>
      <xdr:colOff>205740</xdr:colOff>
      <xdr:row>20</xdr:row>
      <xdr:rowOff>45720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CxnSpPr/>
      </xdr:nvCxnSpPr>
      <xdr:spPr>
        <a:xfrm>
          <a:off x="5189220" y="3939540"/>
          <a:ext cx="0" cy="4191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200026</xdr:colOff>
      <xdr:row>20</xdr:row>
      <xdr:rowOff>19050</xdr:rowOff>
    </xdr:from>
    <xdr:to>
      <xdr:col>40</xdr:col>
      <xdr:colOff>171450</xdr:colOff>
      <xdr:row>20</xdr:row>
      <xdr:rowOff>19050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CxnSpPr/>
      </xdr:nvCxnSpPr>
      <xdr:spPr>
        <a:xfrm flipH="1">
          <a:off x="5143501" y="4410075"/>
          <a:ext cx="1295399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171450</xdr:colOff>
      <xdr:row>20</xdr:row>
      <xdr:rowOff>15875</xdr:rowOff>
    </xdr:from>
    <xdr:to>
      <xdr:col>40</xdr:col>
      <xdr:colOff>171451</xdr:colOff>
      <xdr:row>23</xdr:row>
      <xdr:rowOff>9525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CxnSpPr/>
      </xdr:nvCxnSpPr>
      <xdr:spPr>
        <a:xfrm flipH="1">
          <a:off x="6438900" y="4406900"/>
          <a:ext cx="1" cy="365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6569</xdr:colOff>
      <xdr:row>42</xdr:row>
      <xdr:rowOff>476251</xdr:rowOff>
    </xdr:from>
    <xdr:to>
      <xdr:col>28</xdr:col>
      <xdr:colOff>47624</xdr:colOff>
      <xdr:row>42</xdr:row>
      <xdr:rowOff>479534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CxnSpPr/>
      </xdr:nvCxnSpPr>
      <xdr:spPr>
        <a:xfrm flipH="1">
          <a:off x="4230414" y="9068458"/>
          <a:ext cx="100176" cy="328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42</xdr:row>
      <xdr:rowOff>476250</xdr:rowOff>
    </xdr:from>
    <xdr:to>
      <xdr:col>26</xdr:col>
      <xdr:colOff>57149</xdr:colOff>
      <xdr:row>65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CxnSpPr/>
      </xdr:nvCxnSpPr>
      <xdr:spPr>
        <a:xfrm flipH="1">
          <a:off x="4371975" y="9067800"/>
          <a:ext cx="19049" cy="44100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153057</xdr:colOff>
      <xdr:row>64</xdr:row>
      <xdr:rowOff>118241</xdr:rowOff>
    </xdr:from>
    <xdr:to>
      <xdr:col>26</xdr:col>
      <xdr:colOff>48281</xdr:colOff>
      <xdr:row>64</xdr:row>
      <xdr:rowOff>118242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CxnSpPr/>
      </xdr:nvCxnSpPr>
      <xdr:spPr>
        <a:xfrm flipH="1">
          <a:off x="3608333" y="13472948"/>
          <a:ext cx="604672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156669</xdr:colOff>
      <xdr:row>64</xdr:row>
      <xdr:rowOff>117913</xdr:rowOff>
    </xdr:from>
    <xdr:to>
      <xdr:col>22</xdr:col>
      <xdr:colOff>156669</xdr:colOff>
      <xdr:row>67</xdr:row>
      <xdr:rowOff>41713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CxnSpPr/>
      </xdr:nvCxnSpPr>
      <xdr:spPr>
        <a:xfrm>
          <a:off x="3611945" y="13472620"/>
          <a:ext cx="0" cy="29823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0</xdr:colOff>
      <xdr:row>14</xdr:row>
      <xdr:rowOff>342900</xdr:rowOff>
    </xdr:from>
    <xdr:to>
      <xdr:col>56</xdr:col>
      <xdr:colOff>47625</xdr:colOff>
      <xdr:row>14</xdr:row>
      <xdr:rowOff>342900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CxnSpPr/>
      </xdr:nvCxnSpPr>
      <xdr:spPr>
        <a:xfrm>
          <a:off x="8905875" y="3352800"/>
          <a:ext cx="10477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47625</xdr:colOff>
      <xdr:row>14</xdr:row>
      <xdr:rowOff>352425</xdr:rowOff>
    </xdr:from>
    <xdr:to>
      <xdr:col>57</xdr:col>
      <xdr:colOff>0</xdr:colOff>
      <xdr:row>19</xdr:row>
      <xdr:rowOff>19050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CxnSpPr/>
      </xdr:nvCxnSpPr>
      <xdr:spPr>
        <a:xfrm>
          <a:off x="9010650" y="3362325"/>
          <a:ext cx="9525" cy="9239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52552</xdr:colOff>
      <xdr:row>19</xdr:row>
      <xdr:rowOff>9525</xdr:rowOff>
    </xdr:from>
    <xdr:to>
      <xdr:col>67</xdr:col>
      <xdr:colOff>0</xdr:colOff>
      <xdr:row>19</xdr:row>
      <xdr:rowOff>13138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CxnSpPr/>
      </xdr:nvCxnSpPr>
      <xdr:spPr>
        <a:xfrm flipV="1">
          <a:off x="8828690" y="4272784"/>
          <a:ext cx="1543707" cy="361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2956</xdr:colOff>
      <xdr:row>19</xdr:row>
      <xdr:rowOff>22006</xdr:rowOff>
    </xdr:from>
    <xdr:to>
      <xdr:col>67</xdr:col>
      <xdr:colOff>2956</xdr:colOff>
      <xdr:row>37</xdr:row>
      <xdr:rowOff>118241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CxnSpPr/>
      </xdr:nvCxnSpPr>
      <xdr:spPr>
        <a:xfrm>
          <a:off x="10375353" y="4285265"/>
          <a:ext cx="0" cy="373544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209550</xdr:colOff>
      <xdr:row>38</xdr:row>
      <xdr:rowOff>0</xdr:rowOff>
    </xdr:from>
    <xdr:to>
      <xdr:col>67</xdr:col>
      <xdr:colOff>9525</xdr:colOff>
      <xdr:row>38</xdr:row>
      <xdr:rowOff>9525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CxnSpPr/>
      </xdr:nvCxnSpPr>
      <xdr:spPr>
        <a:xfrm flipH="1">
          <a:off x="6696075" y="8029575"/>
          <a:ext cx="387667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216119</xdr:colOff>
      <xdr:row>38</xdr:row>
      <xdr:rowOff>15437</xdr:rowOff>
    </xdr:from>
    <xdr:to>
      <xdr:col>42</xdr:col>
      <xdr:colOff>6569</xdr:colOff>
      <xdr:row>40</xdr:row>
      <xdr:rowOff>101162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E00-000029000000}"/>
            </a:ext>
          </a:extLst>
        </xdr:cNvPr>
        <xdr:cNvCxnSpPr/>
      </xdr:nvCxnSpPr>
      <xdr:spPr>
        <a:xfrm>
          <a:off x="6528895" y="8042713"/>
          <a:ext cx="7226" cy="33534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34488</xdr:colOff>
      <xdr:row>6</xdr:row>
      <xdr:rowOff>400050</xdr:rowOff>
    </xdr:from>
    <xdr:to>
      <xdr:col>48</xdr:col>
      <xdr:colOff>52552</xdr:colOff>
      <xdr:row>6</xdr:row>
      <xdr:rowOff>400707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CxnSpPr/>
      </xdr:nvCxnSpPr>
      <xdr:spPr>
        <a:xfrm flipH="1" flipV="1">
          <a:off x="7273488" y="1713843"/>
          <a:ext cx="136305" cy="65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38100</xdr:colOff>
      <xdr:row>6</xdr:row>
      <xdr:rowOff>400050</xdr:rowOff>
    </xdr:from>
    <xdr:to>
      <xdr:col>47</xdr:col>
      <xdr:colOff>9525</xdr:colOff>
      <xdr:row>46</xdr:row>
      <xdr:rowOff>104775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E00-00002E000000}"/>
            </a:ext>
          </a:extLst>
        </xdr:cNvPr>
        <xdr:cNvCxnSpPr/>
      </xdr:nvCxnSpPr>
      <xdr:spPr>
        <a:xfrm>
          <a:off x="7458075" y="1714500"/>
          <a:ext cx="28575" cy="81057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200025</xdr:colOff>
      <xdr:row>46</xdr:row>
      <xdr:rowOff>95250</xdr:rowOff>
    </xdr:from>
    <xdr:to>
      <xdr:col>47</xdr:col>
      <xdr:colOff>9525</xdr:colOff>
      <xdr:row>46</xdr:row>
      <xdr:rowOff>104775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CxnSpPr/>
      </xdr:nvCxnSpPr>
      <xdr:spPr>
        <a:xfrm flipH="1" flipV="1">
          <a:off x="5143500" y="9810750"/>
          <a:ext cx="234315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200025</xdr:colOff>
      <xdr:row>46</xdr:row>
      <xdr:rowOff>104775</xdr:rowOff>
    </xdr:from>
    <xdr:to>
      <xdr:col>31</xdr:col>
      <xdr:colOff>209550</xdr:colOff>
      <xdr:row>49</xdr:row>
      <xdr:rowOff>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E00-000033000000}"/>
            </a:ext>
          </a:extLst>
        </xdr:cNvPr>
        <xdr:cNvCxnSpPr/>
      </xdr:nvCxnSpPr>
      <xdr:spPr>
        <a:xfrm>
          <a:off x="5143500" y="9820275"/>
          <a:ext cx="9525" cy="2667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9525</xdr:colOff>
      <xdr:row>45</xdr:row>
      <xdr:rowOff>0</xdr:rowOff>
    </xdr:from>
    <xdr:to>
      <xdr:col>62</xdr:col>
      <xdr:colOff>9525</xdr:colOff>
      <xdr:row>49</xdr:row>
      <xdr:rowOff>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E00-000034000000}"/>
            </a:ext>
          </a:extLst>
        </xdr:cNvPr>
        <xdr:cNvCxnSpPr/>
      </xdr:nvCxnSpPr>
      <xdr:spPr>
        <a:xfrm>
          <a:off x="9801225" y="959167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19050</xdr:colOff>
      <xdr:row>32</xdr:row>
      <xdr:rowOff>352425</xdr:rowOff>
    </xdr:from>
    <xdr:to>
      <xdr:col>58</xdr:col>
      <xdr:colOff>38100</xdr:colOff>
      <xdr:row>32</xdr:row>
      <xdr:rowOff>352425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E00-000036000000}"/>
            </a:ext>
          </a:extLst>
        </xdr:cNvPr>
        <xdr:cNvCxnSpPr/>
      </xdr:nvCxnSpPr>
      <xdr:spPr>
        <a:xfrm flipH="1">
          <a:off x="9039225" y="7000875"/>
          <a:ext cx="762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13138</xdr:colOff>
      <xdr:row>32</xdr:row>
      <xdr:rowOff>342900</xdr:rowOff>
    </xdr:from>
    <xdr:to>
      <xdr:col>57</xdr:col>
      <xdr:colOff>13138</xdr:colOff>
      <xdr:row>47</xdr:row>
      <xdr:rowOff>66675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CxnSpPr/>
      </xdr:nvCxnSpPr>
      <xdr:spPr>
        <a:xfrm>
          <a:off x="8848397" y="6990693"/>
          <a:ext cx="0" cy="291629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153714</xdr:colOff>
      <xdr:row>47</xdr:row>
      <xdr:rowOff>57150</xdr:rowOff>
    </xdr:from>
    <xdr:to>
      <xdr:col>57</xdr:col>
      <xdr:colOff>8868</xdr:colOff>
      <xdr:row>47</xdr:row>
      <xdr:rowOff>57150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E00-00003A000000}"/>
            </a:ext>
          </a:extLst>
        </xdr:cNvPr>
        <xdr:cNvCxnSpPr/>
      </xdr:nvCxnSpPr>
      <xdr:spPr>
        <a:xfrm flipH="1">
          <a:off x="6466490" y="9897460"/>
          <a:ext cx="2377637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150101</xdr:colOff>
      <xdr:row>47</xdr:row>
      <xdr:rowOff>50581</xdr:rowOff>
    </xdr:from>
    <xdr:to>
      <xdr:col>41</xdr:col>
      <xdr:colOff>150101</xdr:colOff>
      <xdr:row>48</xdr:row>
      <xdr:rowOff>107731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E00-00003C000000}"/>
            </a:ext>
          </a:extLst>
        </xdr:cNvPr>
        <xdr:cNvCxnSpPr/>
      </xdr:nvCxnSpPr>
      <xdr:spPr>
        <a:xfrm>
          <a:off x="6462877" y="9890891"/>
          <a:ext cx="0" cy="18196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19707</xdr:colOff>
      <xdr:row>50</xdr:row>
      <xdr:rowOff>387569</xdr:rowOff>
    </xdr:from>
    <xdr:to>
      <xdr:col>48</xdr:col>
      <xdr:colOff>52552</xdr:colOff>
      <xdr:row>50</xdr:row>
      <xdr:rowOff>394138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E00-00003D000000}"/>
            </a:ext>
          </a:extLst>
        </xdr:cNvPr>
        <xdr:cNvCxnSpPr/>
      </xdr:nvCxnSpPr>
      <xdr:spPr>
        <a:xfrm flipH="1" flipV="1">
          <a:off x="7317828" y="10668000"/>
          <a:ext cx="91965" cy="656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19050</xdr:colOff>
      <xdr:row>50</xdr:row>
      <xdr:rowOff>381000</xdr:rowOff>
    </xdr:from>
    <xdr:to>
      <xdr:col>47</xdr:col>
      <xdr:colOff>19050</xdr:colOff>
      <xdr:row>65</xdr:row>
      <xdr:rowOff>95250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E00-00003E000000}"/>
            </a:ext>
          </a:extLst>
        </xdr:cNvPr>
        <xdr:cNvCxnSpPr/>
      </xdr:nvCxnSpPr>
      <xdr:spPr>
        <a:xfrm>
          <a:off x="7496175" y="10658475"/>
          <a:ext cx="0" cy="29146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159626</xdr:colOff>
      <xdr:row>65</xdr:row>
      <xdr:rowOff>85725</xdr:rowOff>
    </xdr:from>
    <xdr:to>
      <xdr:col>47</xdr:col>
      <xdr:colOff>14780</xdr:colOff>
      <xdr:row>65</xdr:row>
      <xdr:rowOff>85725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E00-00003F000000}"/>
            </a:ext>
          </a:extLst>
        </xdr:cNvPr>
        <xdr:cNvCxnSpPr/>
      </xdr:nvCxnSpPr>
      <xdr:spPr>
        <a:xfrm flipH="1">
          <a:off x="4935264" y="13565242"/>
          <a:ext cx="2377637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162582</xdr:colOff>
      <xdr:row>65</xdr:row>
      <xdr:rowOff>79156</xdr:rowOff>
    </xdr:from>
    <xdr:to>
      <xdr:col>31</xdr:col>
      <xdr:colOff>162582</xdr:colOff>
      <xdr:row>67</xdr:row>
      <xdr:rowOff>12481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00000000-0008-0000-0E00-000040000000}"/>
            </a:ext>
          </a:extLst>
        </xdr:cNvPr>
        <xdr:cNvCxnSpPr/>
      </xdr:nvCxnSpPr>
      <xdr:spPr>
        <a:xfrm>
          <a:off x="4938220" y="13558673"/>
          <a:ext cx="0" cy="18294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162582</xdr:colOff>
      <xdr:row>53</xdr:row>
      <xdr:rowOff>9525</xdr:rowOff>
    </xdr:from>
    <xdr:to>
      <xdr:col>61</xdr:col>
      <xdr:colOff>162582</xdr:colOff>
      <xdr:row>55</xdr:row>
      <xdr:rowOff>38100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E00-000041000000}"/>
            </a:ext>
          </a:extLst>
        </xdr:cNvPr>
        <xdr:cNvCxnSpPr/>
      </xdr:nvCxnSpPr>
      <xdr:spPr>
        <a:xfrm>
          <a:off x="9549634" y="11295008"/>
          <a:ext cx="0" cy="27819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55</xdr:row>
      <xdr:rowOff>19050</xdr:rowOff>
    </xdr:from>
    <xdr:to>
      <xdr:col>61</xdr:col>
      <xdr:colOff>171451</xdr:colOff>
      <xdr:row>55</xdr:row>
      <xdr:rowOff>28576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E00-000042000000}"/>
            </a:ext>
          </a:extLst>
        </xdr:cNvPr>
        <xdr:cNvCxnSpPr/>
      </xdr:nvCxnSpPr>
      <xdr:spPr>
        <a:xfrm flipH="1" flipV="1">
          <a:off x="3619500" y="11553825"/>
          <a:ext cx="6124576" cy="952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5912</xdr:colOff>
      <xdr:row>55</xdr:row>
      <xdr:rowOff>5912</xdr:rowOff>
    </xdr:from>
    <xdr:to>
      <xdr:col>22</xdr:col>
      <xdr:colOff>5912</xdr:colOff>
      <xdr:row>58</xdr:row>
      <xdr:rowOff>121198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E00-000043000000}"/>
            </a:ext>
          </a:extLst>
        </xdr:cNvPr>
        <xdr:cNvCxnSpPr/>
      </xdr:nvCxnSpPr>
      <xdr:spPr>
        <a:xfrm>
          <a:off x="3461188" y="11541015"/>
          <a:ext cx="0" cy="48971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6569</xdr:colOff>
      <xdr:row>42</xdr:row>
      <xdr:rowOff>387569</xdr:rowOff>
    </xdr:from>
    <xdr:to>
      <xdr:col>67</xdr:col>
      <xdr:colOff>6569</xdr:colOff>
      <xdr:row>42</xdr:row>
      <xdr:rowOff>388226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E00-000047000000}"/>
            </a:ext>
          </a:extLst>
        </xdr:cNvPr>
        <xdr:cNvCxnSpPr/>
      </xdr:nvCxnSpPr>
      <xdr:spPr>
        <a:xfrm flipV="1">
          <a:off x="10260724" y="8979776"/>
          <a:ext cx="118242" cy="65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47625</xdr:colOff>
      <xdr:row>42</xdr:row>
      <xdr:rowOff>381000</xdr:rowOff>
    </xdr:from>
    <xdr:to>
      <xdr:col>67</xdr:col>
      <xdr:colOff>9525</xdr:colOff>
      <xdr:row>64</xdr:row>
      <xdr:rowOff>9525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E00-000049000000}"/>
            </a:ext>
          </a:extLst>
        </xdr:cNvPr>
        <xdr:cNvCxnSpPr/>
      </xdr:nvCxnSpPr>
      <xdr:spPr>
        <a:xfrm flipH="1">
          <a:off x="10553700" y="8972550"/>
          <a:ext cx="19050" cy="43910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63</xdr:row>
      <xdr:rowOff>104775</xdr:rowOff>
    </xdr:from>
    <xdr:to>
      <xdr:col>66</xdr:col>
      <xdr:colOff>38100</xdr:colOff>
      <xdr:row>64</xdr:row>
      <xdr:rowOff>0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E00-00004B000000}"/>
            </a:ext>
          </a:extLst>
        </xdr:cNvPr>
        <xdr:cNvCxnSpPr/>
      </xdr:nvCxnSpPr>
      <xdr:spPr>
        <a:xfrm flipH="1" flipV="1">
          <a:off x="2076450" y="13335000"/>
          <a:ext cx="8467725" cy="190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5912</xdr:colOff>
      <xdr:row>63</xdr:row>
      <xdr:rowOff>104775</xdr:rowOff>
    </xdr:from>
    <xdr:to>
      <xdr:col>12</xdr:col>
      <xdr:colOff>13138</xdr:colOff>
      <xdr:row>67</xdr:row>
      <xdr:rowOff>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E00-00004D000000}"/>
            </a:ext>
          </a:extLst>
        </xdr:cNvPr>
        <xdr:cNvCxnSpPr/>
      </xdr:nvCxnSpPr>
      <xdr:spPr>
        <a:xfrm>
          <a:off x="1924050" y="13334672"/>
          <a:ext cx="7226" cy="39446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114300</xdr:colOff>
      <xdr:row>9</xdr:row>
      <xdr:rowOff>0</xdr:rowOff>
    </xdr:from>
    <xdr:to>
      <xdr:col>32</xdr:col>
      <xdr:colOff>117694</xdr:colOff>
      <xdr:row>10</xdr:row>
      <xdr:rowOff>22663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5326380" y="2286000"/>
          <a:ext cx="3394" cy="14458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104775</xdr:colOff>
      <xdr:row>10</xdr:row>
      <xdr:rowOff>19050</xdr:rowOff>
    </xdr:from>
    <xdr:to>
      <xdr:col>41</xdr:col>
      <xdr:colOff>206375</xdr:colOff>
      <xdr:row>10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CxnSpPr/>
      </xdr:nvCxnSpPr>
      <xdr:spPr>
        <a:xfrm flipH="1">
          <a:off x="5316855" y="2426970"/>
          <a:ext cx="14884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9</xdr:row>
      <xdr:rowOff>0</xdr:rowOff>
    </xdr:from>
    <xdr:to>
      <xdr:col>12</xdr:col>
      <xdr:colOff>15240</xdr:colOff>
      <xdr:row>12</xdr:row>
      <xdr:rowOff>118110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CxnSpPr/>
      </xdr:nvCxnSpPr>
      <xdr:spPr>
        <a:xfrm flipH="1">
          <a:off x="1988820" y="2286000"/>
          <a:ext cx="7620" cy="4838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205740</xdr:colOff>
      <xdr:row>10</xdr:row>
      <xdr:rowOff>30480</xdr:rowOff>
    </xdr:from>
    <xdr:to>
      <xdr:col>41</xdr:col>
      <xdr:colOff>209550</xdr:colOff>
      <xdr:row>13</xdr:row>
      <xdr:rowOff>1905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CxnSpPr/>
      </xdr:nvCxnSpPr>
      <xdr:spPr>
        <a:xfrm>
          <a:off x="6804660" y="2438400"/>
          <a:ext cx="3810" cy="3371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220980</xdr:colOff>
      <xdr:row>6</xdr:row>
      <xdr:rowOff>312420</xdr:rowOff>
    </xdr:from>
    <xdr:to>
      <xdr:col>18</xdr:col>
      <xdr:colOff>0</xdr:colOff>
      <xdr:row>6</xdr:row>
      <xdr:rowOff>312420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CxnSpPr/>
      </xdr:nvCxnSpPr>
      <xdr:spPr>
        <a:xfrm>
          <a:off x="2659380" y="1592580"/>
          <a:ext cx="1905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45720</xdr:colOff>
      <xdr:row>6</xdr:row>
      <xdr:rowOff>320040</xdr:rowOff>
    </xdr:from>
    <xdr:to>
      <xdr:col>18</xdr:col>
      <xdr:colOff>0</xdr:colOff>
      <xdr:row>65</xdr:row>
      <xdr:rowOff>15240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CxnSpPr/>
      </xdr:nvCxnSpPr>
      <xdr:spPr>
        <a:xfrm flipH="1" flipV="1">
          <a:off x="2834640" y="1600200"/>
          <a:ext cx="15240" cy="116433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65</xdr:row>
      <xdr:rowOff>0</xdr:rowOff>
    </xdr:from>
    <xdr:to>
      <xdr:col>32</xdr:col>
      <xdr:colOff>0</xdr:colOff>
      <xdr:row>65</xdr:row>
      <xdr:rowOff>7620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CxnSpPr/>
      </xdr:nvCxnSpPr>
      <xdr:spPr>
        <a:xfrm flipH="1" flipV="1">
          <a:off x="2849880" y="13228320"/>
          <a:ext cx="236220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217170</xdr:colOff>
      <xdr:row>65</xdr:row>
      <xdr:rowOff>7620</xdr:rowOff>
    </xdr:from>
    <xdr:to>
      <xdr:col>31</xdr:col>
      <xdr:colOff>220980</xdr:colOff>
      <xdr:row>67</xdr:row>
      <xdr:rowOff>9525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CxnSpPr/>
      </xdr:nvCxnSpPr>
      <xdr:spPr>
        <a:xfrm flipH="1">
          <a:off x="5200650" y="13235940"/>
          <a:ext cx="3810" cy="24574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213360</xdr:colOff>
      <xdr:row>20</xdr:row>
      <xdr:rowOff>15240</xdr:rowOff>
    </xdr:from>
    <xdr:to>
      <xdr:col>32</xdr:col>
      <xdr:colOff>7620</xdr:colOff>
      <xdr:row>20</xdr:row>
      <xdr:rowOff>15240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CxnSpPr/>
      </xdr:nvCxnSpPr>
      <xdr:spPr>
        <a:xfrm flipH="1">
          <a:off x="3581400" y="4328160"/>
          <a:ext cx="16383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7620</xdr:colOff>
      <xdr:row>20</xdr:row>
      <xdr:rowOff>15240</xdr:rowOff>
    </xdr:from>
    <xdr:to>
      <xdr:col>32</xdr:col>
      <xdr:colOff>11430</xdr:colOff>
      <xdr:row>22</xdr:row>
      <xdr:rowOff>108585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CxnSpPr/>
      </xdr:nvCxnSpPr>
      <xdr:spPr>
        <a:xfrm>
          <a:off x="5219700" y="4328160"/>
          <a:ext cx="3810" cy="3371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213360</xdr:colOff>
      <xdr:row>16</xdr:row>
      <xdr:rowOff>182880</xdr:rowOff>
    </xdr:from>
    <xdr:to>
      <xdr:col>11</xdr:col>
      <xdr:colOff>213360</xdr:colOff>
      <xdr:row>22</xdr:row>
      <xdr:rowOff>102870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CxnSpPr/>
      </xdr:nvCxnSpPr>
      <xdr:spPr>
        <a:xfrm>
          <a:off x="1965960" y="3939540"/>
          <a:ext cx="0" cy="7200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205740</xdr:colOff>
      <xdr:row>19</xdr:row>
      <xdr:rowOff>7620</xdr:rowOff>
    </xdr:from>
    <xdr:to>
      <xdr:col>58</xdr:col>
      <xdr:colOff>19050</xdr:colOff>
      <xdr:row>19</xdr:row>
      <xdr:rowOff>19050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CxnSpPr/>
      </xdr:nvCxnSpPr>
      <xdr:spPr>
        <a:xfrm flipH="1" flipV="1">
          <a:off x="1977390" y="4208145"/>
          <a:ext cx="7299960" cy="1143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7620</xdr:colOff>
      <xdr:row>19</xdr:row>
      <xdr:rowOff>22860</xdr:rowOff>
    </xdr:from>
    <xdr:to>
      <xdr:col>42</xdr:col>
      <xdr:colOff>11430</xdr:colOff>
      <xdr:row>22</xdr:row>
      <xdr:rowOff>116205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CxnSpPr/>
      </xdr:nvCxnSpPr>
      <xdr:spPr>
        <a:xfrm>
          <a:off x="6835140" y="4213860"/>
          <a:ext cx="3810" cy="4591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205740</xdr:colOff>
      <xdr:row>29</xdr:row>
      <xdr:rowOff>0</xdr:rowOff>
    </xdr:from>
    <xdr:to>
      <xdr:col>27</xdr:col>
      <xdr:colOff>15240</xdr:colOff>
      <xdr:row>29</xdr:row>
      <xdr:rowOff>7620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CxnSpPr/>
      </xdr:nvCxnSpPr>
      <xdr:spPr>
        <a:xfrm flipH="1">
          <a:off x="1958340" y="6096000"/>
          <a:ext cx="24612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3810</xdr:colOff>
      <xdr:row>29</xdr:row>
      <xdr:rowOff>7620</xdr:rowOff>
    </xdr:from>
    <xdr:to>
      <xdr:col>22</xdr:col>
      <xdr:colOff>7620</xdr:colOff>
      <xdr:row>30</xdr:row>
      <xdr:rowOff>116205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CxnSpPr/>
      </xdr:nvCxnSpPr>
      <xdr:spPr>
        <a:xfrm flipH="1">
          <a:off x="3600450" y="6103620"/>
          <a:ext cx="3810" cy="2305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17</xdr:row>
      <xdr:rowOff>0</xdr:rowOff>
    </xdr:from>
    <xdr:to>
      <xdr:col>44</xdr:col>
      <xdr:colOff>0</xdr:colOff>
      <xdr:row>19</xdr:row>
      <xdr:rowOff>99060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CxnSpPr/>
      </xdr:nvCxnSpPr>
      <xdr:spPr>
        <a:xfrm>
          <a:off x="7284720" y="3947160"/>
          <a:ext cx="0" cy="3429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213360</xdr:colOff>
      <xdr:row>19</xdr:row>
      <xdr:rowOff>106680</xdr:rowOff>
    </xdr:from>
    <xdr:to>
      <xdr:col>47</xdr:col>
      <xdr:colOff>0</xdr:colOff>
      <xdr:row>19</xdr:row>
      <xdr:rowOff>114300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CxnSpPr/>
      </xdr:nvCxnSpPr>
      <xdr:spPr>
        <a:xfrm flipH="1" flipV="1">
          <a:off x="7269480" y="4297680"/>
          <a:ext cx="3657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19</xdr:row>
      <xdr:rowOff>106680</xdr:rowOff>
    </xdr:from>
    <xdr:to>
      <xdr:col>47</xdr:col>
      <xdr:colOff>7620</xdr:colOff>
      <xdr:row>29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CxnSpPr/>
      </xdr:nvCxnSpPr>
      <xdr:spPr>
        <a:xfrm>
          <a:off x="7635240" y="4297680"/>
          <a:ext cx="7620" cy="17983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30480</xdr:colOff>
      <xdr:row>29</xdr:row>
      <xdr:rowOff>0</xdr:rowOff>
    </xdr:from>
    <xdr:to>
      <xdr:col>42</xdr:col>
      <xdr:colOff>34290</xdr:colOff>
      <xdr:row>31</xdr:row>
      <xdr:rowOff>1905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CxnSpPr/>
      </xdr:nvCxnSpPr>
      <xdr:spPr>
        <a:xfrm>
          <a:off x="6858000" y="6096000"/>
          <a:ext cx="3810" cy="24574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7620</xdr:colOff>
      <xdr:row>29</xdr:row>
      <xdr:rowOff>0</xdr:rowOff>
    </xdr:from>
    <xdr:to>
      <xdr:col>27</xdr:col>
      <xdr:colOff>15240</xdr:colOff>
      <xdr:row>37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CxnSpPr/>
      </xdr:nvCxnSpPr>
      <xdr:spPr>
        <a:xfrm flipV="1">
          <a:off x="4411980" y="6096000"/>
          <a:ext cx="7620" cy="16611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15240</xdr:colOff>
      <xdr:row>37</xdr:row>
      <xdr:rowOff>0</xdr:rowOff>
    </xdr:from>
    <xdr:to>
      <xdr:col>52</xdr:col>
      <xdr:colOff>7620</xdr:colOff>
      <xdr:row>37</xdr:row>
      <xdr:rowOff>7620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CxnSpPr/>
      </xdr:nvCxnSpPr>
      <xdr:spPr>
        <a:xfrm flipH="1" flipV="1">
          <a:off x="4419600" y="7757160"/>
          <a:ext cx="403098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7620</xdr:colOff>
      <xdr:row>37</xdr:row>
      <xdr:rowOff>15240</xdr:rowOff>
    </xdr:from>
    <xdr:to>
      <xdr:col>52</xdr:col>
      <xdr:colOff>7620</xdr:colOff>
      <xdr:row>41</xdr:row>
      <xdr:rowOff>9525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CxnSpPr/>
      </xdr:nvCxnSpPr>
      <xdr:spPr>
        <a:xfrm>
          <a:off x="8450580" y="7772400"/>
          <a:ext cx="0" cy="4819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45</xdr:row>
      <xdr:rowOff>0</xdr:rowOff>
    </xdr:from>
    <xdr:to>
      <xdr:col>29</xdr:col>
      <xdr:colOff>190500</xdr:colOff>
      <xdr:row>47</xdr:row>
      <xdr:rowOff>114300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CxnSpPr/>
      </xdr:nvCxnSpPr>
      <xdr:spPr>
        <a:xfrm flipV="1">
          <a:off x="4716780" y="941832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22860</xdr:colOff>
      <xdr:row>56</xdr:row>
      <xdr:rowOff>0</xdr:rowOff>
    </xdr:from>
    <xdr:to>
      <xdr:col>42</xdr:col>
      <xdr:colOff>45720</xdr:colOff>
      <xdr:row>56</xdr:row>
      <xdr:rowOff>7620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CxnSpPr/>
      </xdr:nvCxnSpPr>
      <xdr:spPr>
        <a:xfrm>
          <a:off x="4427220" y="11536680"/>
          <a:ext cx="244602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45720</xdr:colOff>
      <xdr:row>56</xdr:row>
      <xdr:rowOff>0</xdr:rowOff>
    </xdr:from>
    <xdr:to>
      <xdr:col>42</xdr:col>
      <xdr:colOff>45720</xdr:colOff>
      <xdr:row>59</xdr:row>
      <xdr:rowOff>1905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CxnSpPr/>
      </xdr:nvCxnSpPr>
      <xdr:spPr>
        <a:xfrm>
          <a:off x="6873240" y="11445240"/>
          <a:ext cx="0" cy="3676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213360</xdr:colOff>
      <xdr:row>17</xdr:row>
      <xdr:rowOff>15240</xdr:rowOff>
    </xdr:from>
    <xdr:to>
      <xdr:col>21</xdr:col>
      <xdr:colOff>220980</xdr:colOff>
      <xdr:row>20</xdr:row>
      <xdr:rowOff>22860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CxnSpPr/>
      </xdr:nvCxnSpPr>
      <xdr:spPr>
        <a:xfrm flipH="1">
          <a:off x="3581400" y="3962400"/>
          <a:ext cx="7620" cy="37338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30480</xdr:colOff>
      <xdr:row>28</xdr:row>
      <xdr:rowOff>114300</xdr:rowOff>
    </xdr:from>
    <xdr:to>
      <xdr:col>47</xdr:col>
      <xdr:colOff>15240</xdr:colOff>
      <xdr:row>29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CxnSpPr/>
      </xdr:nvCxnSpPr>
      <xdr:spPr>
        <a:xfrm flipV="1">
          <a:off x="6858000" y="6088380"/>
          <a:ext cx="79248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28</xdr:row>
      <xdr:rowOff>9525</xdr:rowOff>
    </xdr:from>
    <xdr:to>
      <xdr:col>16</xdr:col>
      <xdr:colOff>0</xdr:colOff>
      <xdr:row>28</xdr:row>
      <xdr:rowOff>15240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CxnSpPr/>
      </xdr:nvCxnSpPr>
      <xdr:spPr>
        <a:xfrm flipV="1">
          <a:off x="2190750" y="6000750"/>
          <a:ext cx="552450" cy="571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</xdr:colOff>
      <xdr:row>19</xdr:row>
      <xdr:rowOff>15240</xdr:rowOff>
    </xdr:from>
    <xdr:to>
      <xdr:col>16</xdr:col>
      <xdr:colOff>30480</xdr:colOff>
      <xdr:row>28</xdr:row>
      <xdr:rowOff>15240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CxnSpPr/>
      </xdr:nvCxnSpPr>
      <xdr:spPr>
        <a:xfrm flipH="1">
          <a:off x="2750820" y="4206240"/>
          <a:ext cx="7620" cy="178308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213360</xdr:colOff>
      <xdr:row>26</xdr:row>
      <xdr:rowOff>175260</xdr:rowOff>
    </xdr:from>
    <xdr:to>
      <xdr:col>11</xdr:col>
      <xdr:colOff>220980</xdr:colOff>
      <xdr:row>29</xdr:row>
      <xdr:rowOff>15240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CxnSpPr/>
      </xdr:nvCxnSpPr>
      <xdr:spPr>
        <a:xfrm flipH="1">
          <a:off x="1965960" y="5836920"/>
          <a:ext cx="7620" cy="2743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205740</xdr:colOff>
      <xdr:row>28</xdr:row>
      <xdr:rowOff>22860</xdr:rowOff>
    </xdr:from>
    <xdr:to>
      <xdr:col>12</xdr:col>
      <xdr:colOff>205740</xdr:colOff>
      <xdr:row>30</xdr:row>
      <xdr:rowOff>108585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CxnSpPr/>
      </xdr:nvCxnSpPr>
      <xdr:spPr>
        <a:xfrm>
          <a:off x="2186940" y="5996940"/>
          <a:ext cx="0" cy="3295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</xdr:colOff>
      <xdr:row>27</xdr:row>
      <xdr:rowOff>0</xdr:rowOff>
    </xdr:from>
    <xdr:to>
      <xdr:col>23</xdr:col>
      <xdr:colOff>38100</xdr:colOff>
      <xdr:row>29</xdr:row>
      <xdr:rowOff>99060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CxnSpPr/>
      </xdr:nvCxnSpPr>
      <xdr:spPr>
        <a:xfrm>
          <a:off x="3863340" y="5852160"/>
          <a:ext cx="0" cy="3429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45720</xdr:colOff>
      <xdr:row>29</xdr:row>
      <xdr:rowOff>91440</xdr:rowOff>
    </xdr:from>
    <xdr:to>
      <xdr:col>32</xdr:col>
      <xdr:colOff>38100</xdr:colOff>
      <xdr:row>29</xdr:row>
      <xdr:rowOff>99060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CxnSpPr/>
      </xdr:nvCxnSpPr>
      <xdr:spPr>
        <a:xfrm flipV="1">
          <a:off x="3870960" y="6187440"/>
          <a:ext cx="137922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15240</xdr:colOff>
      <xdr:row>29</xdr:row>
      <xdr:rowOff>83820</xdr:rowOff>
    </xdr:from>
    <xdr:to>
      <xdr:col>32</xdr:col>
      <xdr:colOff>22860</xdr:colOff>
      <xdr:row>31</xdr:row>
      <xdr:rowOff>1905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CxnSpPr/>
      </xdr:nvCxnSpPr>
      <xdr:spPr>
        <a:xfrm flipH="1">
          <a:off x="5227320" y="6179820"/>
          <a:ext cx="7620" cy="1619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213360</xdr:colOff>
      <xdr:row>35</xdr:row>
      <xdr:rowOff>7620</xdr:rowOff>
    </xdr:from>
    <xdr:to>
      <xdr:col>31</xdr:col>
      <xdr:colOff>213360</xdr:colOff>
      <xdr:row>38</xdr:row>
      <xdr:rowOff>68580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F00-00002A000000}"/>
            </a:ext>
          </a:extLst>
        </xdr:cNvPr>
        <xdr:cNvCxnSpPr/>
      </xdr:nvCxnSpPr>
      <xdr:spPr>
        <a:xfrm>
          <a:off x="5196840" y="7520940"/>
          <a:ext cx="0" cy="4267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220980</xdr:colOff>
      <xdr:row>38</xdr:row>
      <xdr:rowOff>60960</xdr:rowOff>
    </xdr:from>
    <xdr:to>
      <xdr:col>31</xdr:col>
      <xdr:colOff>213360</xdr:colOff>
      <xdr:row>38</xdr:row>
      <xdr:rowOff>68580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F00-00002B000000}"/>
            </a:ext>
          </a:extLst>
        </xdr:cNvPr>
        <xdr:cNvCxnSpPr/>
      </xdr:nvCxnSpPr>
      <xdr:spPr>
        <a:xfrm flipH="1" flipV="1">
          <a:off x="1973580" y="7940040"/>
          <a:ext cx="32232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220980</xdr:colOff>
      <xdr:row>38</xdr:row>
      <xdr:rowOff>60960</xdr:rowOff>
    </xdr:from>
    <xdr:to>
      <xdr:col>12</xdr:col>
      <xdr:colOff>0</xdr:colOff>
      <xdr:row>40</xdr:row>
      <xdr:rowOff>108585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F00-00002C000000}"/>
            </a:ext>
          </a:extLst>
        </xdr:cNvPr>
        <xdr:cNvCxnSpPr/>
      </xdr:nvCxnSpPr>
      <xdr:spPr>
        <a:xfrm flipH="1">
          <a:off x="1973580" y="7940040"/>
          <a:ext cx="7620" cy="2914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</xdr:colOff>
      <xdr:row>27</xdr:row>
      <xdr:rowOff>0</xdr:rowOff>
    </xdr:from>
    <xdr:to>
      <xdr:col>41</xdr:col>
      <xdr:colOff>7620</xdr:colOff>
      <xdr:row>28</xdr:row>
      <xdr:rowOff>76200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F00-00002D000000}"/>
            </a:ext>
          </a:extLst>
        </xdr:cNvPr>
        <xdr:cNvCxnSpPr/>
      </xdr:nvCxnSpPr>
      <xdr:spPr>
        <a:xfrm>
          <a:off x="6606540" y="5852160"/>
          <a:ext cx="0" cy="1981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53340</xdr:colOff>
      <xdr:row>28</xdr:row>
      <xdr:rowOff>76200</xdr:rowOff>
    </xdr:from>
    <xdr:to>
      <xdr:col>41</xdr:col>
      <xdr:colOff>22860</xdr:colOff>
      <xdr:row>28</xdr:row>
      <xdr:rowOff>83820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F00-00002E000000}"/>
            </a:ext>
          </a:extLst>
        </xdr:cNvPr>
        <xdr:cNvCxnSpPr/>
      </xdr:nvCxnSpPr>
      <xdr:spPr>
        <a:xfrm flipV="1">
          <a:off x="5951220" y="6050280"/>
          <a:ext cx="6705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45720</xdr:colOff>
      <xdr:row>28</xdr:row>
      <xdr:rowOff>91440</xdr:rowOff>
    </xdr:from>
    <xdr:to>
      <xdr:col>36</xdr:col>
      <xdr:colOff>0</xdr:colOff>
      <xdr:row>38</xdr:row>
      <xdr:rowOff>106680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CxnSpPr/>
      </xdr:nvCxnSpPr>
      <xdr:spPr>
        <a:xfrm flipH="1">
          <a:off x="5943600" y="6065520"/>
          <a:ext cx="15240" cy="19202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45720</xdr:colOff>
      <xdr:row>38</xdr:row>
      <xdr:rowOff>99060</xdr:rowOff>
    </xdr:from>
    <xdr:to>
      <xdr:col>35</xdr:col>
      <xdr:colOff>30480</xdr:colOff>
      <xdr:row>38</xdr:row>
      <xdr:rowOff>106680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CxnSpPr/>
      </xdr:nvCxnSpPr>
      <xdr:spPr>
        <a:xfrm flipV="1">
          <a:off x="5257800" y="7978140"/>
          <a:ext cx="6705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</xdr:colOff>
      <xdr:row>38</xdr:row>
      <xdr:rowOff>114300</xdr:rowOff>
    </xdr:from>
    <xdr:to>
      <xdr:col>32</xdr:col>
      <xdr:colOff>38100</xdr:colOff>
      <xdr:row>40</xdr:row>
      <xdr:rowOff>108585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F00-000031000000}"/>
            </a:ext>
          </a:extLst>
        </xdr:cNvPr>
        <xdr:cNvCxnSpPr/>
      </xdr:nvCxnSpPr>
      <xdr:spPr>
        <a:xfrm>
          <a:off x="5250180" y="7993380"/>
          <a:ext cx="0" cy="238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29</xdr:row>
      <xdr:rowOff>0</xdr:rowOff>
    </xdr:from>
    <xdr:to>
      <xdr:col>16</xdr:col>
      <xdr:colOff>15240</xdr:colOff>
      <xdr:row>47</xdr:row>
      <xdr:rowOff>76200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F00-000034000000}"/>
            </a:ext>
          </a:extLst>
        </xdr:cNvPr>
        <xdr:cNvCxnSpPr/>
      </xdr:nvCxnSpPr>
      <xdr:spPr>
        <a:xfrm flipH="1">
          <a:off x="2727960" y="6096000"/>
          <a:ext cx="15240" cy="36423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121920</xdr:colOff>
      <xdr:row>47</xdr:row>
      <xdr:rowOff>60960</xdr:rowOff>
    </xdr:from>
    <xdr:to>
      <xdr:col>15</xdr:col>
      <xdr:colOff>53340</xdr:colOff>
      <xdr:row>47</xdr:row>
      <xdr:rowOff>60960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F00-000035000000}"/>
            </a:ext>
          </a:extLst>
        </xdr:cNvPr>
        <xdr:cNvCxnSpPr/>
      </xdr:nvCxnSpPr>
      <xdr:spPr>
        <a:xfrm flipH="1">
          <a:off x="1874520" y="9723120"/>
          <a:ext cx="8458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129540</xdr:colOff>
      <xdr:row>47</xdr:row>
      <xdr:rowOff>68580</xdr:rowOff>
    </xdr:from>
    <xdr:to>
      <xdr:col>11</xdr:col>
      <xdr:colOff>137160</xdr:colOff>
      <xdr:row>48</xdr:row>
      <xdr:rowOff>108585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F00-000036000000}"/>
            </a:ext>
          </a:extLst>
        </xdr:cNvPr>
        <xdr:cNvCxnSpPr/>
      </xdr:nvCxnSpPr>
      <xdr:spPr>
        <a:xfrm flipH="1">
          <a:off x="1882140" y="9730740"/>
          <a:ext cx="7620" cy="1619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45720</xdr:colOff>
      <xdr:row>47</xdr:row>
      <xdr:rowOff>106680</xdr:rowOff>
    </xdr:from>
    <xdr:to>
      <xdr:col>29</xdr:col>
      <xdr:colOff>182880</xdr:colOff>
      <xdr:row>47</xdr:row>
      <xdr:rowOff>106680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F00-00003A000000}"/>
            </a:ext>
          </a:extLst>
        </xdr:cNvPr>
        <xdr:cNvCxnSpPr/>
      </xdr:nvCxnSpPr>
      <xdr:spPr>
        <a:xfrm flipH="1">
          <a:off x="4450080" y="9860280"/>
          <a:ext cx="25908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38100</xdr:colOff>
      <xdr:row>47</xdr:row>
      <xdr:rowOff>91440</xdr:rowOff>
    </xdr:from>
    <xdr:to>
      <xdr:col>27</xdr:col>
      <xdr:colOff>45720</xdr:colOff>
      <xdr:row>56</xdr:row>
      <xdr:rowOff>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F00-00003B000000}"/>
            </a:ext>
          </a:extLst>
        </xdr:cNvPr>
        <xdr:cNvCxnSpPr/>
      </xdr:nvCxnSpPr>
      <xdr:spPr>
        <a:xfrm flipV="1">
          <a:off x="4442460" y="9845040"/>
          <a:ext cx="7620" cy="16916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15240</xdr:colOff>
      <xdr:row>63</xdr:row>
      <xdr:rowOff>22860</xdr:rowOff>
    </xdr:from>
    <xdr:to>
      <xdr:col>31</xdr:col>
      <xdr:colOff>15240</xdr:colOff>
      <xdr:row>64</xdr:row>
      <xdr:rowOff>91440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CxnSpPr/>
      </xdr:nvCxnSpPr>
      <xdr:spPr>
        <a:xfrm flipV="1">
          <a:off x="4998720" y="13007340"/>
          <a:ext cx="0" cy="1905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</xdr:colOff>
      <xdr:row>64</xdr:row>
      <xdr:rowOff>76200</xdr:rowOff>
    </xdr:from>
    <xdr:to>
      <xdr:col>31</xdr:col>
      <xdr:colOff>0</xdr:colOff>
      <xdr:row>64</xdr:row>
      <xdr:rowOff>76200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CxnSpPr/>
      </xdr:nvCxnSpPr>
      <xdr:spPr>
        <a:xfrm flipH="1">
          <a:off x="3604260" y="13182600"/>
          <a:ext cx="13792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64</xdr:row>
      <xdr:rowOff>83820</xdr:rowOff>
    </xdr:from>
    <xdr:to>
      <xdr:col>22</xdr:col>
      <xdr:colOff>0</xdr:colOff>
      <xdr:row>67</xdr:row>
      <xdr:rowOff>9525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F00-000041000000}"/>
            </a:ext>
          </a:extLst>
        </xdr:cNvPr>
        <xdr:cNvCxnSpPr/>
      </xdr:nvCxnSpPr>
      <xdr:spPr>
        <a:xfrm>
          <a:off x="3596640" y="13190220"/>
          <a:ext cx="0" cy="2914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</xdr:colOff>
      <xdr:row>45</xdr:row>
      <xdr:rowOff>7620</xdr:rowOff>
    </xdr:from>
    <xdr:to>
      <xdr:col>22</xdr:col>
      <xdr:colOff>7620</xdr:colOff>
      <xdr:row>46</xdr:row>
      <xdr:rowOff>114300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F00-000044000000}"/>
            </a:ext>
          </a:extLst>
        </xdr:cNvPr>
        <xdr:cNvCxnSpPr/>
      </xdr:nvCxnSpPr>
      <xdr:spPr>
        <a:xfrm flipV="1">
          <a:off x="3604260" y="9517380"/>
          <a:ext cx="0" cy="2286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</xdr:colOff>
      <xdr:row>46</xdr:row>
      <xdr:rowOff>114300</xdr:rowOff>
    </xdr:from>
    <xdr:to>
      <xdr:col>32</xdr:col>
      <xdr:colOff>76200</xdr:colOff>
      <xdr:row>47</xdr:row>
      <xdr:rowOff>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CxnSpPr/>
      </xdr:nvCxnSpPr>
      <xdr:spPr>
        <a:xfrm flipH="1">
          <a:off x="3604260" y="9745980"/>
          <a:ext cx="168402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60960</xdr:colOff>
      <xdr:row>47</xdr:row>
      <xdr:rowOff>0</xdr:rowOff>
    </xdr:from>
    <xdr:to>
      <xdr:col>32</xdr:col>
      <xdr:colOff>60960</xdr:colOff>
      <xdr:row>48</xdr:row>
      <xdr:rowOff>116205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F00-000048000000}"/>
            </a:ext>
          </a:extLst>
        </xdr:cNvPr>
        <xdr:cNvCxnSpPr/>
      </xdr:nvCxnSpPr>
      <xdr:spPr>
        <a:xfrm>
          <a:off x="5273040" y="9753600"/>
          <a:ext cx="0" cy="238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45</xdr:row>
      <xdr:rowOff>15240</xdr:rowOff>
    </xdr:from>
    <xdr:to>
      <xdr:col>12</xdr:col>
      <xdr:colOff>0</xdr:colOff>
      <xdr:row>46</xdr:row>
      <xdr:rowOff>53340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F00-00004A000000}"/>
            </a:ext>
          </a:extLst>
        </xdr:cNvPr>
        <xdr:cNvCxnSpPr/>
      </xdr:nvCxnSpPr>
      <xdr:spPr>
        <a:xfrm flipV="1">
          <a:off x="1981200" y="9525000"/>
          <a:ext cx="0" cy="1600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220980</xdr:colOff>
      <xdr:row>46</xdr:row>
      <xdr:rowOff>38100</xdr:rowOff>
    </xdr:from>
    <xdr:to>
      <xdr:col>16</xdr:col>
      <xdr:colOff>45720</xdr:colOff>
      <xdr:row>46</xdr:row>
      <xdr:rowOff>45720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F00-00004C000000}"/>
            </a:ext>
          </a:extLst>
        </xdr:cNvPr>
        <xdr:cNvCxnSpPr/>
      </xdr:nvCxnSpPr>
      <xdr:spPr>
        <a:xfrm flipH="1">
          <a:off x="1973580" y="9669780"/>
          <a:ext cx="80010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45720</xdr:colOff>
      <xdr:row>46</xdr:row>
      <xdr:rowOff>22860</xdr:rowOff>
    </xdr:from>
    <xdr:to>
      <xdr:col>16</xdr:col>
      <xdr:colOff>53340</xdr:colOff>
      <xdr:row>56</xdr:row>
      <xdr:rowOff>22860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F00-00004E000000}"/>
            </a:ext>
          </a:extLst>
        </xdr:cNvPr>
        <xdr:cNvCxnSpPr/>
      </xdr:nvCxnSpPr>
      <xdr:spPr>
        <a:xfrm flipV="1">
          <a:off x="2773680" y="9654540"/>
          <a:ext cx="7620" cy="19050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175260</xdr:colOff>
      <xdr:row>56</xdr:row>
      <xdr:rowOff>15240</xdr:rowOff>
    </xdr:from>
    <xdr:to>
      <xdr:col>17</xdr:col>
      <xdr:colOff>7620</xdr:colOff>
      <xdr:row>56</xdr:row>
      <xdr:rowOff>15240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F00-000050000000}"/>
            </a:ext>
          </a:extLst>
        </xdr:cNvPr>
        <xdr:cNvCxnSpPr/>
      </xdr:nvCxnSpPr>
      <xdr:spPr>
        <a:xfrm>
          <a:off x="1927860" y="11551920"/>
          <a:ext cx="86868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56</xdr:row>
      <xdr:rowOff>15240</xdr:rowOff>
    </xdr:from>
    <xdr:to>
      <xdr:col>11</xdr:col>
      <xdr:colOff>190500</xdr:colOff>
      <xdr:row>59</xdr:row>
      <xdr:rowOff>17145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0F00-000052000000}"/>
            </a:ext>
          </a:extLst>
        </xdr:cNvPr>
        <xdr:cNvCxnSpPr/>
      </xdr:nvCxnSpPr>
      <xdr:spPr>
        <a:xfrm>
          <a:off x="1943100" y="11551920"/>
          <a:ext cx="0" cy="3676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53340</xdr:colOff>
      <xdr:row>47</xdr:row>
      <xdr:rowOff>0</xdr:rowOff>
    </xdr:from>
    <xdr:to>
      <xdr:col>26</xdr:col>
      <xdr:colOff>7620</xdr:colOff>
      <xdr:row>56</xdr:row>
      <xdr:rowOff>22860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F00-000058000000}"/>
            </a:ext>
          </a:extLst>
        </xdr:cNvPr>
        <xdr:cNvCxnSpPr/>
      </xdr:nvCxnSpPr>
      <xdr:spPr>
        <a:xfrm flipV="1">
          <a:off x="4335780" y="9753600"/>
          <a:ext cx="15240" cy="18059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220980</xdr:colOff>
      <xdr:row>56</xdr:row>
      <xdr:rowOff>22860</xdr:rowOff>
    </xdr:from>
    <xdr:to>
      <xdr:col>26</xdr:col>
      <xdr:colOff>15240</xdr:colOff>
      <xdr:row>56</xdr:row>
      <xdr:rowOff>22860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F00-00005A000000}"/>
            </a:ext>
          </a:extLst>
        </xdr:cNvPr>
        <xdr:cNvCxnSpPr/>
      </xdr:nvCxnSpPr>
      <xdr:spPr>
        <a:xfrm>
          <a:off x="3589020" y="11559540"/>
          <a:ext cx="7696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220980</xdr:colOff>
      <xdr:row>56</xdr:row>
      <xdr:rowOff>30480</xdr:rowOff>
    </xdr:from>
    <xdr:to>
      <xdr:col>22</xdr:col>
      <xdr:colOff>0</xdr:colOff>
      <xdr:row>58</xdr:row>
      <xdr:rowOff>116205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F00-00005C000000}"/>
            </a:ext>
          </a:extLst>
        </xdr:cNvPr>
        <xdr:cNvCxnSpPr/>
      </xdr:nvCxnSpPr>
      <xdr:spPr>
        <a:xfrm flipH="1">
          <a:off x="3589020" y="11567160"/>
          <a:ext cx="7620" cy="3295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160020</xdr:colOff>
      <xdr:row>52</xdr:row>
      <xdr:rowOff>182880</xdr:rowOff>
    </xdr:from>
    <xdr:to>
      <xdr:col>31</xdr:col>
      <xdr:colOff>160020</xdr:colOff>
      <xdr:row>54</xdr:row>
      <xdr:rowOff>60960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0000000-0008-0000-0F00-00005F000000}"/>
            </a:ext>
          </a:extLst>
        </xdr:cNvPr>
        <xdr:cNvCxnSpPr/>
      </xdr:nvCxnSpPr>
      <xdr:spPr>
        <a:xfrm flipV="1">
          <a:off x="5143500" y="11163300"/>
          <a:ext cx="0" cy="1905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54</xdr:row>
      <xdr:rowOff>60960</xdr:rowOff>
    </xdr:from>
    <xdr:to>
      <xdr:col>31</xdr:col>
      <xdr:colOff>167640</xdr:colOff>
      <xdr:row>54</xdr:row>
      <xdr:rowOff>76200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F00-000060000000}"/>
            </a:ext>
          </a:extLst>
        </xdr:cNvPr>
        <xdr:cNvCxnSpPr/>
      </xdr:nvCxnSpPr>
      <xdr:spPr>
        <a:xfrm flipH="1">
          <a:off x="2727960" y="11353800"/>
          <a:ext cx="2423160" cy="152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54</xdr:row>
      <xdr:rowOff>68580</xdr:rowOff>
    </xdr:from>
    <xdr:to>
      <xdr:col>16</xdr:col>
      <xdr:colOff>7620</xdr:colOff>
      <xdr:row>65</xdr:row>
      <xdr:rowOff>60960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0F00-000062000000}"/>
            </a:ext>
          </a:extLst>
        </xdr:cNvPr>
        <xdr:cNvCxnSpPr/>
      </xdr:nvCxnSpPr>
      <xdr:spPr>
        <a:xfrm flipH="1" flipV="1">
          <a:off x="2727960" y="11361420"/>
          <a:ext cx="7620" cy="20193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205740</xdr:colOff>
      <xdr:row>65</xdr:row>
      <xdr:rowOff>68580</xdr:rowOff>
    </xdr:from>
    <xdr:to>
      <xdr:col>16</xdr:col>
      <xdr:colOff>0</xdr:colOff>
      <xdr:row>65</xdr:row>
      <xdr:rowOff>68580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0F00-000064000000}"/>
            </a:ext>
          </a:extLst>
        </xdr:cNvPr>
        <xdr:cNvCxnSpPr/>
      </xdr:nvCxnSpPr>
      <xdr:spPr>
        <a:xfrm flipH="1">
          <a:off x="1958340" y="13388340"/>
          <a:ext cx="7696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198120</xdr:colOff>
      <xdr:row>65</xdr:row>
      <xdr:rowOff>68580</xdr:rowOff>
    </xdr:from>
    <xdr:to>
      <xdr:col>11</xdr:col>
      <xdr:colOff>198120</xdr:colOff>
      <xdr:row>66</xdr:row>
      <xdr:rowOff>116205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F00-000066000000}"/>
            </a:ext>
          </a:extLst>
        </xdr:cNvPr>
        <xdr:cNvCxnSpPr/>
      </xdr:nvCxnSpPr>
      <xdr:spPr>
        <a:xfrm>
          <a:off x="1950720" y="13388340"/>
          <a:ext cx="0" cy="16954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</xdr:colOff>
      <xdr:row>27</xdr:row>
      <xdr:rowOff>0</xdr:rowOff>
    </xdr:from>
    <xdr:to>
      <xdr:col>52</xdr:col>
      <xdr:colOff>1</xdr:colOff>
      <xdr:row>28</xdr:row>
      <xdr:rowOff>77612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F00-000049000000}"/>
            </a:ext>
          </a:extLst>
        </xdr:cNvPr>
        <xdr:cNvCxnSpPr/>
      </xdr:nvCxnSpPr>
      <xdr:spPr>
        <a:xfrm>
          <a:off x="8650112" y="5898444"/>
          <a:ext cx="0" cy="20461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62653</xdr:colOff>
      <xdr:row>28</xdr:row>
      <xdr:rowOff>8185</xdr:rowOff>
    </xdr:from>
    <xdr:to>
      <xdr:col>17</xdr:col>
      <xdr:colOff>6773</xdr:colOff>
      <xdr:row>37</xdr:row>
      <xdr:rowOff>8184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F00-00004D000000}"/>
            </a:ext>
          </a:extLst>
        </xdr:cNvPr>
        <xdr:cNvCxnSpPr/>
      </xdr:nvCxnSpPr>
      <xdr:spPr>
        <a:xfrm flipH="1">
          <a:off x="2870764" y="6033629"/>
          <a:ext cx="7620" cy="180622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58420</xdr:colOff>
      <xdr:row>36</xdr:row>
      <xdr:rowOff>123613</xdr:rowOff>
    </xdr:from>
    <xdr:to>
      <xdr:col>22</xdr:col>
      <xdr:colOff>2540</xdr:colOff>
      <xdr:row>36</xdr:row>
      <xdr:rowOff>123613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F00-00004F000000}"/>
            </a:ext>
          </a:extLst>
        </xdr:cNvPr>
        <xdr:cNvCxnSpPr/>
      </xdr:nvCxnSpPr>
      <xdr:spPr>
        <a:xfrm>
          <a:off x="2866531" y="7828280"/>
          <a:ext cx="8331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230858</xdr:colOff>
      <xdr:row>36</xdr:row>
      <xdr:rowOff>124178</xdr:rowOff>
    </xdr:from>
    <xdr:to>
      <xdr:col>21</xdr:col>
      <xdr:colOff>230858</xdr:colOff>
      <xdr:row>40</xdr:row>
      <xdr:rowOff>118463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0F00-000051000000}"/>
            </a:ext>
          </a:extLst>
        </xdr:cNvPr>
        <xdr:cNvCxnSpPr/>
      </xdr:nvCxnSpPr>
      <xdr:spPr>
        <a:xfrm>
          <a:off x="3695136" y="7828845"/>
          <a:ext cx="0" cy="5022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4515</xdr:colOff>
      <xdr:row>28</xdr:row>
      <xdr:rowOff>84949</xdr:rowOff>
    </xdr:from>
    <xdr:to>
      <xdr:col>57</xdr:col>
      <xdr:colOff>0</xdr:colOff>
      <xdr:row>28</xdr:row>
      <xdr:rowOff>85725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F00-000053000000}"/>
            </a:ext>
          </a:extLst>
        </xdr:cNvPr>
        <xdr:cNvCxnSpPr/>
      </xdr:nvCxnSpPr>
      <xdr:spPr>
        <a:xfrm>
          <a:off x="8405565" y="6076174"/>
          <a:ext cx="795585" cy="77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54680</xdr:colOff>
      <xdr:row>28</xdr:row>
      <xdr:rowOff>94968</xdr:rowOff>
    </xdr:from>
    <xdr:to>
      <xdr:col>57</xdr:col>
      <xdr:colOff>1481</xdr:colOff>
      <xdr:row>38</xdr:row>
      <xdr:rowOff>19050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F00-000054000000}"/>
            </a:ext>
          </a:extLst>
        </xdr:cNvPr>
        <xdr:cNvCxnSpPr/>
      </xdr:nvCxnSpPr>
      <xdr:spPr>
        <a:xfrm flipH="1">
          <a:off x="9198680" y="6086193"/>
          <a:ext cx="3951" cy="183860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7056</xdr:colOff>
      <xdr:row>38</xdr:row>
      <xdr:rowOff>9525</xdr:rowOff>
    </xdr:from>
    <xdr:to>
      <xdr:col>56</xdr:col>
      <xdr:colOff>47625</xdr:colOff>
      <xdr:row>38</xdr:row>
      <xdr:rowOff>17780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F00-000055000000}"/>
            </a:ext>
          </a:extLst>
        </xdr:cNvPr>
        <xdr:cNvCxnSpPr/>
      </xdr:nvCxnSpPr>
      <xdr:spPr>
        <a:xfrm flipH="1">
          <a:off x="3607506" y="7915275"/>
          <a:ext cx="5584119" cy="825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9525</xdr:colOff>
      <xdr:row>19</xdr:row>
      <xdr:rowOff>9525</xdr:rowOff>
    </xdr:from>
    <xdr:to>
      <xdr:col>58</xdr:col>
      <xdr:colOff>9525</xdr:colOff>
      <xdr:row>29</xdr:row>
      <xdr:rowOff>66675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E3E817B6-33C7-42F6-ACDF-B20BF45036A1}"/>
            </a:ext>
          </a:extLst>
        </xdr:cNvPr>
        <xdr:cNvCxnSpPr/>
      </xdr:nvCxnSpPr>
      <xdr:spPr>
        <a:xfrm>
          <a:off x="9267825" y="4210050"/>
          <a:ext cx="0" cy="19716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29</xdr:row>
      <xdr:rowOff>57150</xdr:rowOff>
    </xdr:from>
    <xdr:to>
      <xdr:col>62</xdr:col>
      <xdr:colOff>52635</xdr:colOff>
      <xdr:row>29</xdr:row>
      <xdr:rowOff>57926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C2631B08-D40B-4252-A204-732C2B483051}"/>
            </a:ext>
          </a:extLst>
        </xdr:cNvPr>
        <xdr:cNvCxnSpPr/>
      </xdr:nvCxnSpPr>
      <xdr:spPr>
        <a:xfrm>
          <a:off x="9258300" y="6172200"/>
          <a:ext cx="795585" cy="77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60960</xdr:colOff>
      <xdr:row>29</xdr:row>
      <xdr:rowOff>57150</xdr:rowOff>
    </xdr:from>
    <xdr:to>
      <xdr:col>62</xdr:col>
      <xdr:colOff>66675</xdr:colOff>
      <xdr:row>31</xdr:row>
      <xdr:rowOff>1905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1C382D46-5D39-4034-8839-442993B41F7B}"/>
            </a:ext>
          </a:extLst>
        </xdr:cNvPr>
        <xdr:cNvCxnSpPr/>
      </xdr:nvCxnSpPr>
      <xdr:spPr>
        <a:xfrm flipH="1">
          <a:off x="10062210" y="6172200"/>
          <a:ext cx="5715" cy="1924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39</xdr:row>
      <xdr:rowOff>47625</xdr:rowOff>
    </xdr:from>
    <xdr:to>
      <xdr:col>62</xdr:col>
      <xdr:colOff>104775</xdr:colOff>
      <xdr:row>39</xdr:row>
      <xdr:rowOff>47625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D6AB5D64-DA0D-4602-BA0D-CC3D405A219D}"/>
            </a:ext>
          </a:extLst>
        </xdr:cNvPr>
        <xdr:cNvCxnSpPr/>
      </xdr:nvCxnSpPr>
      <xdr:spPr>
        <a:xfrm flipH="1">
          <a:off x="9258300" y="8077200"/>
          <a:ext cx="84772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114300</xdr:colOff>
      <xdr:row>35</xdr:row>
      <xdr:rowOff>9525</xdr:rowOff>
    </xdr:from>
    <xdr:to>
      <xdr:col>62</xdr:col>
      <xdr:colOff>114300</xdr:colOff>
      <xdr:row>39</xdr:row>
      <xdr:rowOff>51435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32B8A142-8829-4E84-BDC8-01C21C45CAF9}"/>
            </a:ext>
          </a:extLst>
        </xdr:cNvPr>
        <xdr:cNvCxnSpPr/>
      </xdr:nvCxnSpPr>
      <xdr:spPr>
        <a:xfrm>
          <a:off x="10115550" y="7543800"/>
          <a:ext cx="0" cy="53721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47625</xdr:colOff>
      <xdr:row>39</xdr:row>
      <xdr:rowOff>47625</xdr:rowOff>
    </xdr:from>
    <xdr:to>
      <xdr:col>57</xdr:col>
      <xdr:colOff>47625</xdr:colOff>
      <xdr:row>47</xdr:row>
      <xdr:rowOff>9525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5038870B-7DF7-4C5E-85A6-BE0B30C5AF31}"/>
            </a:ext>
          </a:extLst>
        </xdr:cNvPr>
        <xdr:cNvCxnSpPr/>
      </xdr:nvCxnSpPr>
      <xdr:spPr>
        <a:xfrm flipV="1">
          <a:off x="9248775" y="8077200"/>
          <a:ext cx="0" cy="16287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209550</xdr:colOff>
      <xdr:row>47</xdr:row>
      <xdr:rowOff>0</xdr:rowOff>
    </xdr:from>
    <xdr:to>
      <xdr:col>57</xdr:col>
      <xdr:colOff>49530</xdr:colOff>
      <xdr:row>47</xdr:row>
      <xdr:rowOff>9525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F9E2AD45-E517-4988-8F42-09932EA12F4F}"/>
            </a:ext>
          </a:extLst>
        </xdr:cNvPr>
        <xdr:cNvCxnSpPr/>
      </xdr:nvCxnSpPr>
      <xdr:spPr>
        <a:xfrm flipH="1">
          <a:off x="6781800" y="9696450"/>
          <a:ext cx="246888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219075</xdr:colOff>
      <xdr:row>47</xdr:row>
      <xdr:rowOff>9525</xdr:rowOff>
    </xdr:from>
    <xdr:to>
      <xdr:col>41</xdr:col>
      <xdr:colOff>219075</xdr:colOff>
      <xdr:row>49</xdr:row>
      <xdr:rowOff>26670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39462B5D-05D7-4771-8761-513ED214B678}"/>
            </a:ext>
          </a:extLst>
        </xdr:cNvPr>
        <xdr:cNvCxnSpPr/>
      </xdr:nvCxnSpPr>
      <xdr:spPr>
        <a:xfrm>
          <a:off x="6791325" y="9705975"/>
          <a:ext cx="0" cy="2647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219075</xdr:colOff>
      <xdr:row>46</xdr:row>
      <xdr:rowOff>28575</xdr:rowOff>
    </xdr:from>
    <xdr:to>
      <xdr:col>22</xdr:col>
      <xdr:colOff>219075</xdr:colOff>
      <xdr:row>49</xdr:row>
      <xdr:rowOff>3810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BDBF2033-9971-4DC5-BDE4-45DA9742DFEC}"/>
            </a:ext>
          </a:extLst>
        </xdr:cNvPr>
        <xdr:cNvCxnSpPr/>
      </xdr:nvCxnSpPr>
      <xdr:spPr>
        <a:xfrm>
          <a:off x="3819525" y="9601200"/>
          <a:ext cx="0" cy="3467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209550</xdr:colOff>
      <xdr:row>46</xdr:row>
      <xdr:rowOff>26670</xdr:rowOff>
    </xdr:from>
    <xdr:to>
      <xdr:col>26</xdr:col>
      <xdr:colOff>38100</xdr:colOff>
      <xdr:row>46</xdr:row>
      <xdr:rowOff>28575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77FC8074-68D8-4955-8D64-CA7B71677B47}"/>
            </a:ext>
          </a:extLst>
        </xdr:cNvPr>
        <xdr:cNvCxnSpPr/>
      </xdr:nvCxnSpPr>
      <xdr:spPr>
        <a:xfrm flipH="1" flipV="1">
          <a:off x="3810000" y="9599295"/>
          <a:ext cx="571500" cy="190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</xdr:colOff>
      <xdr:row>36</xdr:row>
      <xdr:rowOff>47625</xdr:rowOff>
    </xdr:from>
    <xdr:to>
      <xdr:col>26</xdr:col>
      <xdr:colOff>28575</xdr:colOff>
      <xdr:row>46</xdr:row>
      <xdr:rowOff>38100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7CCA34CF-B50E-4010-97FC-14C06878DA67}"/>
            </a:ext>
          </a:extLst>
        </xdr:cNvPr>
        <xdr:cNvCxnSpPr/>
      </xdr:nvCxnSpPr>
      <xdr:spPr>
        <a:xfrm flipV="1">
          <a:off x="4371975" y="7705725"/>
          <a:ext cx="0" cy="19050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36</xdr:row>
      <xdr:rowOff>57150</xdr:rowOff>
    </xdr:from>
    <xdr:to>
      <xdr:col>51</xdr:col>
      <xdr:colOff>201930</xdr:colOff>
      <xdr:row>36</xdr:row>
      <xdr:rowOff>64770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2F951D23-1675-44BB-A093-6E8F7CE3D6B9}"/>
            </a:ext>
          </a:extLst>
        </xdr:cNvPr>
        <xdr:cNvCxnSpPr/>
      </xdr:nvCxnSpPr>
      <xdr:spPr>
        <a:xfrm flipH="1" flipV="1">
          <a:off x="4381500" y="7715250"/>
          <a:ext cx="399288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200025</xdr:colOff>
      <xdr:row>35</xdr:row>
      <xdr:rowOff>0</xdr:rowOff>
    </xdr:from>
    <xdr:to>
      <xdr:col>51</xdr:col>
      <xdr:colOff>200025</xdr:colOff>
      <xdr:row>36</xdr:row>
      <xdr:rowOff>60960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F1205BD0-0BE0-424B-B4BC-604EA8F15D3B}"/>
            </a:ext>
          </a:extLst>
        </xdr:cNvPr>
        <xdr:cNvCxnSpPr/>
      </xdr:nvCxnSpPr>
      <xdr:spPr>
        <a:xfrm>
          <a:off x="8372475" y="7534275"/>
          <a:ext cx="0" cy="18478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2439650" y="4953000"/>
          <a:ext cx="0" cy="350767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12439650" y="4953000"/>
          <a:ext cx="0" cy="350767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147410</xdr:colOff>
      <xdr:row>9</xdr:row>
      <xdr:rowOff>14968</xdr:rowOff>
    </xdr:from>
    <xdr:to>
      <xdr:col>31</xdr:col>
      <xdr:colOff>147410</xdr:colOff>
      <xdr:row>10</xdr:row>
      <xdr:rowOff>5443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CxnSpPr/>
      </xdr:nvCxnSpPr>
      <xdr:spPr>
        <a:xfrm>
          <a:off x="4937124" y="2344511"/>
          <a:ext cx="0" cy="11566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95250</xdr:colOff>
      <xdr:row>10</xdr:row>
      <xdr:rowOff>9525</xdr:rowOff>
    </xdr:from>
    <xdr:to>
      <xdr:col>31</xdr:col>
      <xdr:colOff>155575</xdr:colOff>
      <xdr:row>10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CxnSpPr/>
      </xdr:nvCxnSpPr>
      <xdr:spPr>
        <a:xfrm flipH="1">
          <a:off x="3714750" y="2457450"/>
          <a:ext cx="13843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104775</xdr:colOff>
      <xdr:row>10</xdr:row>
      <xdr:rowOff>15875</xdr:rowOff>
    </xdr:from>
    <xdr:to>
      <xdr:col>22</xdr:col>
      <xdr:colOff>104776</xdr:colOff>
      <xdr:row>13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CxnSpPr/>
      </xdr:nvCxnSpPr>
      <xdr:spPr>
        <a:xfrm flipH="1">
          <a:off x="3724275" y="2463800"/>
          <a:ext cx="1" cy="365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4083</xdr:colOff>
      <xdr:row>8</xdr:row>
      <xdr:rowOff>197304</xdr:rowOff>
    </xdr:from>
    <xdr:to>
      <xdr:col>52</xdr:col>
      <xdr:colOff>4083</xdr:colOff>
      <xdr:row>12</xdr:row>
      <xdr:rowOff>111579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CxnSpPr/>
      </xdr:nvCxnSpPr>
      <xdr:spPr>
        <a:xfrm>
          <a:off x="8103054" y="2325461"/>
          <a:ext cx="0" cy="49121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209550</xdr:colOff>
      <xdr:row>16</xdr:row>
      <xdr:rowOff>180975</xdr:rowOff>
    </xdr:from>
    <xdr:to>
      <xdr:col>51</xdr:col>
      <xdr:colOff>209550</xdr:colOff>
      <xdr:row>23</xdr:row>
      <xdr:rowOff>9525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CxnSpPr/>
      </xdr:nvCxnSpPr>
      <xdr:spPr>
        <a:xfrm>
          <a:off x="8239125" y="4000500"/>
          <a:ext cx="0" cy="7715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17</xdr:row>
      <xdr:rowOff>0</xdr:rowOff>
    </xdr:from>
    <xdr:to>
      <xdr:col>42</xdr:col>
      <xdr:colOff>0</xdr:colOff>
      <xdr:row>20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CxnSpPr/>
      </xdr:nvCxnSpPr>
      <xdr:spPr>
        <a:xfrm>
          <a:off x="6705600" y="4019550"/>
          <a:ext cx="0" cy="3810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20</xdr:row>
      <xdr:rowOff>0</xdr:rowOff>
    </xdr:from>
    <xdr:to>
      <xdr:col>62</xdr:col>
      <xdr:colOff>0</xdr:colOff>
      <xdr:row>20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CxnSpPr/>
      </xdr:nvCxnSpPr>
      <xdr:spPr>
        <a:xfrm>
          <a:off x="6705600" y="4391025"/>
          <a:ext cx="30861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214993</xdr:colOff>
      <xdr:row>19</xdr:row>
      <xdr:rowOff>123824</xdr:rowOff>
    </xdr:from>
    <xdr:to>
      <xdr:col>61</xdr:col>
      <xdr:colOff>214993</xdr:colOff>
      <xdr:row>22</xdr:row>
      <xdr:rowOff>103414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CxnSpPr/>
      </xdr:nvCxnSpPr>
      <xdr:spPr>
        <a:xfrm>
          <a:off x="9642022" y="4407353"/>
          <a:ext cx="0" cy="35514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57150</xdr:colOff>
      <xdr:row>27</xdr:row>
      <xdr:rowOff>19050</xdr:rowOff>
    </xdr:from>
    <xdr:to>
      <xdr:col>51</xdr:col>
      <xdr:colOff>57150</xdr:colOff>
      <xdr:row>29</xdr:row>
      <xdr:rowOff>47625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CxnSpPr/>
      </xdr:nvCxnSpPr>
      <xdr:spPr>
        <a:xfrm>
          <a:off x="8086725" y="5981700"/>
          <a:ext cx="0" cy="2762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209550</xdr:colOff>
      <xdr:row>29</xdr:row>
      <xdr:rowOff>28575</xdr:rowOff>
    </xdr:from>
    <xdr:to>
      <xdr:col>51</xdr:col>
      <xdr:colOff>85725</xdr:colOff>
      <xdr:row>29</xdr:row>
      <xdr:rowOff>38100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CxnSpPr/>
      </xdr:nvCxnSpPr>
      <xdr:spPr>
        <a:xfrm flipH="1" flipV="1">
          <a:off x="5153025" y="6238875"/>
          <a:ext cx="296227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210911</xdr:colOff>
      <xdr:row>29</xdr:row>
      <xdr:rowOff>21772</xdr:rowOff>
    </xdr:from>
    <xdr:to>
      <xdr:col>31</xdr:col>
      <xdr:colOff>210911</xdr:colOff>
      <xdr:row>30</xdr:row>
      <xdr:rowOff>118383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CxnSpPr/>
      </xdr:nvCxnSpPr>
      <xdr:spPr>
        <a:xfrm>
          <a:off x="5000625" y="6259286"/>
          <a:ext cx="0" cy="22179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133350</xdr:colOff>
      <xdr:row>27</xdr:row>
      <xdr:rowOff>0</xdr:rowOff>
    </xdr:from>
    <xdr:to>
      <xdr:col>62</xdr:col>
      <xdr:colOff>133350</xdr:colOff>
      <xdr:row>29</xdr:row>
      <xdr:rowOff>28575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CxnSpPr/>
      </xdr:nvCxnSpPr>
      <xdr:spPr>
        <a:xfrm>
          <a:off x="9925050" y="5962650"/>
          <a:ext cx="0" cy="2762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161925</xdr:colOff>
      <xdr:row>29</xdr:row>
      <xdr:rowOff>28575</xdr:rowOff>
    </xdr:from>
    <xdr:to>
      <xdr:col>62</xdr:col>
      <xdr:colOff>123825</xdr:colOff>
      <xdr:row>29</xdr:row>
      <xdr:rowOff>28575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CxnSpPr/>
      </xdr:nvCxnSpPr>
      <xdr:spPr>
        <a:xfrm flipH="1">
          <a:off x="8410575" y="6238875"/>
          <a:ext cx="150495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152400</xdr:colOff>
      <xdr:row>29</xdr:row>
      <xdr:rowOff>38100</xdr:rowOff>
    </xdr:from>
    <xdr:to>
      <xdr:col>52</xdr:col>
      <xdr:colOff>152400</xdr:colOff>
      <xdr:row>31</xdr:row>
      <xdr:rowOff>9525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CxnSpPr/>
      </xdr:nvCxnSpPr>
      <xdr:spPr>
        <a:xfrm>
          <a:off x="8401050" y="6248400"/>
          <a:ext cx="0" cy="2190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45</xdr:row>
      <xdr:rowOff>0</xdr:rowOff>
    </xdr:from>
    <xdr:to>
      <xdr:col>52</xdr:col>
      <xdr:colOff>0</xdr:colOff>
      <xdr:row>49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CxnSpPr/>
      </xdr:nvCxnSpPr>
      <xdr:spPr>
        <a:xfrm>
          <a:off x="8248650" y="9591675"/>
          <a:ext cx="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19050</xdr:colOff>
      <xdr:row>63</xdr:row>
      <xdr:rowOff>2721</xdr:rowOff>
    </xdr:from>
    <xdr:to>
      <xdr:col>52</xdr:col>
      <xdr:colOff>19050</xdr:colOff>
      <xdr:row>67</xdr:row>
      <xdr:rowOff>479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CxnSpPr/>
      </xdr:nvCxnSpPr>
      <xdr:spPr>
        <a:xfrm>
          <a:off x="8118021" y="13294178"/>
          <a:ext cx="0" cy="49850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19050</xdr:colOff>
      <xdr:row>8</xdr:row>
      <xdr:rowOff>190500</xdr:rowOff>
    </xdr:from>
    <xdr:to>
      <xdr:col>42</xdr:col>
      <xdr:colOff>19050</xdr:colOff>
      <xdr:row>12</xdr:row>
      <xdr:rowOff>104775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CxnSpPr/>
      </xdr:nvCxnSpPr>
      <xdr:spPr>
        <a:xfrm>
          <a:off x="6724650" y="2314575"/>
          <a:ext cx="0" cy="485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55335</xdr:colOff>
      <xdr:row>17</xdr:row>
      <xdr:rowOff>14967</xdr:rowOff>
    </xdr:from>
    <xdr:to>
      <xdr:col>32</xdr:col>
      <xdr:colOff>58510</xdr:colOff>
      <xdr:row>20</xdr:row>
      <xdr:rowOff>24492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CxnSpPr/>
      </xdr:nvCxnSpPr>
      <xdr:spPr>
        <a:xfrm>
          <a:off x="5062764" y="4048124"/>
          <a:ext cx="3175" cy="38508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54428</xdr:colOff>
      <xdr:row>20</xdr:row>
      <xdr:rowOff>32657</xdr:rowOff>
    </xdr:from>
    <xdr:to>
      <xdr:col>41</xdr:col>
      <xdr:colOff>9525</xdr:colOff>
      <xdr:row>20</xdr:row>
      <xdr:rowOff>38100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CxnSpPr/>
      </xdr:nvCxnSpPr>
      <xdr:spPr>
        <a:xfrm flipH="1" flipV="1">
          <a:off x="5061857" y="4441371"/>
          <a:ext cx="1283154" cy="544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</xdr:colOff>
      <xdr:row>20</xdr:row>
      <xdr:rowOff>34925</xdr:rowOff>
    </xdr:from>
    <xdr:to>
      <xdr:col>41</xdr:col>
      <xdr:colOff>9525</xdr:colOff>
      <xdr:row>23</xdr:row>
      <xdr:rowOff>28575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CxnSpPr/>
      </xdr:nvCxnSpPr>
      <xdr:spPr>
        <a:xfrm flipH="1">
          <a:off x="6496049" y="4425950"/>
          <a:ext cx="1" cy="365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48986</xdr:colOff>
      <xdr:row>42</xdr:row>
      <xdr:rowOff>476251</xdr:rowOff>
    </xdr:from>
    <xdr:to>
      <xdr:col>28</xdr:col>
      <xdr:colOff>38101</xdr:colOff>
      <xdr:row>42</xdr:row>
      <xdr:rowOff>478972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CxnSpPr/>
      </xdr:nvCxnSpPr>
      <xdr:spPr>
        <a:xfrm flipH="1">
          <a:off x="4223657" y="9108622"/>
          <a:ext cx="108858" cy="272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28576</xdr:colOff>
      <xdr:row>42</xdr:row>
      <xdr:rowOff>476250</xdr:rowOff>
    </xdr:from>
    <xdr:to>
      <xdr:col>26</xdr:col>
      <xdr:colOff>47625</xdr:colOff>
      <xdr:row>65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CxnSpPr/>
      </xdr:nvCxnSpPr>
      <xdr:spPr>
        <a:xfrm flipH="1">
          <a:off x="4362451" y="9067800"/>
          <a:ext cx="19049" cy="44100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129269</xdr:colOff>
      <xdr:row>64</xdr:row>
      <xdr:rowOff>108857</xdr:rowOff>
    </xdr:from>
    <xdr:to>
      <xdr:col>26</xdr:col>
      <xdr:colOff>24493</xdr:colOff>
      <xdr:row>64</xdr:row>
      <xdr:rowOff>108858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CxnSpPr/>
      </xdr:nvCxnSpPr>
      <xdr:spPr>
        <a:xfrm flipH="1">
          <a:off x="3590926" y="13525500"/>
          <a:ext cx="608238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136071</xdr:colOff>
      <xdr:row>64</xdr:row>
      <xdr:rowOff>104775</xdr:rowOff>
    </xdr:from>
    <xdr:to>
      <xdr:col>22</xdr:col>
      <xdr:colOff>136071</xdr:colOff>
      <xdr:row>67</xdr:row>
      <xdr:rowOff>28575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CxnSpPr/>
      </xdr:nvCxnSpPr>
      <xdr:spPr>
        <a:xfrm>
          <a:off x="3597728" y="13521418"/>
          <a:ext cx="0" cy="29935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209550</xdr:colOff>
      <xdr:row>14</xdr:row>
      <xdr:rowOff>342900</xdr:rowOff>
    </xdr:from>
    <xdr:to>
      <xdr:col>56</xdr:col>
      <xdr:colOff>38100</xdr:colOff>
      <xdr:row>14</xdr:row>
      <xdr:rowOff>342900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CxnSpPr/>
      </xdr:nvCxnSpPr>
      <xdr:spPr>
        <a:xfrm>
          <a:off x="8896350" y="3352800"/>
          <a:ext cx="10477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38100</xdr:colOff>
      <xdr:row>14</xdr:row>
      <xdr:rowOff>352425</xdr:rowOff>
    </xdr:from>
    <xdr:to>
      <xdr:col>56</xdr:col>
      <xdr:colOff>47625</xdr:colOff>
      <xdr:row>19</xdr:row>
      <xdr:rowOff>19050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CxnSpPr/>
      </xdr:nvCxnSpPr>
      <xdr:spPr>
        <a:xfrm>
          <a:off x="9001125" y="3362325"/>
          <a:ext cx="9525" cy="9239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48985</xdr:colOff>
      <xdr:row>19</xdr:row>
      <xdr:rowOff>21771</xdr:rowOff>
    </xdr:from>
    <xdr:to>
      <xdr:col>67</xdr:col>
      <xdr:colOff>9524</xdr:colOff>
      <xdr:row>19</xdr:row>
      <xdr:rowOff>25854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CxnSpPr/>
      </xdr:nvCxnSpPr>
      <xdr:spPr>
        <a:xfrm>
          <a:off x="8860971" y="4305300"/>
          <a:ext cx="1566182" cy="408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0</xdr:colOff>
      <xdr:row>19</xdr:row>
      <xdr:rowOff>28575</xdr:rowOff>
    </xdr:from>
    <xdr:to>
      <xdr:col>67</xdr:col>
      <xdr:colOff>0</xdr:colOff>
      <xdr:row>38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CxnSpPr/>
      </xdr:nvCxnSpPr>
      <xdr:spPr>
        <a:xfrm>
          <a:off x="10563225" y="4295775"/>
          <a:ext cx="0" cy="37338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200025</xdr:colOff>
      <xdr:row>38</xdr:row>
      <xdr:rowOff>0</xdr:rowOff>
    </xdr:from>
    <xdr:to>
      <xdr:col>67</xdr:col>
      <xdr:colOff>0</xdr:colOff>
      <xdr:row>38</xdr:row>
      <xdr:rowOff>9525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CxnSpPr/>
      </xdr:nvCxnSpPr>
      <xdr:spPr>
        <a:xfrm flipH="1">
          <a:off x="6686550" y="8029575"/>
          <a:ext cx="387667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200025</xdr:colOff>
      <xdr:row>38</xdr:row>
      <xdr:rowOff>28575</xdr:rowOff>
    </xdr:from>
    <xdr:to>
      <xdr:col>41</xdr:col>
      <xdr:colOff>209550</xdr:colOff>
      <xdr:row>40</xdr:row>
      <xdr:rowOff>114300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CxnSpPr/>
      </xdr:nvCxnSpPr>
      <xdr:spPr>
        <a:xfrm>
          <a:off x="6686550" y="8058150"/>
          <a:ext cx="9525" cy="3333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47625</xdr:colOff>
      <xdr:row>6</xdr:row>
      <xdr:rowOff>400050</xdr:rowOff>
    </xdr:from>
    <xdr:to>
      <xdr:col>48</xdr:col>
      <xdr:colOff>38101</xdr:colOff>
      <xdr:row>6</xdr:row>
      <xdr:rowOff>409575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CxnSpPr/>
      </xdr:nvCxnSpPr>
      <xdr:spPr>
        <a:xfrm flipH="1">
          <a:off x="7467600" y="1714500"/>
          <a:ext cx="104776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38100</xdr:colOff>
      <xdr:row>6</xdr:row>
      <xdr:rowOff>409575</xdr:rowOff>
    </xdr:from>
    <xdr:to>
      <xdr:col>47</xdr:col>
      <xdr:colOff>9525</xdr:colOff>
      <xdr:row>46</xdr:row>
      <xdr:rowOff>114300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CxnSpPr/>
      </xdr:nvCxnSpPr>
      <xdr:spPr>
        <a:xfrm>
          <a:off x="7458075" y="1724025"/>
          <a:ext cx="28575" cy="81057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200025</xdr:colOff>
      <xdr:row>46</xdr:row>
      <xdr:rowOff>104775</xdr:rowOff>
    </xdr:from>
    <xdr:to>
      <xdr:col>47</xdr:col>
      <xdr:colOff>9525</xdr:colOff>
      <xdr:row>46</xdr:row>
      <xdr:rowOff>114300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CxnSpPr/>
      </xdr:nvCxnSpPr>
      <xdr:spPr>
        <a:xfrm flipH="1" flipV="1">
          <a:off x="5143500" y="9820275"/>
          <a:ext cx="234315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200025</xdr:colOff>
      <xdr:row>46</xdr:row>
      <xdr:rowOff>114300</xdr:rowOff>
    </xdr:from>
    <xdr:to>
      <xdr:col>31</xdr:col>
      <xdr:colOff>209550</xdr:colOff>
      <xdr:row>49</xdr:row>
      <xdr:rowOff>9525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CxnSpPr/>
      </xdr:nvCxnSpPr>
      <xdr:spPr>
        <a:xfrm>
          <a:off x="5143500" y="9829800"/>
          <a:ext cx="9525" cy="2667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5444</xdr:colOff>
      <xdr:row>32</xdr:row>
      <xdr:rowOff>419100</xdr:rowOff>
    </xdr:from>
    <xdr:to>
      <xdr:col>59</xdr:col>
      <xdr:colOff>9525</xdr:colOff>
      <xdr:row>32</xdr:row>
      <xdr:rowOff>428625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CxnSpPr/>
      </xdr:nvCxnSpPr>
      <xdr:spPr>
        <a:xfrm flipH="1" flipV="1">
          <a:off x="8863694" y="7067550"/>
          <a:ext cx="118381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0</xdr:colOff>
      <xdr:row>32</xdr:row>
      <xdr:rowOff>409575</xdr:rowOff>
    </xdr:from>
    <xdr:to>
      <xdr:col>57</xdr:col>
      <xdr:colOff>0</xdr:colOff>
      <xdr:row>48</xdr:row>
      <xdr:rowOff>9525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CxnSpPr/>
      </xdr:nvCxnSpPr>
      <xdr:spPr>
        <a:xfrm>
          <a:off x="8858250" y="7058025"/>
          <a:ext cx="0" cy="29146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50346</xdr:colOff>
      <xdr:row>47</xdr:row>
      <xdr:rowOff>100693</xdr:rowOff>
    </xdr:from>
    <xdr:to>
      <xdr:col>56</xdr:col>
      <xdr:colOff>50347</xdr:colOff>
      <xdr:row>47</xdr:row>
      <xdr:rowOff>119743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CxnSpPr/>
      </xdr:nvCxnSpPr>
      <xdr:spPr>
        <a:xfrm flipH="1" flipV="1">
          <a:off x="5770789" y="9984922"/>
          <a:ext cx="3091544" cy="190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123825</xdr:colOff>
      <xdr:row>47</xdr:row>
      <xdr:rowOff>114300</xdr:rowOff>
    </xdr:from>
    <xdr:to>
      <xdr:col>41</xdr:col>
      <xdr:colOff>123825</xdr:colOff>
      <xdr:row>49</xdr:row>
      <xdr:rowOff>47625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CxnSpPr/>
      </xdr:nvCxnSpPr>
      <xdr:spPr>
        <a:xfrm>
          <a:off x="6610350" y="9953625"/>
          <a:ext cx="0" cy="180975"/>
        </a:xfrm>
        <a:prstGeom prst="straightConnector1">
          <a:avLst/>
        </a:prstGeom>
        <a:ln>
          <a:headEnd type="oval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28575</xdr:colOff>
      <xdr:row>50</xdr:row>
      <xdr:rowOff>419100</xdr:rowOff>
    </xdr:from>
    <xdr:to>
      <xdr:col>48</xdr:col>
      <xdr:colOff>47625</xdr:colOff>
      <xdr:row>50</xdr:row>
      <xdr:rowOff>419100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1000-00002E000000}"/>
            </a:ext>
          </a:extLst>
        </xdr:cNvPr>
        <xdr:cNvCxnSpPr/>
      </xdr:nvCxnSpPr>
      <xdr:spPr>
        <a:xfrm flipH="1">
          <a:off x="7505700" y="10696575"/>
          <a:ext cx="762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9525</xdr:colOff>
      <xdr:row>50</xdr:row>
      <xdr:rowOff>409575</xdr:rowOff>
    </xdr:from>
    <xdr:to>
      <xdr:col>47</xdr:col>
      <xdr:colOff>9525</xdr:colOff>
      <xdr:row>66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CxnSpPr/>
      </xdr:nvCxnSpPr>
      <xdr:spPr>
        <a:xfrm>
          <a:off x="7335611" y="10734675"/>
          <a:ext cx="0" cy="293233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</xdr:colOff>
      <xdr:row>65</xdr:row>
      <xdr:rowOff>85726</xdr:rowOff>
    </xdr:from>
    <xdr:to>
      <xdr:col>47</xdr:col>
      <xdr:colOff>10885</xdr:colOff>
      <xdr:row>65</xdr:row>
      <xdr:rowOff>108857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CxnSpPr/>
      </xdr:nvCxnSpPr>
      <xdr:spPr>
        <a:xfrm flipH="1" flipV="1">
          <a:off x="1915887" y="13627555"/>
          <a:ext cx="5421084" cy="2313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65</xdr:row>
      <xdr:rowOff>85725</xdr:rowOff>
    </xdr:from>
    <xdr:to>
      <xdr:col>12</xdr:col>
      <xdr:colOff>9525</xdr:colOff>
      <xdr:row>67</xdr:row>
      <xdr:rowOff>19050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CxnSpPr/>
      </xdr:nvCxnSpPr>
      <xdr:spPr>
        <a:xfrm>
          <a:off x="2085975" y="13563600"/>
          <a:ext cx="0" cy="1809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</xdr:colOff>
      <xdr:row>32</xdr:row>
      <xdr:rowOff>424815</xdr:rowOff>
    </xdr:from>
    <xdr:to>
      <xdr:col>38</xdr:col>
      <xdr:colOff>47626</xdr:colOff>
      <xdr:row>32</xdr:row>
      <xdr:rowOff>424816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CxnSpPr/>
      </xdr:nvCxnSpPr>
      <xdr:spPr>
        <a:xfrm flipH="1" flipV="1">
          <a:off x="6038850" y="6947535"/>
          <a:ext cx="89536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24765</xdr:colOff>
      <xdr:row>32</xdr:row>
      <xdr:rowOff>428625</xdr:rowOff>
    </xdr:from>
    <xdr:to>
      <xdr:col>37</xdr:col>
      <xdr:colOff>24766</xdr:colOff>
      <xdr:row>46</xdr:row>
      <xdr:rowOff>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CxnSpPr/>
      </xdr:nvCxnSpPr>
      <xdr:spPr>
        <a:xfrm>
          <a:off x="6044565" y="6951345"/>
          <a:ext cx="1" cy="258889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</xdr:colOff>
      <xdr:row>45</xdr:row>
      <xdr:rowOff>114300</xdr:rowOff>
    </xdr:from>
    <xdr:to>
      <xdr:col>62</xdr:col>
      <xdr:colOff>9525</xdr:colOff>
      <xdr:row>45</xdr:row>
      <xdr:rowOff>114300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1000-000038000000}"/>
            </a:ext>
          </a:extLst>
        </xdr:cNvPr>
        <xdr:cNvCxnSpPr/>
      </xdr:nvCxnSpPr>
      <xdr:spPr>
        <a:xfrm>
          <a:off x="5953125" y="9705975"/>
          <a:ext cx="38481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2721</xdr:colOff>
      <xdr:row>45</xdr:row>
      <xdr:rowOff>104775</xdr:rowOff>
    </xdr:from>
    <xdr:to>
      <xdr:col>62</xdr:col>
      <xdr:colOff>12246</xdr:colOff>
      <xdr:row>49</xdr:row>
      <xdr:rowOff>9525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1000-00003A000000}"/>
            </a:ext>
          </a:extLst>
        </xdr:cNvPr>
        <xdr:cNvCxnSpPr/>
      </xdr:nvCxnSpPr>
      <xdr:spPr>
        <a:xfrm>
          <a:off x="9647464" y="9738632"/>
          <a:ext cx="9525" cy="40549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47625</xdr:colOff>
      <xdr:row>47</xdr:row>
      <xdr:rowOff>95250</xdr:rowOff>
    </xdr:from>
    <xdr:to>
      <xdr:col>36</xdr:col>
      <xdr:colOff>47625</xdr:colOff>
      <xdr:row>55</xdr:row>
      <xdr:rowOff>114300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CxnSpPr/>
      </xdr:nvCxnSpPr>
      <xdr:spPr>
        <a:xfrm>
          <a:off x="5924550" y="9934575"/>
          <a:ext cx="0" cy="17145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200025</xdr:colOff>
      <xdr:row>55</xdr:row>
      <xdr:rowOff>114300</xdr:rowOff>
    </xdr:from>
    <xdr:to>
      <xdr:col>37</xdr:col>
      <xdr:colOff>9525</xdr:colOff>
      <xdr:row>56</xdr:row>
      <xdr:rowOff>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CxnSpPr/>
      </xdr:nvCxnSpPr>
      <xdr:spPr>
        <a:xfrm flipH="1" flipV="1">
          <a:off x="3600450" y="11649075"/>
          <a:ext cx="2343150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200025</xdr:colOff>
      <xdr:row>56</xdr:row>
      <xdr:rowOff>0</xdr:rowOff>
    </xdr:from>
    <xdr:to>
      <xdr:col>21</xdr:col>
      <xdr:colOff>209550</xdr:colOff>
      <xdr:row>58</xdr:row>
      <xdr:rowOff>114300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1000-000041000000}"/>
            </a:ext>
          </a:extLst>
        </xdr:cNvPr>
        <xdr:cNvCxnSpPr/>
      </xdr:nvCxnSpPr>
      <xdr:spPr>
        <a:xfrm>
          <a:off x="3600450" y="11658600"/>
          <a:ext cx="9525" cy="3619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76200</xdr:colOff>
      <xdr:row>56</xdr:row>
      <xdr:rowOff>9525</xdr:rowOff>
    </xdr:from>
    <xdr:to>
      <xdr:col>31</xdr:col>
      <xdr:colOff>76200</xdr:colOff>
      <xdr:row>58</xdr:row>
      <xdr:rowOff>114300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1000-000044000000}"/>
            </a:ext>
          </a:extLst>
        </xdr:cNvPr>
        <xdr:cNvCxnSpPr/>
      </xdr:nvCxnSpPr>
      <xdr:spPr>
        <a:xfrm>
          <a:off x="5019675" y="11668125"/>
          <a:ext cx="0" cy="352425"/>
        </a:xfrm>
        <a:prstGeom prst="straightConnector1">
          <a:avLst/>
        </a:prstGeom>
        <a:ln>
          <a:headEnd type="oval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114300</xdr:colOff>
      <xdr:row>9</xdr:row>
      <xdr:rowOff>0</xdr:rowOff>
    </xdr:from>
    <xdr:to>
      <xdr:col>32</xdr:col>
      <xdr:colOff>117694</xdr:colOff>
      <xdr:row>10</xdr:row>
      <xdr:rowOff>22663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5326380" y="2286000"/>
          <a:ext cx="3394" cy="14458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104775</xdr:colOff>
      <xdr:row>10</xdr:row>
      <xdr:rowOff>19050</xdr:rowOff>
    </xdr:from>
    <xdr:to>
      <xdr:col>41</xdr:col>
      <xdr:colOff>206375</xdr:colOff>
      <xdr:row>10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CxnSpPr/>
      </xdr:nvCxnSpPr>
      <xdr:spPr>
        <a:xfrm flipH="1">
          <a:off x="5316855" y="2426970"/>
          <a:ext cx="14884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9</xdr:row>
      <xdr:rowOff>0</xdr:rowOff>
    </xdr:from>
    <xdr:to>
      <xdr:col>12</xdr:col>
      <xdr:colOff>15240</xdr:colOff>
      <xdr:row>12</xdr:row>
      <xdr:rowOff>118110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CxnSpPr/>
      </xdr:nvCxnSpPr>
      <xdr:spPr>
        <a:xfrm flipH="1">
          <a:off x="1988820" y="2286000"/>
          <a:ext cx="7620" cy="4838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205740</xdr:colOff>
      <xdr:row>10</xdr:row>
      <xdr:rowOff>30480</xdr:rowOff>
    </xdr:from>
    <xdr:to>
      <xdr:col>41</xdr:col>
      <xdr:colOff>209550</xdr:colOff>
      <xdr:row>13</xdr:row>
      <xdr:rowOff>1905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CxnSpPr/>
      </xdr:nvCxnSpPr>
      <xdr:spPr>
        <a:xfrm>
          <a:off x="6804660" y="2438400"/>
          <a:ext cx="3810" cy="3371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220980</xdr:colOff>
      <xdr:row>6</xdr:row>
      <xdr:rowOff>312420</xdr:rowOff>
    </xdr:from>
    <xdr:to>
      <xdr:col>18</xdr:col>
      <xdr:colOff>0</xdr:colOff>
      <xdr:row>6</xdr:row>
      <xdr:rowOff>312420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CxnSpPr/>
      </xdr:nvCxnSpPr>
      <xdr:spPr>
        <a:xfrm>
          <a:off x="2659380" y="1592580"/>
          <a:ext cx="1905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45720</xdr:colOff>
      <xdr:row>6</xdr:row>
      <xdr:rowOff>320040</xdr:rowOff>
    </xdr:from>
    <xdr:to>
      <xdr:col>18</xdr:col>
      <xdr:colOff>0</xdr:colOff>
      <xdr:row>65</xdr:row>
      <xdr:rowOff>15240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CxnSpPr/>
      </xdr:nvCxnSpPr>
      <xdr:spPr>
        <a:xfrm flipH="1" flipV="1">
          <a:off x="2834640" y="1600200"/>
          <a:ext cx="15240" cy="116433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65</xdr:row>
      <xdr:rowOff>0</xdr:rowOff>
    </xdr:from>
    <xdr:to>
      <xdr:col>32</xdr:col>
      <xdr:colOff>0</xdr:colOff>
      <xdr:row>65</xdr:row>
      <xdr:rowOff>7620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CxnSpPr/>
      </xdr:nvCxnSpPr>
      <xdr:spPr>
        <a:xfrm flipH="1" flipV="1">
          <a:off x="2849880" y="13228320"/>
          <a:ext cx="236220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217170</xdr:colOff>
      <xdr:row>65</xdr:row>
      <xdr:rowOff>7620</xdr:rowOff>
    </xdr:from>
    <xdr:to>
      <xdr:col>31</xdr:col>
      <xdr:colOff>220980</xdr:colOff>
      <xdr:row>67</xdr:row>
      <xdr:rowOff>9525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CxnSpPr/>
      </xdr:nvCxnSpPr>
      <xdr:spPr>
        <a:xfrm flipH="1">
          <a:off x="5200650" y="13235940"/>
          <a:ext cx="3810" cy="24574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213360</xdr:colOff>
      <xdr:row>20</xdr:row>
      <xdr:rowOff>15240</xdr:rowOff>
    </xdr:from>
    <xdr:to>
      <xdr:col>32</xdr:col>
      <xdr:colOff>7620</xdr:colOff>
      <xdr:row>20</xdr:row>
      <xdr:rowOff>15240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CxnSpPr/>
      </xdr:nvCxnSpPr>
      <xdr:spPr>
        <a:xfrm flipH="1">
          <a:off x="3581400" y="4328160"/>
          <a:ext cx="16383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7620</xdr:colOff>
      <xdr:row>20</xdr:row>
      <xdr:rowOff>15240</xdr:rowOff>
    </xdr:from>
    <xdr:to>
      <xdr:col>32</xdr:col>
      <xdr:colOff>11430</xdr:colOff>
      <xdr:row>22</xdr:row>
      <xdr:rowOff>108585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CxnSpPr/>
      </xdr:nvCxnSpPr>
      <xdr:spPr>
        <a:xfrm>
          <a:off x="5219700" y="4328160"/>
          <a:ext cx="3810" cy="3371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213360</xdr:colOff>
      <xdr:row>16</xdr:row>
      <xdr:rowOff>182880</xdr:rowOff>
    </xdr:from>
    <xdr:to>
      <xdr:col>11</xdr:col>
      <xdr:colOff>213360</xdr:colOff>
      <xdr:row>22</xdr:row>
      <xdr:rowOff>102870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CxnSpPr/>
      </xdr:nvCxnSpPr>
      <xdr:spPr>
        <a:xfrm>
          <a:off x="1965960" y="3939540"/>
          <a:ext cx="0" cy="7200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205740</xdr:colOff>
      <xdr:row>19</xdr:row>
      <xdr:rowOff>7620</xdr:rowOff>
    </xdr:from>
    <xdr:to>
      <xdr:col>56</xdr:col>
      <xdr:colOff>47625</xdr:colOff>
      <xdr:row>19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CxnSpPr/>
      </xdr:nvCxnSpPr>
      <xdr:spPr>
        <a:xfrm flipH="1" flipV="1">
          <a:off x="1977390" y="4208145"/>
          <a:ext cx="7214235" cy="4000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7620</xdr:colOff>
      <xdr:row>19</xdr:row>
      <xdr:rowOff>22860</xdr:rowOff>
    </xdr:from>
    <xdr:to>
      <xdr:col>42</xdr:col>
      <xdr:colOff>11430</xdr:colOff>
      <xdr:row>22</xdr:row>
      <xdr:rowOff>116205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CxnSpPr/>
      </xdr:nvCxnSpPr>
      <xdr:spPr>
        <a:xfrm>
          <a:off x="6835140" y="4213860"/>
          <a:ext cx="3810" cy="4591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205740</xdr:colOff>
      <xdr:row>29</xdr:row>
      <xdr:rowOff>0</xdr:rowOff>
    </xdr:from>
    <xdr:to>
      <xdr:col>27</xdr:col>
      <xdr:colOff>15240</xdr:colOff>
      <xdr:row>29</xdr:row>
      <xdr:rowOff>7620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CxnSpPr/>
      </xdr:nvCxnSpPr>
      <xdr:spPr>
        <a:xfrm flipH="1">
          <a:off x="1958340" y="6096000"/>
          <a:ext cx="24612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3810</xdr:colOff>
      <xdr:row>29</xdr:row>
      <xdr:rowOff>7620</xdr:rowOff>
    </xdr:from>
    <xdr:to>
      <xdr:col>22</xdr:col>
      <xdr:colOff>7620</xdr:colOff>
      <xdr:row>30</xdr:row>
      <xdr:rowOff>116205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CxnSpPr/>
      </xdr:nvCxnSpPr>
      <xdr:spPr>
        <a:xfrm flipH="1">
          <a:off x="3600450" y="6103620"/>
          <a:ext cx="3810" cy="2305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17</xdr:row>
      <xdr:rowOff>0</xdr:rowOff>
    </xdr:from>
    <xdr:to>
      <xdr:col>44</xdr:col>
      <xdr:colOff>0</xdr:colOff>
      <xdr:row>19</xdr:row>
      <xdr:rowOff>99060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CxnSpPr/>
      </xdr:nvCxnSpPr>
      <xdr:spPr>
        <a:xfrm>
          <a:off x="7284720" y="3947160"/>
          <a:ext cx="0" cy="3429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213360</xdr:colOff>
      <xdr:row>19</xdr:row>
      <xdr:rowOff>106680</xdr:rowOff>
    </xdr:from>
    <xdr:to>
      <xdr:col>47</xdr:col>
      <xdr:colOff>0</xdr:colOff>
      <xdr:row>19</xdr:row>
      <xdr:rowOff>114300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CxnSpPr/>
      </xdr:nvCxnSpPr>
      <xdr:spPr>
        <a:xfrm flipH="1" flipV="1">
          <a:off x="7269480" y="4297680"/>
          <a:ext cx="3657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19</xdr:row>
      <xdr:rowOff>106680</xdr:rowOff>
    </xdr:from>
    <xdr:to>
      <xdr:col>47</xdr:col>
      <xdr:colOff>7620</xdr:colOff>
      <xdr:row>29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CxnSpPr/>
      </xdr:nvCxnSpPr>
      <xdr:spPr>
        <a:xfrm>
          <a:off x="7635240" y="4297680"/>
          <a:ext cx="7620" cy="17983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30480</xdr:colOff>
      <xdr:row>29</xdr:row>
      <xdr:rowOff>0</xdr:rowOff>
    </xdr:from>
    <xdr:to>
      <xdr:col>42</xdr:col>
      <xdr:colOff>34290</xdr:colOff>
      <xdr:row>31</xdr:row>
      <xdr:rowOff>1905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CxnSpPr/>
      </xdr:nvCxnSpPr>
      <xdr:spPr>
        <a:xfrm>
          <a:off x="6858000" y="6096000"/>
          <a:ext cx="3810" cy="24574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7620</xdr:colOff>
      <xdr:row>29</xdr:row>
      <xdr:rowOff>0</xdr:rowOff>
    </xdr:from>
    <xdr:to>
      <xdr:col>27</xdr:col>
      <xdr:colOff>15240</xdr:colOff>
      <xdr:row>37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CxnSpPr/>
      </xdr:nvCxnSpPr>
      <xdr:spPr>
        <a:xfrm flipV="1">
          <a:off x="4411980" y="6096000"/>
          <a:ext cx="7620" cy="16611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15240</xdr:colOff>
      <xdr:row>37</xdr:row>
      <xdr:rowOff>0</xdr:rowOff>
    </xdr:from>
    <xdr:to>
      <xdr:col>52</xdr:col>
      <xdr:colOff>7620</xdr:colOff>
      <xdr:row>37</xdr:row>
      <xdr:rowOff>7620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CxnSpPr/>
      </xdr:nvCxnSpPr>
      <xdr:spPr>
        <a:xfrm flipH="1" flipV="1">
          <a:off x="4419600" y="7757160"/>
          <a:ext cx="403098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7620</xdr:colOff>
      <xdr:row>37</xdr:row>
      <xdr:rowOff>15240</xdr:rowOff>
    </xdr:from>
    <xdr:to>
      <xdr:col>52</xdr:col>
      <xdr:colOff>7620</xdr:colOff>
      <xdr:row>41</xdr:row>
      <xdr:rowOff>9525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CxnSpPr/>
      </xdr:nvCxnSpPr>
      <xdr:spPr>
        <a:xfrm>
          <a:off x="8450580" y="7772400"/>
          <a:ext cx="0" cy="4819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45</xdr:row>
      <xdr:rowOff>0</xdr:rowOff>
    </xdr:from>
    <xdr:to>
      <xdr:col>29</xdr:col>
      <xdr:colOff>190500</xdr:colOff>
      <xdr:row>47</xdr:row>
      <xdr:rowOff>114300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CxnSpPr/>
      </xdr:nvCxnSpPr>
      <xdr:spPr>
        <a:xfrm flipV="1">
          <a:off x="4716780" y="941832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56</xdr:row>
      <xdr:rowOff>0</xdr:rowOff>
    </xdr:from>
    <xdr:to>
      <xdr:col>42</xdr:col>
      <xdr:colOff>45720</xdr:colOff>
      <xdr:row>56</xdr:row>
      <xdr:rowOff>7620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CxnSpPr/>
      </xdr:nvCxnSpPr>
      <xdr:spPr>
        <a:xfrm>
          <a:off x="4381500" y="11536680"/>
          <a:ext cx="249174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45720</xdr:colOff>
      <xdr:row>56</xdr:row>
      <xdr:rowOff>0</xdr:rowOff>
    </xdr:from>
    <xdr:to>
      <xdr:col>42</xdr:col>
      <xdr:colOff>45720</xdr:colOff>
      <xdr:row>59</xdr:row>
      <xdr:rowOff>1905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CxnSpPr/>
      </xdr:nvCxnSpPr>
      <xdr:spPr>
        <a:xfrm>
          <a:off x="6873240" y="11445240"/>
          <a:ext cx="0" cy="3676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213360</xdr:colOff>
      <xdr:row>17</xdr:row>
      <xdr:rowOff>15240</xdr:rowOff>
    </xdr:from>
    <xdr:to>
      <xdr:col>21</xdr:col>
      <xdr:colOff>220980</xdr:colOff>
      <xdr:row>20</xdr:row>
      <xdr:rowOff>22860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CxnSpPr/>
      </xdr:nvCxnSpPr>
      <xdr:spPr>
        <a:xfrm flipH="1">
          <a:off x="3581400" y="3962400"/>
          <a:ext cx="7620" cy="37338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30480</xdr:colOff>
      <xdr:row>28</xdr:row>
      <xdr:rowOff>114300</xdr:rowOff>
    </xdr:from>
    <xdr:to>
      <xdr:col>47</xdr:col>
      <xdr:colOff>15240</xdr:colOff>
      <xdr:row>29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CxnSpPr/>
      </xdr:nvCxnSpPr>
      <xdr:spPr>
        <a:xfrm flipV="1">
          <a:off x="6858000" y="6088380"/>
          <a:ext cx="79248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28</xdr:row>
      <xdr:rowOff>9525</xdr:rowOff>
    </xdr:from>
    <xdr:to>
      <xdr:col>16</xdr:col>
      <xdr:colOff>19050</xdr:colOff>
      <xdr:row>28</xdr:row>
      <xdr:rowOff>15240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CxnSpPr/>
      </xdr:nvCxnSpPr>
      <xdr:spPr>
        <a:xfrm flipV="1">
          <a:off x="2190750" y="6000750"/>
          <a:ext cx="571500" cy="571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</xdr:colOff>
      <xdr:row>19</xdr:row>
      <xdr:rowOff>15240</xdr:rowOff>
    </xdr:from>
    <xdr:to>
      <xdr:col>16</xdr:col>
      <xdr:colOff>30480</xdr:colOff>
      <xdr:row>28</xdr:row>
      <xdr:rowOff>15240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CxnSpPr/>
      </xdr:nvCxnSpPr>
      <xdr:spPr>
        <a:xfrm flipH="1">
          <a:off x="2750820" y="4206240"/>
          <a:ext cx="7620" cy="178308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213360</xdr:colOff>
      <xdr:row>26</xdr:row>
      <xdr:rowOff>175260</xdr:rowOff>
    </xdr:from>
    <xdr:to>
      <xdr:col>11</xdr:col>
      <xdr:colOff>220980</xdr:colOff>
      <xdr:row>29</xdr:row>
      <xdr:rowOff>15240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CxnSpPr/>
      </xdr:nvCxnSpPr>
      <xdr:spPr>
        <a:xfrm flipH="1">
          <a:off x="1965960" y="5836920"/>
          <a:ext cx="7620" cy="2743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205740</xdr:colOff>
      <xdr:row>28</xdr:row>
      <xdr:rowOff>22860</xdr:rowOff>
    </xdr:from>
    <xdr:to>
      <xdr:col>12</xdr:col>
      <xdr:colOff>205740</xdr:colOff>
      <xdr:row>30</xdr:row>
      <xdr:rowOff>108585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CxnSpPr/>
      </xdr:nvCxnSpPr>
      <xdr:spPr>
        <a:xfrm>
          <a:off x="2186940" y="5996940"/>
          <a:ext cx="0" cy="3295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</xdr:colOff>
      <xdr:row>27</xdr:row>
      <xdr:rowOff>0</xdr:rowOff>
    </xdr:from>
    <xdr:to>
      <xdr:col>23</xdr:col>
      <xdr:colOff>38100</xdr:colOff>
      <xdr:row>29</xdr:row>
      <xdr:rowOff>99060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CxnSpPr/>
      </xdr:nvCxnSpPr>
      <xdr:spPr>
        <a:xfrm>
          <a:off x="3863340" y="5852160"/>
          <a:ext cx="0" cy="3429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45720</xdr:colOff>
      <xdr:row>29</xdr:row>
      <xdr:rowOff>91440</xdr:rowOff>
    </xdr:from>
    <xdr:to>
      <xdr:col>32</xdr:col>
      <xdr:colOff>38100</xdr:colOff>
      <xdr:row>29</xdr:row>
      <xdr:rowOff>99060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CxnSpPr/>
      </xdr:nvCxnSpPr>
      <xdr:spPr>
        <a:xfrm flipV="1">
          <a:off x="3870960" y="6187440"/>
          <a:ext cx="137922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15240</xdr:colOff>
      <xdr:row>29</xdr:row>
      <xdr:rowOff>83820</xdr:rowOff>
    </xdr:from>
    <xdr:to>
      <xdr:col>32</xdr:col>
      <xdr:colOff>22860</xdr:colOff>
      <xdr:row>31</xdr:row>
      <xdr:rowOff>1905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CxnSpPr/>
      </xdr:nvCxnSpPr>
      <xdr:spPr>
        <a:xfrm flipH="1">
          <a:off x="5227320" y="6179820"/>
          <a:ext cx="7620" cy="1619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213360</xdr:colOff>
      <xdr:row>35</xdr:row>
      <xdr:rowOff>7620</xdr:rowOff>
    </xdr:from>
    <xdr:to>
      <xdr:col>31</xdr:col>
      <xdr:colOff>213360</xdr:colOff>
      <xdr:row>38</xdr:row>
      <xdr:rowOff>68580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1100-00002A000000}"/>
            </a:ext>
          </a:extLst>
        </xdr:cNvPr>
        <xdr:cNvCxnSpPr/>
      </xdr:nvCxnSpPr>
      <xdr:spPr>
        <a:xfrm>
          <a:off x="5196840" y="7520940"/>
          <a:ext cx="0" cy="4267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220980</xdr:colOff>
      <xdr:row>38</xdr:row>
      <xdr:rowOff>60960</xdr:rowOff>
    </xdr:from>
    <xdr:to>
      <xdr:col>31</xdr:col>
      <xdr:colOff>213360</xdr:colOff>
      <xdr:row>38</xdr:row>
      <xdr:rowOff>68580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CxnSpPr/>
      </xdr:nvCxnSpPr>
      <xdr:spPr>
        <a:xfrm flipH="1" flipV="1">
          <a:off x="1973580" y="7940040"/>
          <a:ext cx="32232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220980</xdr:colOff>
      <xdr:row>38</xdr:row>
      <xdr:rowOff>60960</xdr:rowOff>
    </xdr:from>
    <xdr:to>
      <xdr:col>12</xdr:col>
      <xdr:colOff>0</xdr:colOff>
      <xdr:row>40</xdr:row>
      <xdr:rowOff>108585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1100-00002C000000}"/>
            </a:ext>
          </a:extLst>
        </xdr:cNvPr>
        <xdr:cNvCxnSpPr/>
      </xdr:nvCxnSpPr>
      <xdr:spPr>
        <a:xfrm flipH="1">
          <a:off x="1973580" y="7940040"/>
          <a:ext cx="7620" cy="2914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</xdr:colOff>
      <xdr:row>27</xdr:row>
      <xdr:rowOff>0</xdr:rowOff>
    </xdr:from>
    <xdr:to>
      <xdr:col>41</xdr:col>
      <xdr:colOff>7620</xdr:colOff>
      <xdr:row>28</xdr:row>
      <xdr:rowOff>76200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1100-00002D000000}"/>
            </a:ext>
          </a:extLst>
        </xdr:cNvPr>
        <xdr:cNvCxnSpPr/>
      </xdr:nvCxnSpPr>
      <xdr:spPr>
        <a:xfrm>
          <a:off x="6606540" y="5852160"/>
          <a:ext cx="0" cy="1981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53340</xdr:colOff>
      <xdr:row>28</xdr:row>
      <xdr:rowOff>76200</xdr:rowOff>
    </xdr:from>
    <xdr:to>
      <xdr:col>41</xdr:col>
      <xdr:colOff>22860</xdr:colOff>
      <xdr:row>28</xdr:row>
      <xdr:rowOff>83820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1100-00002E000000}"/>
            </a:ext>
          </a:extLst>
        </xdr:cNvPr>
        <xdr:cNvCxnSpPr/>
      </xdr:nvCxnSpPr>
      <xdr:spPr>
        <a:xfrm flipV="1">
          <a:off x="5951220" y="6050280"/>
          <a:ext cx="6705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45720</xdr:colOff>
      <xdr:row>28</xdr:row>
      <xdr:rowOff>91440</xdr:rowOff>
    </xdr:from>
    <xdr:to>
      <xdr:col>36</xdr:col>
      <xdr:colOff>0</xdr:colOff>
      <xdr:row>38</xdr:row>
      <xdr:rowOff>106680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1100-00002F000000}"/>
            </a:ext>
          </a:extLst>
        </xdr:cNvPr>
        <xdr:cNvCxnSpPr/>
      </xdr:nvCxnSpPr>
      <xdr:spPr>
        <a:xfrm flipH="1">
          <a:off x="5943600" y="6065520"/>
          <a:ext cx="15240" cy="19202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45720</xdr:colOff>
      <xdr:row>38</xdr:row>
      <xdr:rowOff>99060</xdr:rowOff>
    </xdr:from>
    <xdr:to>
      <xdr:col>35</xdr:col>
      <xdr:colOff>30480</xdr:colOff>
      <xdr:row>38</xdr:row>
      <xdr:rowOff>106680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CxnSpPr/>
      </xdr:nvCxnSpPr>
      <xdr:spPr>
        <a:xfrm flipV="1">
          <a:off x="5257800" y="7978140"/>
          <a:ext cx="6705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</xdr:colOff>
      <xdr:row>38</xdr:row>
      <xdr:rowOff>114300</xdr:rowOff>
    </xdr:from>
    <xdr:to>
      <xdr:col>32</xdr:col>
      <xdr:colOff>38100</xdr:colOff>
      <xdr:row>40</xdr:row>
      <xdr:rowOff>108585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1100-000031000000}"/>
            </a:ext>
          </a:extLst>
        </xdr:cNvPr>
        <xdr:cNvCxnSpPr/>
      </xdr:nvCxnSpPr>
      <xdr:spPr>
        <a:xfrm>
          <a:off x="5250180" y="7993380"/>
          <a:ext cx="0" cy="238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30480</xdr:colOff>
      <xdr:row>29</xdr:row>
      <xdr:rowOff>0</xdr:rowOff>
    </xdr:from>
    <xdr:to>
      <xdr:col>15</xdr:col>
      <xdr:colOff>45720</xdr:colOff>
      <xdr:row>47</xdr:row>
      <xdr:rowOff>76200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1100-000034000000}"/>
            </a:ext>
          </a:extLst>
        </xdr:cNvPr>
        <xdr:cNvCxnSpPr/>
      </xdr:nvCxnSpPr>
      <xdr:spPr>
        <a:xfrm flipH="1">
          <a:off x="2697480" y="6096000"/>
          <a:ext cx="15240" cy="37338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121920</xdr:colOff>
      <xdr:row>47</xdr:row>
      <xdr:rowOff>60960</xdr:rowOff>
    </xdr:from>
    <xdr:to>
      <xdr:col>15</xdr:col>
      <xdr:colOff>53340</xdr:colOff>
      <xdr:row>47</xdr:row>
      <xdr:rowOff>60960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1100-000035000000}"/>
            </a:ext>
          </a:extLst>
        </xdr:cNvPr>
        <xdr:cNvCxnSpPr/>
      </xdr:nvCxnSpPr>
      <xdr:spPr>
        <a:xfrm flipH="1">
          <a:off x="1874520" y="9723120"/>
          <a:ext cx="8458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129540</xdr:colOff>
      <xdr:row>47</xdr:row>
      <xdr:rowOff>68580</xdr:rowOff>
    </xdr:from>
    <xdr:to>
      <xdr:col>11</xdr:col>
      <xdr:colOff>137160</xdr:colOff>
      <xdr:row>48</xdr:row>
      <xdr:rowOff>108585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1100-000036000000}"/>
            </a:ext>
          </a:extLst>
        </xdr:cNvPr>
        <xdr:cNvCxnSpPr/>
      </xdr:nvCxnSpPr>
      <xdr:spPr>
        <a:xfrm flipH="1">
          <a:off x="1882140" y="9730740"/>
          <a:ext cx="7620" cy="1619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53340</xdr:colOff>
      <xdr:row>47</xdr:row>
      <xdr:rowOff>106680</xdr:rowOff>
    </xdr:from>
    <xdr:to>
      <xdr:col>29</xdr:col>
      <xdr:colOff>182880</xdr:colOff>
      <xdr:row>47</xdr:row>
      <xdr:rowOff>106680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1100-00003A000000}"/>
            </a:ext>
          </a:extLst>
        </xdr:cNvPr>
        <xdr:cNvCxnSpPr/>
      </xdr:nvCxnSpPr>
      <xdr:spPr>
        <a:xfrm flipH="1">
          <a:off x="4396740" y="9768840"/>
          <a:ext cx="3124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47</xdr:row>
      <xdr:rowOff>91440</xdr:rowOff>
    </xdr:from>
    <xdr:to>
      <xdr:col>26</xdr:col>
      <xdr:colOff>53340</xdr:colOff>
      <xdr:row>56</xdr:row>
      <xdr:rowOff>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1100-00003B000000}"/>
            </a:ext>
          </a:extLst>
        </xdr:cNvPr>
        <xdr:cNvCxnSpPr/>
      </xdr:nvCxnSpPr>
      <xdr:spPr>
        <a:xfrm flipV="1">
          <a:off x="4381500" y="9753600"/>
          <a:ext cx="15240" cy="16916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15240</xdr:colOff>
      <xdr:row>63</xdr:row>
      <xdr:rowOff>22860</xdr:rowOff>
    </xdr:from>
    <xdr:to>
      <xdr:col>31</xdr:col>
      <xdr:colOff>15240</xdr:colOff>
      <xdr:row>64</xdr:row>
      <xdr:rowOff>91440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1100-00003F000000}"/>
            </a:ext>
          </a:extLst>
        </xdr:cNvPr>
        <xdr:cNvCxnSpPr/>
      </xdr:nvCxnSpPr>
      <xdr:spPr>
        <a:xfrm flipV="1">
          <a:off x="4998720" y="13007340"/>
          <a:ext cx="0" cy="1905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</xdr:colOff>
      <xdr:row>64</xdr:row>
      <xdr:rowOff>76200</xdr:rowOff>
    </xdr:from>
    <xdr:to>
      <xdr:col>31</xdr:col>
      <xdr:colOff>0</xdr:colOff>
      <xdr:row>64</xdr:row>
      <xdr:rowOff>76200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1100-000040000000}"/>
            </a:ext>
          </a:extLst>
        </xdr:cNvPr>
        <xdr:cNvCxnSpPr/>
      </xdr:nvCxnSpPr>
      <xdr:spPr>
        <a:xfrm flipH="1">
          <a:off x="3604260" y="13182600"/>
          <a:ext cx="13792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64</xdr:row>
      <xdr:rowOff>83820</xdr:rowOff>
    </xdr:from>
    <xdr:to>
      <xdr:col>22</xdr:col>
      <xdr:colOff>0</xdr:colOff>
      <xdr:row>67</xdr:row>
      <xdr:rowOff>9525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1100-000041000000}"/>
            </a:ext>
          </a:extLst>
        </xdr:cNvPr>
        <xdr:cNvCxnSpPr/>
      </xdr:nvCxnSpPr>
      <xdr:spPr>
        <a:xfrm>
          <a:off x="3596640" y="13190220"/>
          <a:ext cx="0" cy="2914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22860</xdr:colOff>
      <xdr:row>37</xdr:row>
      <xdr:rowOff>15240</xdr:rowOff>
    </xdr:from>
    <xdr:to>
      <xdr:col>47</xdr:col>
      <xdr:colOff>30480</xdr:colOff>
      <xdr:row>46</xdr:row>
      <xdr:rowOff>114300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1100-000044000000}"/>
            </a:ext>
          </a:extLst>
        </xdr:cNvPr>
        <xdr:cNvCxnSpPr/>
      </xdr:nvCxnSpPr>
      <xdr:spPr>
        <a:xfrm>
          <a:off x="7658100" y="7772400"/>
          <a:ext cx="7620" cy="197358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15240</xdr:colOff>
      <xdr:row>46</xdr:row>
      <xdr:rowOff>106680</xdr:rowOff>
    </xdr:from>
    <xdr:to>
      <xdr:col>52</xdr:col>
      <xdr:colOff>22860</xdr:colOff>
      <xdr:row>46</xdr:row>
      <xdr:rowOff>106680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1100-000046000000}"/>
            </a:ext>
          </a:extLst>
        </xdr:cNvPr>
        <xdr:cNvCxnSpPr/>
      </xdr:nvCxnSpPr>
      <xdr:spPr>
        <a:xfrm>
          <a:off x="7650480" y="973836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7620</xdr:colOff>
      <xdr:row>46</xdr:row>
      <xdr:rowOff>99060</xdr:rowOff>
    </xdr:from>
    <xdr:to>
      <xdr:col>52</xdr:col>
      <xdr:colOff>15240</xdr:colOff>
      <xdr:row>49</xdr:row>
      <xdr:rowOff>24765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1100-000047000000}"/>
            </a:ext>
          </a:extLst>
        </xdr:cNvPr>
        <xdr:cNvCxnSpPr/>
      </xdr:nvCxnSpPr>
      <xdr:spPr>
        <a:xfrm flipH="1">
          <a:off x="8450580" y="9730740"/>
          <a:ext cx="7620" cy="2914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</xdr:colOff>
      <xdr:row>46</xdr:row>
      <xdr:rowOff>30480</xdr:rowOff>
    </xdr:from>
    <xdr:to>
      <xdr:col>16</xdr:col>
      <xdr:colOff>38100</xdr:colOff>
      <xdr:row>65</xdr:row>
      <xdr:rowOff>30480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1100-000048000000}"/>
            </a:ext>
          </a:extLst>
        </xdr:cNvPr>
        <xdr:cNvCxnSpPr/>
      </xdr:nvCxnSpPr>
      <xdr:spPr>
        <a:xfrm flipV="1">
          <a:off x="2735580" y="9662160"/>
          <a:ext cx="30480" cy="368808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144780</xdr:colOff>
      <xdr:row>46</xdr:row>
      <xdr:rowOff>53340</xdr:rowOff>
    </xdr:from>
    <xdr:to>
      <xdr:col>16</xdr:col>
      <xdr:colOff>30480</xdr:colOff>
      <xdr:row>46</xdr:row>
      <xdr:rowOff>60960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1100-00004A000000}"/>
            </a:ext>
          </a:extLst>
        </xdr:cNvPr>
        <xdr:cNvCxnSpPr/>
      </xdr:nvCxnSpPr>
      <xdr:spPr>
        <a:xfrm flipH="1">
          <a:off x="1897380" y="9685020"/>
          <a:ext cx="8610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45</xdr:row>
      <xdr:rowOff>0</xdr:rowOff>
    </xdr:from>
    <xdr:to>
      <xdr:col>11</xdr:col>
      <xdr:colOff>152400</xdr:colOff>
      <xdr:row>46</xdr:row>
      <xdr:rowOff>68580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1100-00004C000000}"/>
            </a:ext>
          </a:extLst>
        </xdr:cNvPr>
        <xdr:cNvCxnSpPr/>
      </xdr:nvCxnSpPr>
      <xdr:spPr>
        <a:xfrm flipV="1">
          <a:off x="1905000" y="9509760"/>
          <a:ext cx="0" cy="1905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</xdr:colOff>
      <xdr:row>57</xdr:row>
      <xdr:rowOff>30480</xdr:rowOff>
    </xdr:from>
    <xdr:to>
      <xdr:col>16</xdr:col>
      <xdr:colOff>30480</xdr:colOff>
      <xdr:row>57</xdr:row>
      <xdr:rowOff>30480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1100-000052000000}"/>
            </a:ext>
          </a:extLst>
        </xdr:cNvPr>
        <xdr:cNvCxnSpPr/>
      </xdr:nvCxnSpPr>
      <xdr:spPr>
        <a:xfrm>
          <a:off x="2004060" y="11689080"/>
          <a:ext cx="75438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</xdr:colOff>
      <xdr:row>57</xdr:row>
      <xdr:rowOff>38100</xdr:rowOff>
    </xdr:from>
    <xdr:to>
      <xdr:col>12</xdr:col>
      <xdr:colOff>30480</xdr:colOff>
      <xdr:row>58</xdr:row>
      <xdr:rowOff>116205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00000000-0008-0000-1100-000054000000}"/>
            </a:ext>
          </a:extLst>
        </xdr:cNvPr>
        <xdr:cNvCxnSpPr/>
      </xdr:nvCxnSpPr>
      <xdr:spPr>
        <a:xfrm>
          <a:off x="2011680" y="11696700"/>
          <a:ext cx="0" cy="2000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30480</xdr:colOff>
      <xdr:row>46</xdr:row>
      <xdr:rowOff>83820</xdr:rowOff>
    </xdr:from>
    <xdr:to>
      <xdr:col>41</xdr:col>
      <xdr:colOff>205740</xdr:colOff>
      <xdr:row>46</xdr:row>
      <xdr:rowOff>83820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1100-000056000000}"/>
            </a:ext>
          </a:extLst>
        </xdr:cNvPr>
        <xdr:cNvCxnSpPr/>
      </xdr:nvCxnSpPr>
      <xdr:spPr>
        <a:xfrm>
          <a:off x="5989320" y="9715500"/>
          <a:ext cx="8153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30480</xdr:colOff>
      <xdr:row>46</xdr:row>
      <xdr:rowOff>76200</xdr:rowOff>
    </xdr:from>
    <xdr:to>
      <xdr:col>36</xdr:col>
      <xdr:colOff>45720</xdr:colOff>
      <xdr:row>54</xdr:row>
      <xdr:rowOff>106680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0000000-0008-0000-1100-000057000000}"/>
            </a:ext>
          </a:extLst>
        </xdr:cNvPr>
        <xdr:cNvCxnSpPr/>
      </xdr:nvCxnSpPr>
      <xdr:spPr>
        <a:xfrm flipV="1">
          <a:off x="5989320" y="9707880"/>
          <a:ext cx="15240" cy="16916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152400</xdr:colOff>
      <xdr:row>54</xdr:row>
      <xdr:rowOff>99060</xdr:rowOff>
    </xdr:from>
    <xdr:to>
      <xdr:col>36</xdr:col>
      <xdr:colOff>53340</xdr:colOff>
      <xdr:row>54</xdr:row>
      <xdr:rowOff>106680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1100-000058000000}"/>
            </a:ext>
          </a:extLst>
        </xdr:cNvPr>
        <xdr:cNvCxnSpPr/>
      </xdr:nvCxnSpPr>
      <xdr:spPr>
        <a:xfrm>
          <a:off x="3520440" y="11391900"/>
          <a:ext cx="249174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160020</xdr:colOff>
      <xdr:row>54</xdr:row>
      <xdr:rowOff>106680</xdr:rowOff>
    </xdr:from>
    <xdr:to>
      <xdr:col>21</xdr:col>
      <xdr:colOff>167640</xdr:colOff>
      <xdr:row>58</xdr:row>
      <xdr:rowOff>100965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00000000-0008-0000-1100-000059000000}"/>
            </a:ext>
          </a:extLst>
        </xdr:cNvPr>
        <xdr:cNvCxnSpPr/>
      </xdr:nvCxnSpPr>
      <xdr:spPr>
        <a:xfrm flipH="1">
          <a:off x="3528060" y="11399520"/>
          <a:ext cx="7620" cy="4819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182880</xdr:colOff>
      <xdr:row>65</xdr:row>
      <xdr:rowOff>22860</xdr:rowOff>
    </xdr:from>
    <xdr:to>
      <xdr:col>16</xdr:col>
      <xdr:colOff>15240</xdr:colOff>
      <xdr:row>65</xdr:row>
      <xdr:rowOff>22860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1100-00005C000000}"/>
            </a:ext>
          </a:extLst>
        </xdr:cNvPr>
        <xdr:cNvCxnSpPr/>
      </xdr:nvCxnSpPr>
      <xdr:spPr>
        <a:xfrm flipH="1">
          <a:off x="1935480" y="13342620"/>
          <a:ext cx="8077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65</xdr:row>
      <xdr:rowOff>15240</xdr:rowOff>
    </xdr:from>
    <xdr:to>
      <xdr:col>11</xdr:col>
      <xdr:colOff>194310</xdr:colOff>
      <xdr:row>67</xdr:row>
      <xdr:rowOff>17145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00000000-0008-0000-1100-00005E000000}"/>
            </a:ext>
          </a:extLst>
        </xdr:cNvPr>
        <xdr:cNvCxnSpPr/>
      </xdr:nvCxnSpPr>
      <xdr:spPr>
        <a:xfrm flipH="1">
          <a:off x="1943100" y="13335000"/>
          <a:ext cx="3810" cy="24574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47625</xdr:colOff>
      <xdr:row>19</xdr:row>
      <xdr:rowOff>47625</xdr:rowOff>
    </xdr:from>
    <xdr:to>
      <xdr:col>56</xdr:col>
      <xdr:colOff>55245</xdr:colOff>
      <xdr:row>28</xdr:row>
      <xdr:rowOff>64770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FDFBF730-F593-4B32-9265-E2EFBBD246D2}"/>
            </a:ext>
          </a:extLst>
        </xdr:cNvPr>
        <xdr:cNvCxnSpPr/>
      </xdr:nvCxnSpPr>
      <xdr:spPr>
        <a:xfrm>
          <a:off x="9191625" y="4248150"/>
          <a:ext cx="7620" cy="180784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0</xdr:colOff>
      <xdr:row>28</xdr:row>
      <xdr:rowOff>66675</xdr:rowOff>
    </xdr:from>
    <xdr:to>
      <xdr:col>61</xdr:col>
      <xdr:colOff>219075</xdr:colOff>
      <xdr:row>28</xdr:row>
      <xdr:rowOff>66675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6697D40D-E48A-4E62-9CD1-8D782DF2C4C9}"/>
            </a:ext>
          </a:extLst>
        </xdr:cNvPr>
        <xdr:cNvCxnSpPr/>
      </xdr:nvCxnSpPr>
      <xdr:spPr>
        <a:xfrm>
          <a:off x="9201150" y="6057900"/>
          <a:ext cx="79057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209550</xdr:colOff>
      <xdr:row>28</xdr:row>
      <xdr:rowOff>76200</xdr:rowOff>
    </xdr:from>
    <xdr:to>
      <xdr:col>61</xdr:col>
      <xdr:colOff>213360</xdr:colOff>
      <xdr:row>31</xdr:row>
      <xdr:rowOff>11430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EB61B817-1B90-44E0-A5F9-C2F759B5F636}"/>
            </a:ext>
          </a:extLst>
        </xdr:cNvPr>
        <xdr:cNvCxnSpPr/>
      </xdr:nvCxnSpPr>
      <xdr:spPr>
        <a:xfrm>
          <a:off x="9982200" y="6067425"/>
          <a:ext cx="3810" cy="3067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9525</xdr:colOff>
      <xdr:row>39</xdr:row>
      <xdr:rowOff>19050</xdr:rowOff>
    </xdr:from>
    <xdr:to>
      <xdr:col>42</xdr:col>
      <xdr:colOff>9525</xdr:colOff>
      <xdr:row>40</xdr:row>
      <xdr:rowOff>121920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13E4C369-E6BF-4FE6-BEFF-87DD672895FE}"/>
            </a:ext>
          </a:extLst>
        </xdr:cNvPr>
        <xdr:cNvCxnSpPr/>
      </xdr:nvCxnSpPr>
      <xdr:spPr>
        <a:xfrm>
          <a:off x="6810375" y="8048625"/>
          <a:ext cx="0" cy="2266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219075</xdr:colOff>
      <xdr:row>39</xdr:row>
      <xdr:rowOff>19050</xdr:rowOff>
    </xdr:from>
    <xdr:to>
      <xdr:col>62</xdr:col>
      <xdr:colOff>66675</xdr:colOff>
      <xdr:row>39</xdr:row>
      <xdr:rowOff>19050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5D82D4F8-1646-4DB5-B7C3-D19746FD0107}"/>
            </a:ext>
          </a:extLst>
        </xdr:cNvPr>
        <xdr:cNvCxnSpPr/>
      </xdr:nvCxnSpPr>
      <xdr:spPr>
        <a:xfrm flipH="1">
          <a:off x="6791325" y="8048625"/>
          <a:ext cx="32766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57150</xdr:colOff>
      <xdr:row>34</xdr:row>
      <xdr:rowOff>171450</xdr:rowOff>
    </xdr:from>
    <xdr:to>
      <xdr:col>62</xdr:col>
      <xdr:colOff>57150</xdr:colOff>
      <xdr:row>39</xdr:row>
      <xdr:rowOff>22860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C2221879-3CCD-4382-9CE1-63784E5024F5}"/>
            </a:ext>
          </a:extLst>
        </xdr:cNvPr>
        <xdr:cNvCxnSpPr/>
      </xdr:nvCxnSpPr>
      <xdr:spPr>
        <a:xfrm>
          <a:off x="10058400" y="7515225"/>
          <a:ext cx="0" cy="53721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209550</xdr:colOff>
      <xdr:row>45</xdr:row>
      <xdr:rowOff>0</xdr:rowOff>
    </xdr:from>
    <xdr:to>
      <xdr:col>41</xdr:col>
      <xdr:colOff>209550</xdr:colOff>
      <xdr:row>46</xdr:row>
      <xdr:rowOff>95250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4A9616EF-FA19-4934-BC12-FD6139B585DE}"/>
            </a:ext>
          </a:extLst>
        </xdr:cNvPr>
        <xdr:cNvCxnSpPr/>
      </xdr:nvCxnSpPr>
      <xdr:spPr>
        <a:xfrm flipV="1">
          <a:off x="6781800" y="9448800"/>
          <a:ext cx="0" cy="2190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104775</xdr:colOff>
      <xdr:row>46</xdr:row>
      <xdr:rowOff>66675</xdr:rowOff>
    </xdr:from>
    <xdr:to>
      <xdr:col>22</xdr:col>
      <xdr:colOff>112395</xdr:colOff>
      <xdr:row>48</xdr:row>
      <xdr:rowOff>116205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EDF7900C-79FE-49E2-AE54-DF8471619EFF}"/>
            </a:ext>
          </a:extLst>
        </xdr:cNvPr>
        <xdr:cNvCxnSpPr/>
      </xdr:nvCxnSpPr>
      <xdr:spPr>
        <a:xfrm flipH="1">
          <a:off x="3705225" y="963930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104775</xdr:colOff>
      <xdr:row>46</xdr:row>
      <xdr:rowOff>66675</xdr:rowOff>
    </xdr:from>
    <xdr:to>
      <xdr:col>26</xdr:col>
      <xdr:colOff>38100</xdr:colOff>
      <xdr:row>46</xdr:row>
      <xdr:rowOff>66675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CD17156D-3939-4057-9306-68D8688A528A}"/>
            </a:ext>
          </a:extLst>
        </xdr:cNvPr>
        <xdr:cNvCxnSpPr/>
      </xdr:nvCxnSpPr>
      <xdr:spPr>
        <a:xfrm flipH="1">
          <a:off x="3705225" y="9639300"/>
          <a:ext cx="67627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37</xdr:row>
      <xdr:rowOff>104775</xdr:rowOff>
    </xdr:from>
    <xdr:to>
      <xdr:col>27</xdr:col>
      <xdr:colOff>0</xdr:colOff>
      <xdr:row>46</xdr:row>
      <xdr:rowOff>57150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733F1E25-21F4-4FAB-8F83-4667080321F0}"/>
            </a:ext>
          </a:extLst>
        </xdr:cNvPr>
        <xdr:cNvCxnSpPr/>
      </xdr:nvCxnSpPr>
      <xdr:spPr>
        <a:xfrm flipV="1">
          <a:off x="4381500" y="7886700"/>
          <a:ext cx="19050" cy="174307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37</xdr:row>
      <xdr:rowOff>104775</xdr:rowOff>
    </xdr:from>
    <xdr:to>
      <xdr:col>52</xdr:col>
      <xdr:colOff>200025</xdr:colOff>
      <xdr:row>37</xdr:row>
      <xdr:rowOff>114300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A39FCF59-AB45-49DF-9416-D091DCCD7519}"/>
            </a:ext>
          </a:extLst>
        </xdr:cNvPr>
        <xdr:cNvCxnSpPr/>
      </xdr:nvCxnSpPr>
      <xdr:spPr>
        <a:xfrm flipH="1">
          <a:off x="4381500" y="7886700"/>
          <a:ext cx="421957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200025</xdr:colOff>
      <xdr:row>35</xdr:row>
      <xdr:rowOff>19050</xdr:rowOff>
    </xdr:from>
    <xdr:to>
      <xdr:col>52</xdr:col>
      <xdr:colOff>200025</xdr:colOff>
      <xdr:row>37</xdr:row>
      <xdr:rowOff>108585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F3FB3777-ADAF-4446-BD1A-BF39C208664A}"/>
            </a:ext>
          </a:extLst>
        </xdr:cNvPr>
        <xdr:cNvCxnSpPr/>
      </xdr:nvCxnSpPr>
      <xdr:spPr>
        <a:xfrm>
          <a:off x="8601075" y="7553325"/>
          <a:ext cx="0" cy="33718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114300</xdr:colOff>
      <xdr:row>9</xdr:row>
      <xdr:rowOff>0</xdr:rowOff>
    </xdr:from>
    <xdr:to>
      <xdr:col>32</xdr:col>
      <xdr:colOff>117694</xdr:colOff>
      <xdr:row>10</xdr:row>
      <xdr:rowOff>22663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CxnSpPr/>
      </xdr:nvCxnSpPr>
      <xdr:spPr>
        <a:xfrm>
          <a:off x="5326380" y="2286000"/>
          <a:ext cx="3394" cy="14458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104775</xdr:colOff>
      <xdr:row>10</xdr:row>
      <xdr:rowOff>19050</xdr:rowOff>
    </xdr:from>
    <xdr:to>
      <xdr:col>41</xdr:col>
      <xdr:colOff>206375</xdr:colOff>
      <xdr:row>10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CxnSpPr/>
      </xdr:nvCxnSpPr>
      <xdr:spPr>
        <a:xfrm flipH="1">
          <a:off x="5316855" y="2426970"/>
          <a:ext cx="14884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9</xdr:row>
      <xdr:rowOff>0</xdr:rowOff>
    </xdr:from>
    <xdr:to>
      <xdr:col>12</xdr:col>
      <xdr:colOff>15240</xdr:colOff>
      <xdr:row>12</xdr:row>
      <xdr:rowOff>118110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CxnSpPr/>
      </xdr:nvCxnSpPr>
      <xdr:spPr>
        <a:xfrm flipH="1">
          <a:off x="1988820" y="2286000"/>
          <a:ext cx="7620" cy="4838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205740</xdr:colOff>
      <xdr:row>10</xdr:row>
      <xdr:rowOff>30480</xdr:rowOff>
    </xdr:from>
    <xdr:to>
      <xdr:col>41</xdr:col>
      <xdr:colOff>209550</xdr:colOff>
      <xdr:row>13</xdr:row>
      <xdr:rowOff>1905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CxnSpPr/>
      </xdr:nvCxnSpPr>
      <xdr:spPr>
        <a:xfrm>
          <a:off x="6804660" y="2438400"/>
          <a:ext cx="3810" cy="3371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220980</xdr:colOff>
      <xdr:row>16</xdr:row>
      <xdr:rowOff>182880</xdr:rowOff>
    </xdr:from>
    <xdr:to>
      <xdr:col>21</xdr:col>
      <xdr:colOff>220980</xdr:colOff>
      <xdr:row>20</xdr:row>
      <xdr:rowOff>15240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1200-00004F000000}"/>
            </a:ext>
          </a:extLst>
        </xdr:cNvPr>
        <xdr:cNvCxnSpPr/>
      </xdr:nvCxnSpPr>
      <xdr:spPr>
        <a:xfrm>
          <a:off x="3589020" y="3939540"/>
          <a:ext cx="0" cy="388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213360</xdr:colOff>
      <xdr:row>20</xdr:row>
      <xdr:rowOff>15240</xdr:rowOff>
    </xdr:from>
    <xdr:to>
      <xdr:col>32</xdr:col>
      <xdr:colOff>7620</xdr:colOff>
      <xdr:row>20</xdr:row>
      <xdr:rowOff>15240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1200-000051000000}"/>
            </a:ext>
          </a:extLst>
        </xdr:cNvPr>
        <xdr:cNvCxnSpPr/>
      </xdr:nvCxnSpPr>
      <xdr:spPr>
        <a:xfrm flipH="1">
          <a:off x="3581400" y="4328160"/>
          <a:ext cx="16383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7620</xdr:colOff>
      <xdr:row>20</xdr:row>
      <xdr:rowOff>15240</xdr:rowOff>
    </xdr:from>
    <xdr:to>
      <xdr:col>32</xdr:col>
      <xdr:colOff>11430</xdr:colOff>
      <xdr:row>22</xdr:row>
      <xdr:rowOff>108585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00000000-0008-0000-1200-000053000000}"/>
            </a:ext>
          </a:extLst>
        </xdr:cNvPr>
        <xdr:cNvCxnSpPr/>
      </xdr:nvCxnSpPr>
      <xdr:spPr>
        <a:xfrm>
          <a:off x="5219700" y="4328160"/>
          <a:ext cx="3810" cy="3371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213360</xdr:colOff>
      <xdr:row>16</xdr:row>
      <xdr:rowOff>182880</xdr:rowOff>
    </xdr:from>
    <xdr:to>
      <xdr:col>11</xdr:col>
      <xdr:colOff>213360</xdr:colOff>
      <xdr:row>22</xdr:row>
      <xdr:rowOff>102870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00000000-0008-0000-1200-000054000000}"/>
            </a:ext>
          </a:extLst>
        </xdr:cNvPr>
        <xdr:cNvCxnSpPr/>
      </xdr:nvCxnSpPr>
      <xdr:spPr>
        <a:xfrm>
          <a:off x="1965960" y="3939540"/>
          <a:ext cx="0" cy="7200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205740</xdr:colOff>
      <xdr:row>19</xdr:row>
      <xdr:rowOff>7620</xdr:rowOff>
    </xdr:from>
    <xdr:to>
      <xdr:col>42</xdr:col>
      <xdr:colOff>7620</xdr:colOff>
      <xdr:row>19</xdr:row>
      <xdr:rowOff>15240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1200-000058000000}"/>
            </a:ext>
          </a:extLst>
        </xdr:cNvPr>
        <xdr:cNvCxnSpPr/>
      </xdr:nvCxnSpPr>
      <xdr:spPr>
        <a:xfrm flipH="1" flipV="1">
          <a:off x="1958340" y="4198620"/>
          <a:ext cx="487680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7620</xdr:colOff>
      <xdr:row>19</xdr:row>
      <xdr:rowOff>22860</xdr:rowOff>
    </xdr:from>
    <xdr:to>
      <xdr:col>42</xdr:col>
      <xdr:colOff>11430</xdr:colOff>
      <xdr:row>22</xdr:row>
      <xdr:rowOff>116205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00000000-0008-0000-1200-00005A000000}"/>
            </a:ext>
          </a:extLst>
        </xdr:cNvPr>
        <xdr:cNvCxnSpPr/>
      </xdr:nvCxnSpPr>
      <xdr:spPr>
        <a:xfrm>
          <a:off x="6835140" y="4213860"/>
          <a:ext cx="3810" cy="4591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205740</xdr:colOff>
      <xdr:row>29</xdr:row>
      <xdr:rowOff>0</xdr:rowOff>
    </xdr:from>
    <xdr:to>
      <xdr:col>27</xdr:col>
      <xdr:colOff>15240</xdr:colOff>
      <xdr:row>29</xdr:row>
      <xdr:rowOff>7620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1200-00005D000000}"/>
            </a:ext>
          </a:extLst>
        </xdr:cNvPr>
        <xdr:cNvCxnSpPr/>
      </xdr:nvCxnSpPr>
      <xdr:spPr>
        <a:xfrm flipH="1">
          <a:off x="1958340" y="6096000"/>
          <a:ext cx="24612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3810</xdr:colOff>
      <xdr:row>29</xdr:row>
      <xdr:rowOff>7620</xdr:rowOff>
    </xdr:from>
    <xdr:to>
      <xdr:col>22</xdr:col>
      <xdr:colOff>7620</xdr:colOff>
      <xdr:row>30</xdr:row>
      <xdr:rowOff>116205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00000000-0008-0000-1200-00005F000000}"/>
            </a:ext>
          </a:extLst>
        </xdr:cNvPr>
        <xdr:cNvCxnSpPr/>
      </xdr:nvCxnSpPr>
      <xdr:spPr>
        <a:xfrm flipH="1">
          <a:off x="3600450" y="6103620"/>
          <a:ext cx="3810" cy="2305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17</xdr:row>
      <xdr:rowOff>0</xdr:rowOff>
    </xdr:from>
    <xdr:to>
      <xdr:col>44</xdr:col>
      <xdr:colOff>0</xdr:colOff>
      <xdr:row>19</xdr:row>
      <xdr:rowOff>99060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00000000-0008-0000-1200-000070000000}"/>
            </a:ext>
          </a:extLst>
        </xdr:cNvPr>
        <xdr:cNvCxnSpPr/>
      </xdr:nvCxnSpPr>
      <xdr:spPr>
        <a:xfrm>
          <a:off x="7284720" y="3947160"/>
          <a:ext cx="0" cy="3429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213360</xdr:colOff>
      <xdr:row>19</xdr:row>
      <xdr:rowOff>106680</xdr:rowOff>
    </xdr:from>
    <xdr:to>
      <xdr:col>47</xdr:col>
      <xdr:colOff>0</xdr:colOff>
      <xdr:row>19</xdr:row>
      <xdr:rowOff>114300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1200-000072000000}"/>
            </a:ext>
          </a:extLst>
        </xdr:cNvPr>
        <xdr:cNvCxnSpPr/>
      </xdr:nvCxnSpPr>
      <xdr:spPr>
        <a:xfrm flipH="1" flipV="1">
          <a:off x="7269480" y="4297680"/>
          <a:ext cx="3657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19</xdr:row>
      <xdr:rowOff>106680</xdr:rowOff>
    </xdr:from>
    <xdr:to>
      <xdr:col>47</xdr:col>
      <xdr:colOff>7620</xdr:colOff>
      <xdr:row>29</xdr:row>
      <xdr:rowOff>22860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1200-000075000000}"/>
            </a:ext>
          </a:extLst>
        </xdr:cNvPr>
        <xdr:cNvCxnSpPr/>
      </xdr:nvCxnSpPr>
      <xdr:spPr>
        <a:xfrm>
          <a:off x="7635240" y="4297680"/>
          <a:ext cx="7620" cy="182118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30480</xdr:colOff>
      <xdr:row>29</xdr:row>
      <xdr:rowOff>0</xdr:rowOff>
    </xdr:from>
    <xdr:to>
      <xdr:col>42</xdr:col>
      <xdr:colOff>34290</xdr:colOff>
      <xdr:row>31</xdr:row>
      <xdr:rowOff>1905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00000000-0008-0000-1200-00007A000000}"/>
            </a:ext>
          </a:extLst>
        </xdr:cNvPr>
        <xdr:cNvCxnSpPr/>
      </xdr:nvCxnSpPr>
      <xdr:spPr>
        <a:xfrm>
          <a:off x="6858000" y="6096000"/>
          <a:ext cx="3810" cy="24574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7620</xdr:colOff>
      <xdr:row>29</xdr:row>
      <xdr:rowOff>0</xdr:rowOff>
    </xdr:from>
    <xdr:to>
      <xdr:col>27</xdr:col>
      <xdr:colOff>15240</xdr:colOff>
      <xdr:row>37</xdr:row>
      <xdr:rowOff>0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00000000-0008-0000-1200-0000A0000000}"/>
            </a:ext>
          </a:extLst>
        </xdr:cNvPr>
        <xdr:cNvCxnSpPr/>
      </xdr:nvCxnSpPr>
      <xdr:spPr>
        <a:xfrm flipV="1">
          <a:off x="4411980" y="6096000"/>
          <a:ext cx="7620" cy="16611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15240</xdr:colOff>
      <xdr:row>37</xdr:row>
      <xdr:rowOff>0</xdr:rowOff>
    </xdr:from>
    <xdr:to>
      <xdr:col>52</xdr:col>
      <xdr:colOff>7620</xdr:colOff>
      <xdr:row>37</xdr:row>
      <xdr:rowOff>7620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id="{00000000-0008-0000-1200-0000A3000000}"/>
            </a:ext>
          </a:extLst>
        </xdr:cNvPr>
        <xdr:cNvCxnSpPr/>
      </xdr:nvCxnSpPr>
      <xdr:spPr>
        <a:xfrm flipH="1" flipV="1">
          <a:off x="4419600" y="7757160"/>
          <a:ext cx="403098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7620</xdr:colOff>
      <xdr:row>37</xdr:row>
      <xdr:rowOff>15240</xdr:rowOff>
    </xdr:from>
    <xdr:to>
      <xdr:col>52</xdr:col>
      <xdr:colOff>7620</xdr:colOff>
      <xdr:row>41</xdr:row>
      <xdr:rowOff>9525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00000000-0008-0000-1200-0000A7000000}"/>
            </a:ext>
          </a:extLst>
        </xdr:cNvPr>
        <xdr:cNvCxnSpPr/>
      </xdr:nvCxnSpPr>
      <xdr:spPr>
        <a:xfrm>
          <a:off x="8450580" y="7772400"/>
          <a:ext cx="0" cy="4819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22860</xdr:colOff>
      <xdr:row>29</xdr:row>
      <xdr:rowOff>15240</xdr:rowOff>
    </xdr:from>
    <xdr:to>
      <xdr:col>47</xdr:col>
      <xdr:colOff>15240</xdr:colOff>
      <xdr:row>29</xdr:row>
      <xdr:rowOff>15240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00000000-0008-0000-1200-0000F5000000}"/>
            </a:ext>
          </a:extLst>
        </xdr:cNvPr>
        <xdr:cNvCxnSpPr/>
      </xdr:nvCxnSpPr>
      <xdr:spPr>
        <a:xfrm flipH="1">
          <a:off x="6850380" y="6111240"/>
          <a:ext cx="8001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213360</xdr:colOff>
      <xdr:row>35</xdr:row>
      <xdr:rowOff>0</xdr:rowOff>
    </xdr:from>
    <xdr:to>
      <xdr:col>61</xdr:col>
      <xdr:colOff>220980</xdr:colOff>
      <xdr:row>38</xdr:row>
      <xdr:rowOff>15240</xdr:rowOff>
    </xdr:to>
    <xdr:cxnSp macro="">
      <xdr:nvCxnSpPr>
        <xdr:cNvPr id="250" name="Straight Connector 249">
          <a:extLst>
            <a:ext uri="{FF2B5EF4-FFF2-40B4-BE49-F238E27FC236}">
              <a16:creationId xmlns:a16="http://schemas.microsoft.com/office/drawing/2014/main" id="{00000000-0008-0000-1200-0000FA000000}"/>
            </a:ext>
          </a:extLst>
        </xdr:cNvPr>
        <xdr:cNvCxnSpPr/>
      </xdr:nvCxnSpPr>
      <xdr:spPr>
        <a:xfrm flipH="1" flipV="1">
          <a:off x="10043160" y="7513320"/>
          <a:ext cx="7620" cy="3810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7620</xdr:colOff>
      <xdr:row>38</xdr:row>
      <xdr:rowOff>0</xdr:rowOff>
    </xdr:from>
    <xdr:to>
      <xdr:col>62</xdr:col>
      <xdr:colOff>7620</xdr:colOff>
      <xdr:row>38</xdr:row>
      <xdr:rowOff>0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00000000-0008-0000-1200-0000FE000000}"/>
            </a:ext>
          </a:extLst>
        </xdr:cNvPr>
        <xdr:cNvCxnSpPr/>
      </xdr:nvCxnSpPr>
      <xdr:spPr>
        <a:xfrm flipH="1">
          <a:off x="2796540" y="7879080"/>
          <a:ext cx="726948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213360</xdr:colOff>
      <xdr:row>38</xdr:row>
      <xdr:rowOff>0</xdr:rowOff>
    </xdr:from>
    <xdr:to>
      <xdr:col>21</xdr:col>
      <xdr:colOff>220980</xdr:colOff>
      <xdr:row>40</xdr:row>
      <xdr:rowOff>108585</xdr:rowOff>
    </xdr:to>
    <xdr:cxnSp macro="">
      <xdr:nvCxnSpPr>
        <xdr:cNvPr id="256" name="Straight Arrow Connector 255">
          <a:extLst>
            <a:ext uri="{FF2B5EF4-FFF2-40B4-BE49-F238E27FC236}">
              <a16:creationId xmlns:a16="http://schemas.microsoft.com/office/drawing/2014/main" id="{00000000-0008-0000-1200-000000010000}"/>
            </a:ext>
          </a:extLst>
        </xdr:cNvPr>
        <xdr:cNvCxnSpPr/>
      </xdr:nvCxnSpPr>
      <xdr:spPr>
        <a:xfrm flipH="1">
          <a:off x="3581400" y="7879080"/>
          <a:ext cx="7620" cy="3524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213360</xdr:colOff>
      <xdr:row>38</xdr:row>
      <xdr:rowOff>7620</xdr:rowOff>
    </xdr:from>
    <xdr:to>
      <xdr:col>31</xdr:col>
      <xdr:colOff>220980</xdr:colOff>
      <xdr:row>40</xdr:row>
      <xdr:rowOff>116205</xdr:rowOff>
    </xdr:to>
    <xdr:cxnSp macro="">
      <xdr:nvCxnSpPr>
        <xdr:cNvPr id="258" name="Straight Arrow Connector 257">
          <a:extLst>
            <a:ext uri="{FF2B5EF4-FFF2-40B4-BE49-F238E27FC236}">
              <a16:creationId xmlns:a16="http://schemas.microsoft.com/office/drawing/2014/main" id="{00000000-0008-0000-1200-000002010000}"/>
            </a:ext>
          </a:extLst>
        </xdr:cNvPr>
        <xdr:cNvCxnSpPr/>
      </xdr:nvCxnSpPr>
      <xdr:spPr>
        <a:xfrm flipH="1">
          <a:off x="5196840" y="7886700"/>
          <a:ext cx="7620" cy="3524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35</xdr:row>
      <xdr:rowOff>0</xdr:rowOff>
    </xdr:from>
    <xdr:to>
      <xdr:col>42</xdr:col>
      <xdr:colOff>0</xdr:colOff>
      <xdr:row>36</xdr:row>
      <xdr:rowOff>38100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00000000-0008-0000-1200-000003010000}"/>
            </a:ext>
          </a:extLst>
        </xdr:cNvPr>
        <xdr:cNvCxnSpPr/>
      </xdr:nvCxnSpPr>
      <xdr:spPr>
        <a:xfrm flipV="1">
          <a:off x="6827520" y="7513320"/>
          <a:ext cx="0" cy="1600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45720</xdr:colOff>
      <xdr:row>36</xdr:row>
      <xdr:rowOff>30480</xdr:rowOff>
    </xdr:from>
    <xdr:to>
      <xdr:col>42</xdr:col>
      <xdr:colOff>0</xdr:colOff>
      <xdr:row>36</xdr:row>
      <xdr:rowOff>38100</xdr:rowOff>
    </xdr:to>
    <xdr:cxnSp macro="">
      <xdr:nvCxnSpPr>
        <xdr:cNvPr id="261" name="Straight Connector 260">
          <a:extLst>
            <a:ext uri="{FF2B5EF4-FFF2-40B4-BE49-F238E27FC236}">
              <a16:creationId xmlns:a16="http://schemas.microsoft.com/office/drawing/2014/main" id="{00000000-0008-0000-1200-000005010000}"/>
            </a:ext>
          </a:extLst>
        </xdr:cNvPr>
        <xdr:cNvCxnSpPr/>
      </xdr:nvCxnSpPr>
      <xdr:spPr>
        <a:xfrm>
          <a:off x="5943600" y="7665720"/>
          <a:ext cx="88392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36</xdr:row>
      <xdr:rowOff>30480</xdr:rowOff>
    </xdr:from>
    <xdr:to>
      <xdr:col>36</xdr:col>
      <xdr:colOff>0</xdr:colOff>
      <xdr:row>46</xdr:row>
      <xdr:rowOff>68580</xdr:rowOff>
    </xdr:to>
    <xdr:cxnSp macro="">
      <xdr:nvCxnSpPr>
        <xdr:cNvPr id="266" name="Straight Connector 265">
          <a:extLst>
            <a:ext uri="{FF2B5EF4-FFF2-40B4-BE49-F238E27FC236}">
              <a16:creationId xmlns:a16="http://schemas.microsoft.com/office/drawing/2014/main" id="{00000000-0008-0000-1200-00000A010000}"/>
            </a:ext>
          </a:extLst>
        </xdr:cNvPr>
        <xdr:cNvCxnSpPr/>
      </xdr:nvCxnSpPr>
      <xdr:spPr>
        <a:xfrm flipV="1">
          <a:off x="5958840" y="7665720"/>
          <a:ext cx="0" cy="19431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46</xdr:row>
      <xdr:rowOff>68580</xdr:rowOff>
    </xdr:from>
    <xdr:to>
      <xdr:col>35</xdr:col>
      <xdr:colOff>53340</xdr:colOff>
      <xdr:row>46</xdr:row>
      <xdr:rowOff>68580</xdr:rowOff>
    </xdr:to>
    <xdr:cxnSp macro="">
      <xdr:nvCxnSpPr>
        <xdr:cNvPr id="268" name="Straight Connector 267">
          <a:extLst>
            <a:ext uri="{FF2B5EF4-FFF2-40B4-BE49-F238E27FC236}">
              <a16:creationId xmlns:a16="http://schemas.microsoft.com/office/drawing/2014/main" id="{00000000-0008-0000-1200-00000C010000}"/>
            </a:ext>
          </a:extLst>
        </xdr:cNvPr>
        <xdr:cNvCxnSpPr/>
      </xdr:nvCxnSpPr>
      <xdr:spPr>
        <a:xfrm>
          <a:off x="5212080" y="9608820"/>
          <a:ext cx="7391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7620</xdr:colOff>
      <xdr:row>46</xdr:row>
      <xdr:rowOff>68580</xdr:rowOff>
    </xdr:from>
    <xdr:to>
      <xdr:col>32</xdr:col>
      <xdr:colOff>15240</xdr:colOff>
      <xdr:row>48</xdr:row>
      <xdr:rowOff>116205</xdr:rowOff>
    </xdr:to>
    <xdr:cxnSp macro="">
      <xdr:nvCxnSpPr>
        <xdr:cNvPr id="271" name="Straight Arrow Connector 270">
          <a:extLst>
            <a:ext uri="{FF2B5EF4-FFF2-40B4-BE49-F238E27FC236}">
              <a16:creationId xmlns:a16="http://schemas.microsoft.com/office/drawing/2014/main" id="{00000000-0008-0000-1200-00000F010000}"/>
            </a:ext>
          </a:extLst>
        </xdr:cNvPr>
        <xdr:cNvCxnSpPr/>
      </xdr:nvCxnSpPr>
      <xdr:spPr>
        <a:xfrm flipH="1">
          <a:off x="5219700" y="9608820"/>
          <a:ext cx="7620" cy="2914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45720</xdr:colOff>
      <xdr:row>27</xdr:row>
      <xdr:rowOff>7620</xdr:rowOff>
    </xdr:from>
    <xdr:to>
      <xdr:col>42</xdr:col>
      <xdr:colOff>45720</xdr:colOff>
      <xdr:row>28</xdr:row>
      <xdr:rowOff>45720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id="{00000000-0008-0000-1200-000012010000}"/>
            </a:ext>
          </a:extLst>
        </xdr:cNvPr>
        <xdr:cNvCxnSpPr/>
      </xdr:nvCxnSpPr>
      <xdr:spPr>
        <a:xfrm flipV="1">
          <a:off x="6873240" y="5859780"/>
          <a:ext cx="0" cy="1600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60960</xdr:colOff>
      <xdr:row>28</xdr:row>
      <xdr:rowOff>38100</xdr:rowOff>
    </xdr:from>
    <xdr:to>
      <xdr:col>46</xdr:col>
      <xdr:colOff>7620</xdr:colOff>
      <xdr:row>28</xdr:row>
      <xdr:rowOff>38100</xdr:rowOff>
    </xdr:to>
    <xdr:cxnSp macro="">
      <xdr:nvCxnSpPr>
        <xdr:cNvPr id="275" name="Straight Connector 274">
          <a:extLst>
            <a:ext uri="{FF2B5EF4-FFF2-40B4-BE49-F238E27FC236}">
              <a16:creationId xmlns:a16="http://schemas.microsoft.com/office/drawing/2014/main" id="{00000000-0008-0000-1200-000013010000}"/>
            </a:ext>
          </a:extLst>
        </xdr:cNvPr>
        <xdr:cNvCxnSpPr/>
      </xdr:nvCxnSpPr>
      <xdr:spPr>
        <a:xfrm flipH="1">
          <a:off x="6888480" y="6012180"/>
          <a:ext cx="6934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28</xdr:row>
      <xdr:rowOff>38100</xdr:rowOff>
    </xdr:from>
    <xdr:to>
      <xdr:col>46</xdr:col>
      <xdr:colOff>15240</xdr:colOff>
      <xdr:row>47</xdr:row>
      <xdr:rowOff>99060</xdr:rowOff>
    </xdr:to>
    <xdr:cxnSp macro="">
      <xdr:nvCxnSpPr>
        <xdr:cNvPr id="278" name="Straight Connector 277">
          <a:extLst>
            <a:ext uri="{FF2B5EF4-FFF2-40B4-BE49-F238E27FC236}">
              <a16:creationId xmlns:a16="http://schemas.microsoft.com/office/drawing/2014/main" id="{00000000-0008-0000-1200-000016010000}"/>
            </a:ext>
          </a:extLst>
        </xdr:cNvPr>
        <xdr:cNvCxnSpPr/>
      </xdr:nvCxnSpPr>
      <xdr:spPr>
        <a:xfrm flipV="1">
          <a:off x="7574280" y="6012180"/>
          <a:ext cx="15240" cy="37490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22860</xdr:colOff>
      <xdr:row>47</xdr:row>
      <xdr:rowOff>91440</xdr:rowOff>
    </xdr:from>
    <xdr:to>
      <xdr:col>45</xdr:col>
      <xdr:colOff>53340</xdr:colOff>
      <xdr:row>47</xdr:row>
      <xdr:rowOff>91440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00000000-0008-0000-1200-000019010000}"/>
            </a:ext>
          </a:extLst>
        </xdr:cNvPr>
        <xdr:cNvCxnSpPr/>
      </xdr:nvCxnSpPr>
      <xdr:spPr>
        <a:xfrm>
          <a:off x="7078980" y="9753600"/>
          <a:ext cx="48768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22860</xdr:colOff>
      <xdr:row>47</xdr:row>
      <xdr:rowOff>99060</xdr:rowOff>
    </xdr:from>
    <xdr:to>
      <xdr:col>43</xdr:col>
      <xdr:colOff>30480</xdr:colOff>
      <xdr:row>49</xdr:row>
      <xdr:rowOff>1905</xdr:rowOff>
    </xdr:to>
    <xdr:cxnSp macro="">
      <xdr:nvCxnSpPr>
        <xdr:cNvPr id="284" name="Straight Arrow Connector 283">
          <a:extLst>
            <a:ext uri="{FF2B5EF4-FFF2-40B4-BE49-F238E27FC236}">
              <a16:creationId xmlns:a16="http://schemas.microsoft.com/office/drawing/2014/main" id="{00000000-0008-0000-1200-00001C010000}"/>
            </a:ext>
          </a:extLst>
        </xdr:cNvPr>
        <xdr:cNvCxnSpPr/>
      </xdr:nvCxnSpPr>
      <xdr:spPr>
        <a:xfrm flipH="1">
          <a:off x="7078980" y="9761220"/>
          <a:ext cx="7620" cy="1466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0</xdr:colOff>
      <xdr:row>38</xdr:row>
      <xdr:rowOff>7620</xdr:rowOff>
    </xdr:from>
    <xdr:to>
      <xdr:col>57</xdr:col>
      <xdr:colOff>0</xdr:colOff>
      <xdr:row>47</xdr:row>
      <xdr:rowOff>38100</xdr:rowOff>
    </xdr:to>
    <xdr:cxnSp macro="">
      <xdr:nvCxnSpPr>
        <xdr:cNvPr id="288" name="Straight Connector 287">
          <a:extLst>
            <a:ext uri="{FF2B5EF4-FFF2-40B4-BE49-F238E27FC236}">
              <a16:creationId xmlns:a16="http://schemas.microsoft.com/office/drawing/2014/main" id="{00000000-0008-0000-1200-000020010000}"/>
            </a:ext>
          </a:extLst>
        </xdr:cNvPr>
        <xdr:cNvCxnSpPr/>
      </xdr:nvCxnSpPr>
      <xdr:spPr>
        <a:xfrm>
          <a:off x="9250680" y="7886700"/>
          <a:ext cx="0" cy="18135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47</xdr:row>
      <xdr:rowOff>22860</xdr:rowOff>
    </xdr:from>
    <xdr:to>
      <xdr:col>56</xdr:col>
      <xdr:colOff>53340</xdr:colOff>
      <xdr:row>47</xdr:row>
      <xdr:rowOff>22860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00000000-0008-0000-1200-000022010000}"/>
            </a:ext>
          </a:extLst>
        </xdr:cNvPr>
        <xdr:cNvCxnSpPr/>
      </xdr:nvCxnSpPr>
      <xdr:spPr>
        <a:xfrm flipH="1">
          <a:off x="8442960" y="9685020"/>
          <a:ext cx="8001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213360</xdr:colOff>
      <xdr:row>47</xdr:row>
      <xdr:rowOff>22860</xdr:rowOff>
    </xdr:from>
    <xdr:to>
      <xdr:col>51</xdr:col>
      <xdr:colOff>220980</xdr:colOff>
      <xdr:row>49</xdr:row>
      <xdr:rowOff>9525</xdr:rowOff>
    </xdr:to>
    <xdr:cxnSp macro="">
      <xdr:nvCxnSpPr>
        <xdr:cNvPr id="294" name="Straight Arrow Connector 293">
          <a:extLst>
            <a:ext uri="{FF2B5EF4-FFF2-40B4-BE49-F238E27FC236}">
              <a16:creationId xmlns:a16="http://schemas.microsoft.com/office/drawing/2014/main" id="{00000000-0008-0000-1200-000026010000}"/>
            </a:ext>
          </a:extLst>
        </xdr:cNvPr>
        <xdr:cNvCxnSpPr/>
      </xdr:nvCxnSpPr>
      <xdr:spPr>
        <a:xfrm flipH="1">
          <a:off x="8427720" y="9685020"/>
          <a:ext cx="7620" cy="2305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</xdr:colOff>
      <xdr:row>37</xdr:row>
      <xdr:rowOff>114300</xdr:rowOff>
    </xdr:from>
    <xdr:to>
      <xdr:col>17</xdr:col>
      <xdr:colOff>15240</xdr:colOff>
      <xdr:row>56</xdr:row>
      <xdr:rowOff>7620</xdr:rowOff>
    </xdr:to>
    <xdr:cxnSp macro="">
      <xdr:nvCxnSpPr>
        <xdr:cNvPr id="297" name="Straight Connector 296">
          <a:extLst>
            <a:ext uri="{FF2B5EF4-FFF2-40B4-BE49-F238E27FC236}">
              <a16:creationId xmlns:a16="http://schemas.microsoft.com/office/drawing/2014/main" id="{00000000-0008-0000-1200-000029010000}"/>
            </a:ext>
          </a:extLst>
        </xdr:cNvPr>
        <xdr:cNvCxnSpPr/>
      </xdr:nvCxnSpPr>
      <xdr:spPr>
        <a:xfrm flipV="1">
          <a:off x="2804160" y="7871460"/>
          <a:ext cx="0" cy="35814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220980</xdr:colOff>
      <xdr:row>55</xdr:row>
      <xdr:rowOff>106680</xdr:rowOff>
    </xdr:from>
    <xdr:to>
      <xdr:col>17</xdr:col>
      <xdr:colOff>0</xdr:colOff>
      <xdr:row>55</xdr:row>
      <xdr:rowOff>114300</xdr:rowOff>
    </xdr:to>
    <xdr:cxnSp macro="">
      <xdr:nvCxnSpPr>
        <xdr:cNvPr id="299" name="Straight Connector 298">
          <a:extLst>
            <a:ext uri="{FF2B5EF4-FFF2-40B4-BE49-F238E27FC236}">
              <a16:creationId xmlns:a16="http://schemas.microsoft.com/office/drawing/2014/main" id="{00000000-0008-0000-1200-00002B010000}"/>
            </a:ext>
          </a:extLst>
        </xdr:cNvPr>
        <xdr:cNvCxnSpPr/>
      </xdr:nvCxnSpPr>
      <xdr:spPr>
        <a:xfrm flipH="1" flipV="1">
          <a:off x="1973580" y="11430000"/>
          <a:ext cx="81534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55</xdr:row>
      <xdr:rowOff>114300</xdr:rowOff>
    </xdr:from>
    <xdr:to>
      <xdr:col>12</xdr:col>
      <xdr:colOff>7620</xdr:colOff>
      <xdr:row>59</xdr:row>
      <xdr:rowOff>9525</xdr:rowOff>
    </xdr:to>
    <xdr:cxnSp macro="">
      <xdr:nvCxnSpPr>
        <xdr:cNvPr id="304" name="Straight Arrow Connector 303">
          <a:extLst>
            <a:ext uri="{FF2B5EF4-FFF2-40B4-BE49-F238E27FC236}">
              <a16:creationId xmlns:a16="http://schemas.microsoft.com/office/drawing/2014/main" id="{00000000-0008-0000-1200-000030010000}"/>
            </a:ext>
          </a:extLst>
        </xdr:cNvPr>
        <xdr:cNvCxnSpPr/>
      </xdr:nvCxnSpPr>
      <xdr:spPr>
        <a:xfrm>
          <a:off x="1988820" y="11437620"/>
          <a:ext cx="0" cy="3829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220980</xdr:colOff>
      <xdr:row>56</xdr:row>
      <xdr:rowOff>30480</xdr:rowOff>
    </xdr:from>
    <xdr:to>
      <xdr:col>41</xdr:col>
      <xdr:colOff>220980</xdr:colOff>
      <xdr:row>59</xdr:row>
      <xdr:rowOff>9525</xdr:rowOff>
    </xdr:to>
    <xdr:cxnSp macro="">
      <xdr:nvCxnSpPr>
        <xdr:cNvPr id="307" name="Straight Arrow Connector 306">
          <a:extLst>
            <a:ext uri="{FF2B5EF4-FFF2-40B4-BE49-F238E27FC236}">
              <a16:creationId xmlns:a16="http://schemas.microsoft.com/office/drawing/2014/main" id="{00000000-0008-0000-1200-000033010000}"/>
            </a:ext>
          </a:extLst>
        </xdr:cNvPr>
        <xdr:cNvCxnSpPr/>
      </xdr:nvCxnSpPr>
      <xdr:spPr>
        <a:xfrm>
          <a:off x="6819900" y="11475720"/>
          <a:ext cx="0" cy="3448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53340</xdr:colOff>
      <xdr:row>56</xdr:row>
      <xdr:rowOff>22860</xdr:rowOff>
    </xdr:from>
    <xdr:to>
      <xdr:col>42</xdr:col>
      <xdr:colOff>7620</xdr:colOff>
      <xdr:row>56</xdr:row>
      <xdr:rowOff>22860</xdr:rowOff>
    </xdr:to>
    <xdr:cxnSp macro="">
      <xdr:nvCxnSpPr>
        <xdr:cNvPr id="309" name="Straight Connector 308">
          <a:extLst>
            <a:ext uri="{FF2B5EF4-FFF2-40B4-BE49-F238E27FC236}">
              <a16:creationId xmlns:a16="http://schemas.microsoft.com/office/drawing/2014/main" id="{00000000-0008-0000-1200-000035010000}"/>
            </a:ext>
          </a:extLst>
        </xdr:cNvPr>
        <xdr:cNvCxnSpPr/>
      </xdr:nvCxnSpPr>
      <xdr:spPr>
        <a:xfrm>
          <a:off x="4457700" y="11468100"/>
          <a:ext cx="23774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45720</xdr:colOff>
      <xdr:row>46</xdr:row>
      <xdr:rowOff>22860</xdr:rowOff>
    </xdr:from>
    <xdr:to>
      <xdr:col>28</xdr:col>
      <xdr:colOff>0</xdr:colOff>
      <xdr:row>56</xdr:row>
      <xdr:rowOff>22860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00000000-0008-0000-1200-000037010000}"/>
            </a:ext>
          </a:extLst>
        </xdr:cNvPr>
        <xdr:cNvCxnSpPr/>
      </xdr:nvCxnSpPr>
      <xdr:spPr>
        <a:xfrm>
          <a:off x="4450080" y="9563100"/>
          <a:ext cx="15240" cy="19050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220980</xdr:colOff>
      <xdr:row>46</xdr:row>
      <xdr:rowOff>22860</xdr:rowOff>
    </xdr:from>
    <xdr:to>
      <xdr:col>27</xdr:col>
      <xdr:colOff>45720</xdr:colOff>
      <xdr:row>46</xdr:row>
      <xdr:rowOff>22860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00000000-0008-0000-1200-00003A010000}"/>
            </a:ext>
          </a:extLst>
        </xdr:cNvPr>
        <xdr:cNvCxnSpPr/>
      </xdr:nvCxnSpPr>
      <xdr:spPr>
        <a:xfrm>
          <a:off x="3589020" y="9563100"/>
          <a:ext cx="86106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220980</xdr:colOff>
      <xdr:row>45</xdr:row>
      <xdr:rowOff>0</xdr:rowOff>
    </xdr:from>
    <xdr:to>
      <xdr:col>22</xdr:col>
      <xdr:colOff>0</xdr:colOff>
      <xdr:row>46</xdr:row>
      <xdr:rowOff>30480</xdr:rowOff>
    </xdr:to>
    <xdr:cxnSp macro="">
      <xdr:nvCxnSpPr>
        <xdr:cNvPr id="316" name="Straight Connector 315">
          <a:extLst>
            <a:ext uri="{FF2B5EF4-FFF2-40B4-BE49-F238E27FC236}">
              <a16:creationId xmlns:a16="http://schemas.microsoft.com/office/drawing/2014/main" id="{00000000-0008-0000-1200-00003C010000}"/>
            </a:ext>
          </a:extLst>
        </xdr:cNvPr>
        <xdr:cNvCxnSpPr/>
      </xdr:nvCxnSpPr>
      <xdr:spPr>
        <a:xfrm>
          <a:off x="3589020" y="9418320"/>
          <a:ext cx="7620" cy="1524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144780</xdr:colOff>
      <xdr:row>52</xdr:row>
      <xdr:rowOff>175260</xdr:rowOff>
    </xdr:from>
    <xdr:to>
      <xdr:col>42</xdr:col>
      <xdr:colOff>144780</xdr:colOff>
      <xdr:row>54</xdr:row>
      <xdr:rowOff>114300</xdr:rowOff>
    </xdr:to>
    <xdr:cxnSp macro="">
      <xdr:nvCxnSpPr>
        <xdr:cNvPr id="319" name="Straight Connector 318">
          <a:extLst>
            <a:ext uri="{FF2B5EF4-FFF2-40B4-BE49-F238E27FC236}">
              <a16:creationId xmlns:a16="http://schemas.microsoft.com/office/drawing/2014/main" id="{00000000-0008-0000-1200-00003F010000}"/>
            </a:ext>
          </a:extLst>
        </xdr:cNvPr>
        <xdr:cNvCxnSpPr/>
      </xdr:nvCxnSpPr>
      <xdr:spPr>
        <a:xfrm flipV="1">
          <a:off x="6972300" y="11064240"/>
          <a:ext cx="0" cy="2514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53340</xdr:colOff>
      <xdr:row>54</xdr:row>
      <xdr:rowOff>114300</xdr:rowOff>
    </xdr:from>
    <xdr:to>
      <xdr:col>42</xdr:col>
      <xdr:colOff>152400</xdr:colOff>
      <xdr:row>55</xdr:row>
      <xdr:rowOff>0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00000000-0008-0000-1200-000040010000}"/>
            </a:ext>
          </a:extLst>
        </xdr:cNvPr>
        <xdr:cNvCxnSpPr/>
      </xdr:nvCxnSpPr>
      <xdr:spPr>
        <a:xfrm flipV="1">
          <a:off x="6012180" y="11315700"/>
          <a:ext cx="96774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7620</xdr:colOff>
      <xdr:row>54</xdr:row>
      <xdr:rowOff>114300</xdr:rowOff>
    </xdr:from>
    <xdr:to>
      <xdr:col>37</xdr:col>
      <xdr:colOff>22860</xdr:colOff>
      <xdr:row>65</xdr:row>
      <xdr:rowOff>15240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00000000-0008-0000-1200-000043010000}"/>
            </a:ext>
          </a:extLst>
        </xdr:cNvPr>
        <xdr:cNvCxnSpPr/>
      </xdr:nvCxnSpPr>
      <xdr:spPr>
        <a:xfrm flipH="1" flipV="1">
          <a:off x="6027420" y="11315700"/>
          <a:ext cx="15240" cy="19278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36195</xdr:colOff>
      <xdr:row>65</xdr:row>
      <xdr:rowOff>9525</xdr:rowOff>
    </xdr:from>
    <xdr:to>
      <xdr:col>37</xdr:col>
      <xdr:colOff>5715</xdr:colOff>
      <xdr:row>65</xdr:row>
      <xdr:rowOff>9525</xdr:rowOff>
    </xdr:to>
    <xdr:cxnSp macro="">
      <xdr:nvCxnSpPr>
        <xdr:cNvPr id="326" name="Straight Connector 325">
          <a:extLst>
            <a:ext uri="{FF2B5EF4-FFF2-40B4-BE49-F238E27FC236}">
              <a16:creationId xmlns:a16="http://schemas.microsoft.com/office/drawing/2014/main" id="{00000000-0008-0000-1200-000046010000}"/>
            </a:ext>
          </a:extLst>
        </xdr:cNvPr>
        <xdr:cNvCxnSpPr/>
      </xdr:nvCxnSpPr>
      <xdr:spPr>
        <a:xfrm flipH="1">
          <a:off x="5236845" y="13287375"/>
          <a:ext cx="7696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</xdr:colOff>
      <xdr:row>65</xdr:row>
      <xdr:rowOff>15240</xdr:rowOff>
    </xdr:from>
    <xdr:to>
      <xdr:col>32</xdr:col>
      <xdr:colOff>38100</xdr:colOff>
      <xdr:row>67</xdr:row>
      <xdr:rowOff>1905</xdr:rowOff>
    </xdr:to>
    <xdr:cxnSp macro="">
      <xdr:nvCxnSpPr>
        <xdr:cNvPr id="329" name="Straight Arrow Connector 328">
          <a:extLst>
            <a:ext uri="{FF2B5EF4-FFF2-40B4-BE49-F238E27FC236}">
              <a16:creationId xmlns:a16="http://schemas.microsoft.com/office/drawing/2014/main" id="{00000000-0008-0000-1200-000049010000}"/>
            </a:ext>
          </a:extLst>
        </xdr:cNvPr>
        <xdr:cNvCxnSpPr/>
      </xdr:nvCxnSpPr>
      <xdr:spPr>
        <a:xfrm>
          <a:off x="5250180" y="13243560"/>
          <a:ext cx="0" cy="2305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53340</xdr:colOff>
      <xdr:row>44</xdr:row>
      <xdr:rowOff>175260</xdr:rowOff>
    </xdr:from>
    <xdr:to>
      <xdr:col>31</xdr:col>
      <xdr:colOff>60960</xdr:colOff>
      <xdr:row>45</xdr:row>
      <xdr:rowOff>76200</xdr:rowOff>
    </xdr:to>
    <xdr:cxnSp macro="">
      <xdr:nvCxnSpPr>
        <xdr:cNvPr id="331" name="Straight Connector 330">
          <a:extLst>
            <a:ext uri="{FF2B5EF4-FFF2-40B4-BE49-F238E27FC236}">
              <a16:creationId xmlns:a16="http://schemas.microsoft.com/office/drawing/2014/main" id="{00000000-0008-0000-1200-00004B010000}"/>
            </a:ext>
          </a:extLst>
        </xdr:cNvPr>
        <xdr:cNvCxnSpPr/>
      </xdr:nvCxnSpPr>
      <xdr:spPr>
        <a:xfrm>
          <a:off x="5036820" y="9403080"/>
          <a:ext cx="7620" cy="914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15240</xdr:colOff>
      <xdr:row>45</xdr:row>
      <xdr:rowOff>60960</xdr:rowOff>
    </xdr:from>
    <xdr:to>
      <xdr:col>31</xdr:col>
      <xdr:colOff>68580</xdr:colOff>
      <xdr:row>45</xdr:row>
      <xdr:rowOff>60960</xdr:rowOff>
    </xdr:to>
    <xdr:cxnSp macro="">
      <xdr:nvCxnSpPr>
        <xdr:cNvPr id="334" name="Straight Connector 333">
          <a:extLst>
            <a:ext uri="{FF2B5EF4-FFF2-40B4-BE49-F238E27FC236}">
              <a16:creationId xmlns:a16="http://schemas.microsoft.com/office/drawing/2014/main" id="{00000000-0008-0000-1200-00004E010000}"/>
            </a:ext>
          </a:extLst>
        </xdr:cNvPr>
        <xdr:cNvCxnSpPr/>
      </xdr:nvCxnSpPr>
      <xdr:spPr>
        <a:xfrm>
          <a:off x="4358640" y="9479280"/>
          <a:ext cx="6934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7620</xdr:colOff>
      <xdr:row>45</xdr:row>
      <xdr:rowOff>60960</xdr:rowOff>
    </xdr:from>
    <xdr:to>
      <xdr:col>26</xdr:col>
      <xdr:colOff>38100</xdr:colOff>
      <xdr:row>65</xdr:row>
      <xdr:rowOff>0</xdr:rowOff>
    </xdr:to>
    <xdr:cxnSp macro="">
      <xdr:nvCxnSpPr>
        <xdr:cNvPr id="343" name="Straight Connector 342">
          <a:extLst>
            <a:ext uri="{FF2B5EF4-FFF2-40B4-BE49-F238E27FC236}">
              <a16:creationId xmlns:a16="http://schemas.microsoft.com/office/drawing/2014/main" id="{00000000-0008-0000-1200-000057010000}"/>
            </a:ext>
          </a:extLst>
        </xdr:cNvPr>
        <xdr:cNvCxnSpPr/>
      </xdr:nvCxnSpPr>
      <xdr:spPr>
        <a:xfrm flipH="1" flipV="1">
          <a:off x="4351020" y="9479280"/>
          <a:ext cx="30480" cy="37490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</xdr:colOff>
      <xdr:row>64</xdr:row>
      <xdr:rowOff>106680</xdr:rowOff>
    </xdr:from>
    <xdr:to>
      <xdr:col>26</xdr:col>
      <xdr:colOff>45720</xdr:colOff>
      <xdr:row>64</xdr:row>
      <xdr:rowOff>114300</xdr:rowOff>
    </xdr:to>
    <xdr:cxnSp macro="">
      <xdr:nvCxnSpPr>
        <xdr:cNvPr id="352" name="Straight Connector 351">
          <a:extLst>
            <a:ext uri="{FF2B5EF4-FFF2-40B4-BE49-F238E27FC236}">
              <a16:creationId xmlns:a16="http://schemas.microsoft.com/office/drawing/2014/main" id="{00000000-0008-0000-1200-000060010000}"/>
            </a:ext>
          </a:extLst>
        </xdr:cNvPr>
        <xdr:cNvCxnSpPr/>
      </xdr:nvCxnSpPr>
      <xdr:spPr>
        <a:xfrm flipH="1">
          <a:off x="2004060" y="13213080"/>
          <a:ext cx="238506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</xdr:colOff>
      <xdr:row>65</xdr:row>
      <xdr:rowOff>7620</xdr:rowOff>
    </xdr:from>
    <xdr:to>
      <xdr:col>12</xdr:col>
      <xdr:colOff>22860</xdr:colOff>
      <xdr:row>66</xdr:row>
      <xdr:rowOff>116205</xdr:rowOff>
    </xdr:to>
    <xdr:cxnSp macro="">
      <xdr:nvCxnSpPr>
        <xdr:cNvPr id="354" name="Straight Arrow Connector 353">
          <a:extLst>
            <a:ext uri="{FF2B5EF4-FFF2-40B4-BE49-F238E27FC236}">
              <a16:creationId xmlns:a16="http://schemas.microsoft.com/office/drawing/2014/main" id="{00000000-0008-0000-1200-000062010000}"/>
            </a:ext>
          </a:extLst>
        </xdr:cNvPr>
        <xdr:cNvCxnSpPr/>
      </xdr:nvCxnSpPr>
      <xdr:spPr>
        <a:xfrm>
          <a:off x="2004060" y="13235940"/>
          <a:ext cx="0" cy="2305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76200</xdr:colOff>
      <xdr:row>65</xdr:row>
      <xdr:rowOff>91440</xdr:rowOff>
    </xdr:from>
    <xdr:to>
      <xdr:col>22</xdr:col>
      <xdr:colOff>76200</xdr:colOff>
      <xdr:row>67</xdr:row>
      <xdr:rowOff>9525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1200-000046000000}"/>
            </a:ext>
          </a:extLst>
        </xdr:cNvPr>
        <xdr:cNvCxnSpPr/>
      </xdr:nvCxnSpPr>
      <xdr:spPr>
        <a:xfrm>
          <a:off x="3672840" y="13319760"/>
          <a:ext cx="0" cy="1619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68580</xdr:colOff>
      <xdr:row>65</xdr:row>
      <xdr:rowOff>91440</xdr:rowOff>
    </xdr:from>
    <xdr:to>
      <xdr:col>31</xdr:col>
      <xdr:colOff>15240</xdr:colOff>
      <xdr:row>65</xdr:row>
      <xdr:rowOff>91440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1200-000048000000}"/>
            </a:ext>
          </a:extLst>
        </xdr:cNvPr>
        <xdr:cNvCxnSpPr/>
      </xdr:nvCxnSpPr>
      <xdr:spPr>
        <a:xfrm flipH="1">
          <a:off x="3665220" y="13319760"/>
          <a:ext cx="13335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62</xdr:row>
      <xdr:rowOff>175260</xdr:rowOff>
    </xdr:from>
    <xdr:to>
      <xdr:col>31</xdr:col>
      <xdr:colOff>0</xdr:colOff>
      <xdr:row>65</xdr:row>
      <xdr:rowOff>99060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1200-00004A000000}"/>
            </a:ext>
          </a:extLst>
        </xdr:cNvPr>
        <xdr:cNvCxnSpPr/>
      </xdr:nvCxnSpPr>
      <xdr:spPr>
        <a:xfrm flipV="1">
          <a:off x="4983480" y="12969240"/>
          <a:ext cx="0" cy="3581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220980</xdr:colOff>
      <xdr:row>27</xdr:row>
      <xdr:rowOff>0</xdr:rowOff>
    </xdr:from>
    <xdr:to>
      <xdr:col>11</xdr:col>
      <xdr:colOff>220980</xdr:colOff>
      <xdr:row>29</xdr:row>
      <xdr:rowOff>15240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1200-00004D000000}"/>
            </a:ext>
          </a:extLst>
        </xdr:cNvPr>
        <xdr:cNvCxnSpPr/>
      </xdr:nvCxnSpPr>
      <xdr:spPr>
        <a:xfrm>
          <a:off x="1973580" y="5852160"/>
          <a:ext cx="0" cy="25908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91440</xdr:colOff>
      <xdr:row>26</xdr:row>
      <xdr:rowOff>182880</xdr:rowOff>
    </xdr:from>
    <xdr:to>
      <xdr:col>21</xdr:col>
      <xdr:colOff>91440</xdr:colOff>
      <xdr:row>28</xdr:row>
      <xdr:rowOff>22860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1200-000050000000}"/>
            </a:ext>
          </a:extLst>
        </xdr:cNvPr>
        <xdr:cNvCxnSpPr/>
      </xdr:nvCxnSpPr>
      <xdr:spPr>
        <a:xfrm>
          <a:off x="3459480" y="5844540"/>
          <a:ext cx="0" cy="1524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28</xdr:row>
      <xdr:rowOff>22860</xdr:rowOff>
    </xdr:from>
    <xdr:to>
      <xdr:col>21</xdr:col>
      <xdr:colOff>99060</xdr:colOff>
      <xdr:row>28</xdr:row>
      <xdr:rowOff>22860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1200-000052000000}"/>
            </a:ext>
          </a:extLst>
        </xdr:cNvPr>
        <xdr:cNvCxnSpPr/>
      </xdr:nvCxnSpPr>
      <xdr:spPr>
        <a:xfrm flipH="1">
          <a:off x="2247900" y="5996940"/>
          <a:ext cx="12192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53340</xdr:colOff>
      <xdr:row>28</xdr:row>
      <xdr:rowOff>22860</xdr:rowOff>
    </xdr:from>
    <xdr:to>
      <xdr:col>13</xdr:col>
      <xdr:colOff>53340</xdr:colOff>
      <xdr:row>31</xdr:row>
      <xdr:rowOff>9525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00000000-0008-0000-1200-000055000000}"/>
            </a:ext>
          </a:extLst>
        </xdr:cNvPr>
        <xdr:cNvCxnSpPr/>
      </xdr:nvCxnSpPr>
      <xdr:spPr>
        <a:xfrm>
          <a:off x="2263140" y="5996940"/>
          <a:ext cx="0" cy="3524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</xdr:colOff>
      <xdr:row>19</xdr:row>
      <xdr:rowOff>15240</xdr:rowOff>
    </xdr:from>
    <xdr:to>
      <xdr:col>17</xdr:col>
      <xdr:colOff>38100</xdr:colOff>
      <xdr:row>36</xdr:row>
      <xdr:rowOff>114300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1200-000056000000}"/>
            </a:ext>
          </a:extLst>
        </xdr:cNvPr>
        <xdr:cNvCxnSpPr/>
      </xdr:nvCxnSpPr>
      <xdr:spPr>
        <a:xfrm>
          <a:off x="2819400" y="4206240"/>
          <a:ext cx="7620" cy="35433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36</xdr:row>
      <xdr:rowOff>99060</xdr:rowOff>
    </xdr:from>
    <xdr:to>
      <xdr:col>17</xdr:col>
      <xdr:colOff>53340</xdr:colOff>
      <xdr:row>36</xdr:row>
      <xdr:rowOff>99060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0000000-0008-0000-1200-000057000000}"/>
            </a:ext>
          </a:extLst>
        </xdr:cNvPr>
        <xdr:cNvCxnSpPr/>
      </xdr:nvCxnSpPr>
      <xdr:spPr>
        <a:xfrm>
          <a:off x="1988820" y="7734300"/>
          <a:ext cx="85344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36</xdr:row>
      <xdr:rowOff>106680</xdr:rowOff>
    </xdr:from>
    <xdr:to>
      <xdr:col>12</xdr:col>
      <xdr:colOff>7620</xdr:colOff>
      <xdr:row>40</xdr:row>
      <xdr:rowOff>116205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00000000-0008-0000-1200-000059000000}"/>
            </a:ext>
          </a:extLst>
        </xdr:cNvPr>
        <xdr:cNvCxnSpPr/>
      </xdr:nvCxnSpPr>
      <xdr:spPr>
        <a:xfrm>
          <a:off x="1988820" y="7741920"/>
          <a:ext cx="0" cy="4972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99060</xdr:colOff>
      <xdr:row>35</xdr:row>
      <xdr:rowOff>0</xdr:rowOff>
    </xdr:from>
    <xdr:to>
      <xdr:col>13</xdr:col>
      <xdr:colOff>99060</xdr:colOff>
      <xdr:row>39</xdr:row>
      <xdr:rowOff>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1200-00005E000000}"/>
            </a:ext>
          </a:extLst>
        </xdr:cNvPr>
        <xdr:cNvCxnSpPr/>
      </xdr:nvCxnSpPr>
      <xdr:spPr>
        <a:xfrm flipV="1">
          <a:off x="2308860" y="7513320"/>
          <a:ext cx="0" cy="48768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83820</xdr:colOff>
      <xdr:row>39</xdr:row>
      <xdr:rowOff>7620</xdr:rowOff>
    </xdr:from>
    <xdr:to>
      <xdr:col>42</xdr:col>
      <xdr:colOff>0</xdr:colOff>
      <xdr:row>39</xdr:row>
      <xdr:rowOff>7620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1200-000060000000}"/>
            </a:ext>
          </a:extLst>
        </xdr:cNvPr>
        <xdr:cNvCxnSpPr/>
      </xdr:nvCxnSpPr>
      <xdr:spPr>
        <a:xfrm>
          <a:off x="2293620" y="8008620"/>
          <a:ext cx="45339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220980</xdr:colOff>
      <xdr:row>39</xdr:row>
      <xdr:rowOff>7620</xdr:rowOff>
    </xdr:from>
    <xdr:to>
      <xdr:col>42</xdr:col>
      <xdr:colOff>0</xdr:colOff>
      <xdr:row>40</xdr:row>
      <xdr:rowOff>116205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00000000-0008-0000-1200-000062000000}"/>
            </a:ext>
          </a:extLst>
        </xdr:cNvPr>
        <xdr:cNvCxnSpPr/>
      </xdr:nvCxnSpPr>
      <xdr:spPr>
        <a:xfrm flipH="1">
          <a:off x="6819900" y="8008620"/>
          <a:ext cx="7620" cy="2305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45720</xdr:colOff>
      <xdr:row>29</xdr:row>
      <xdr:rowOff>15240</xdr:rowOff>
    </xdr:from>
    <xdr:to>
      <xdr:col>15</xdr:col>
      <xdr:colOff>53340</xdr:colOff>
      <xdr:row>47</xdr:row>
      <xdr:rowOff>7620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1200-000065000000}"/>
            </a:ext>
          </a:extLst>
        </xdr:cNvPr>
        <xdr:cNvCxnSpPr/>
      </xdr:nvCxnSpPr>
      <xdr:spPr>
        <a:xfrm flipV="1">
          <a:off x="2712720" y="6111240"/>
          <a:ext cx="7620" cy="355854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47</xdr:row>
      <xdr:rowOff>7620</xdr:rowOff>
    </xdr:from>
    <xdr:to>
      <xdr:col>15</xdr:col>
      <xdr:colOff>38100</xdr:colOff>
      <xdr:row>47</xdr:row>
      <xdr:rowOff>7620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1200-000067000000}"/>
            </a:ext>
          </a:extLst>
        </xdr:cNvPr>
        <xdr:cNvCxnSpPr/>
      </xdr:nvCxnSpPr>
      <xdr:spPr>
        <a:xfrm>
          <a:off x="1981200" y="9669780"/>
          <a:ext cx="7239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213360</xdr:colOff>
      <xdr:row>47</xdr:row>
      <xdr:rowOff>7620</xdr:rowOff>
    </xdr:from>
    <xdr:to>
      <xdr:col>11</xdr:col>
      <xdr:colOff>213360</xdr:colOff>
      <xdr:row>49</xdr:row>
      <xdr:rowOff>9525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00000000-0008-0000-1200-000069000000}"/>
            </a:ext>
          </a:extLst>
        </xdr:cNvPr>
        <xdr:cNvCxnSpPr/>
      </xdr:nvCxnSpPr>
      <xdr:spPr>
        <a:xfrm>
          <a:off x="1965960" y="9669780"/>
          <a:ext cx="0" cy="24574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38100</xdr:colOff>
      <xdr:row>46</xdr:row>
      <xdr:rowOff>95250</xdr:rowOff>
    </xdr:from>
    <xdr:to>
      <xdr:col>22</xdr:col>
      <xdr:colOff>45720</xdr:colOff>
      <xdr:row>49</xdr:row>
      <xdr:rowOff>19050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47367F8-C3DC-4FB6-B3C7-75AC16FB5325}"/>
            </a:ext>
          </a:extLst>
        </xdr:cNvPr>
        <xdr:cNvCxnSpPr/>
      </xdr:nvCxnSpPr>
      <xdr:spPr>
        <a:xfrm flipH="1">
          <a:off x="3638550" y="9667875"/>
          <a:ext cx="7620" cy="2952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57150</xdr:colOff>
      <xdr:row>46</xdr:row>
      <xdr:rowOff>104775</xdr:rowOff>
    </xdr:from>
    <xdr:to>
      <xdr:col>47</xdr:col>
      <xdr:colOff>28575</xdr:colOff>
      <xdr:row>46</xdr:row>
      <xdr:rowOff>104775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82B4455-D878-4D6F-BE12-B3F03C44E923}"/>
            </a:ext>
          </a:extLst>
        </xdr:cNvPr>
        <xdr:cNvCxnSpPr/>
      </xdr:nvCxnSpPr>
      <xdr:spPr>
        <a:xfrm>
          <a:off x="3657600" y="9677400"/>
          <a:ext cx="397192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19050</xdr:colOff>
      <xdr:row>36</xdr:row>
      <xdr:rowOff>66675</xdr:rowOff>
    </xdr:from>
    <xdr:to>
      <xdr:col>47</xdr:col>
      <xdr:colOff>19050</xdr:colOff>
      <xdr:row>46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2185150F-ECCD-4216-B719-C9CAA5D7A6BB}"/>
            </a:ext>
          </a:extLst>
        </xdr:cNvPr>
        <xdr:cNvCxnSpPr/>
      </xdr:nvCxnSpPr>
      <xdr:spPr>
        <a:xfrm>
          <a:off x="7620000" y="7724775"/>
          <a:ext cx="0" cy="195453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19050</xdr:colOff>
      <xdr:row>36</xdr:row>
      <xdr:rowOff>57150</xdr:rowOff>
    </xdr:from>
    <xdr:to>
      <xdr:col>52</xdr:col>
      <xdr:colOff>87630</xdr:colOff>
      <xdr:row>36</xdr:row>
      <xdr:rowOff>64770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A7062DF-3474-4BD6-885A-DA272ADBF438}"/>
            </a:ext>
          </a:extLst>
        </xdr:cNvPr>
        <xdr:cNvCxnSpPr/>
      </xdr:nvCxnSpPr>
      <xdr:spPr>
        <a:xfrm>
          <a:off x="7620000" y="7715250"/>
          <a:ext cx="868680" cy="762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76200</xdr:colOff>
      <xdr:row>35</xdr:row>
      <xdr:rowOff>19050</xdr:rowOff>
    </xdr:from>
    <xdr:to>
      <xdr:col>52</xdr:col>
      <xdr:colOff>76200</xdr:colOff>
      <xdr:row>36</xdr:row>
      <xdr:rowOff>57150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C73D6C7-A47F-4B69-B6B7-8580684C11A1}"/>
            </a:ext>
          </a:extLst>
        </xdr:cNvPr>
        <xdr:cNvCxnSpPr/>
      </xdr:nvCxnSpPr>
      <xdr:spPr>
        <a:xfrm flipV="1">
          <a:off x="8477250" y="7553325"/>
          <a:ext cx="0" cy="1619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219075</xdr:colOff>
      <xdr:row>28</xdr:row>
      <xdr:rowOff>9525</xdr:rowOff>
    </xdr:from>
    <xdr:to>
      <xdr:col>31</xdr:col>
      <xdr:colOff>219075</xdr:colOff>
      <xdr:row>30</xdr:row>
      <xdr:rowOff>108585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AA871A7-C93E-44B1-8613-3EA06E134DFE}"/>
            </a:ext>
          </a:extLst>
        </xdr:cNvPr>
        <xdr:cNvCxnSpPr/>
      </xdr:nvCxnSpPr>
      <xdr:spPr>
        <a:xfrm>
          <a:off x="5191125" y="6000750"/>
          <a:ext cx="0" cy="3467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27</xdr:row>
      <xdr:rowOff>104775</xdr:rowOff>
    </xdr:from>
    <xdr:to>
      <xdr:col>52</xdr:col>
      <xdr:colOff>85725</xdr:colOff>
      <xdr:row>27</xdr:row>
      <xdr:rowOff>114300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F750697-C5BD-477F-A794-13613378F6A3}"/>
            </a:ext>
          </a:extLst>
        </xdr:cNvPr>
        <xdr:cNvCxnSpPr/>
      </xdr:nvCxnSpPr>
      <xdr:spPr>
        <a:xfrm flipH="1">
          <a:off x="4381500" y="5972175"/>
          <a:ext cx="4105275" cy="95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</xdr:colOff>
      <xdr:row>19</xdr:row>
      <xdr:rowOff>9525</xdr:rowOff>
    </xdr:from>
    <xdr:to>
      <xdr:col>26</xdr:col>
      <xdr:colOff>28575</xdr:colOff>
      <xdr:row>27</xdr:row>
      <xdr:rowOff>114300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6EB2C5F-F080-46D8-AE66-B441C6D2661E}"/>
            </a:ext>
          </a:extLst>
        </xdr:cNvPr>
        <xdr:cNvCxnSpPr/>
      </xdr:nvCxnSpPr>
      <xdr:spPr>
        <a:xfrm>
          <a:off x="4371975" y="4210050"/>
          <a:ext cx="0" cy="17716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76200</xdr:colOff>
      <xdr:row>26</xdr:row>
      <xdr:rowOff>171450</xdr:rowOff>
    </xdr:from>
    <xdr:to>
      <xdr:col>52</xdr:col>
      <xdr:colOff>76200</xdr:colOff>
      <xdr:row>27</xdr:row>
      <xdr:rowOff>104775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10763C86-C06F-4957-8DE7-B7E27E50AE1E}"/>
            </a:ext>
          </a:extLst>
        </xdr:cNvPr>
        <xdr:cNvCxnSpPr/>
      </xdr:nvCxnSpPr>
      <xdr:spPr>
        <a:xfrm>
          <a:off x="8477250" y="5848350"/>
          <a:ext cx="0" cy="1238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12832080" y="4861560"/>
          <a:ext cx="0" cy="344290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CxnSpPr/>
      </xdr:nvCxnSpPr>
      <xdr:spPr>
        <a:xfrm>
          <a:off x="12832080" y="4861560"/>
          <a:ext cx="0" cy="344290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78828</xdr:colOff>
      <xdr:row>9</xdr:row>
      <xdr:rowOff>6569</xdr:rowOff>
    </xdr:from>
    <xdr:to>
      <xdr:col>31</xdr:col>
      <xdr:colOff>80031</xdr:colOff>
      <xdr:row>10</xdr:row>
      <xdr:rowOff>15765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CxnSpPr/>
      </xdr:nvCxnSpPr>
      <xdr:spPr>
        <a:xfrm>
          <a:off x="5062308" y="2292569"/>
          <a:ext cx="1203" cy="13111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25619</xdr:colOff>
      <xdr:row>10</xdr:row>
      <xdr:rowOff>13138</xdr:rowOff>
    </xdr:from>
    <xdr:to>
      <xdr:col>31</xdr:col>
      <xdr:colOff>85944</xdr:colOff>
      <xdr:row>10</xdr:row>
      <xdr:rowOff>13138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CxnSpPr/>
      </xdr:nvCxnSpPr>
      <xdr:spPr>
        <a:xfrm flipH="1">
          <a:off x="3622259" y="2421058"/>
          <a:ext cx="144716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28575</xdr:colOff>
      <xdr:row>10</xdr:row>
      <xdr:rowOff>6350</xdr:rowOff>
    </xdr:from>
    <xdr:to>
      <xdr:col>22</xdr:col>
      <xdr:colOff>28576</xdr:colOff>
      <xdr:row>13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CxnSpPr/>
      </xdr:nvCxnSpPr>
      <xdr:spPr>
        <a:xfrm flipH="1">
          <a:off x="3625215" y="2414270"/>
          <a:ext cx="1" cy="3594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9525</xdr:colOff>
      <xdr:row>9</xdr:row>
      <xdr:rowOff>0</xdr:rowOff>
    </xdr:from>
    <xdr:to>
      <xdr:col>52</xdr:col>
      <xdr:colOff>9525</xdr:colOff>
      <xdr:row>12</xdr:row>
      <xdr:rowOff>114300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CxnSpPr/>
      </xdr:nvCxnSpPr>
      <xdr:spPr>
        <a:xfrm>
          <a:off x="8452485" y="2286000"/>
          <a:ext cx="0" cy="4800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190500</xdr:colOff>
      <xdr:row>16</xdr:row>
      <xdr:rowOff>180975</xdr:rowOff>
    </xdr:from>
    <xdr:to>
      <xdr:col>51</xdr:col>
      <xdr:colOff>190500</xdr:colOff>
      <xdr:row>23</xdr:row>
      <xdr:rowOff>9525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CxnSpPr/>
      </xdr:nvCxnSpPr>
      <xdr:spPr>
        <a:xfrm>
          <a:off x="8404860" y="3937635"/>
          <a:ext cx="0" cy="7505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209550</xdr:colOff>
      <xdr:row>63</xdr:row>
      <xdr:rowOff>0</xdr:rowOff>
    </xdr:from>
    <xdr:to>
      <xdr:col>51</xdr:col>
      <xdr:colOff>209550</xdr:colOff>
      <xdr:row>66</xdr:row>
      <xdr:rowOff>121583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CxnSpPr/>
      </xdr:nvCxnSpPr>
      <xdr:spPr>
        <a:xfrm>
          <a:off x="8423910" y="12984480"/>
          <a:ext cx="0" cy="48734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9525</xdr:colOff>
      <xdr:row>24</xdr:row>
      <xdr:rowOff>295275</xdr:rowOff>
    </xdr:from>
    <xdr:to>
      <xdr:col>56</xdr:col>
      <xdr:colOff>38100</xdr:colOff>
      <xdr:row>24</xdr:row>
      <xdr:rowOff>295275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CxnSpPr/>
      </xdr:nvCxnSpPr>
      <xdr:spPr>
        <a:xfrm>
          <a:off x="9138285" y="5156835"/>
          <a:ext cx="8953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38100</xdr:colOff>
      <xdr:row>24</xdr:row>
      <xdr:rowOff>285750</xdr:rowOff>
    </xdr:from>
    <xdr:to>
      <xdr:col>57</xdr:col>
      <xdr:colOff>0</xdr:colOff>
      <xdr:row>36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CxnSpPr/>
      </xdr:nvCxnSpPr>
      <xdr:spPr>
        <a:xfrm>
          <a:off x="9227820" y="5147310"/>
          <a:ext cx="22860" cy="248793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8964</xdr:colOff>
      <xdr:row>36</xdr:row>
      <xdr:rowOff>9525</xdr:rowOff>
    </xdr:from>
    <xdr:to>
      <xdr:col>57</xdr:col>
      <xdr:colOff>5912</xdr:colOff>
      <xdr:row>36</xdr:row>
      <xdr:rowOff>17929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CxnSpPr/>
      </xdr:nvCxnSpPr>
      <xdr:spPr>
        <a:xfrm flipH="1">
          <a:off x="7790329" y="7665384"/>
          <a:ext cx="1646454" cy="840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224117</xdr:colOff>
      <xdr:row>16</xdr:row>
      <xdr:rowOff>188255</xdr:rowOff>
    </xdr:from>
    <xdr:to>
      <xdr:col>21</xdr:col>
      <xdr:colOff>224118</xdr:colOff>
      <xdr:row>19</xdr:row>
      <xdr:rowOff>116542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1300-000029000000}"/>
            </a:ext>
          </a:extLst>
        </xdr:cNvPr>
        <xdr:cNvCxnSpPr/>
      </xdr:nvCxnSpPr>
      <xdr:spPr>
        <a:xfrm flipH="1">
          <a:off x="3648635" y="3944467"/>
          <a:ext cx="1" cy="36755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8965</xdr:colOff>
      <xdr:row>20</xdr:row>
      <xdr:rowOff>0</xdr:rowOff>
    </xdr:from>
    <xdr:to>
      <xdr:col>22</xdr:col>
      <xdr:colOff>6538</xdr:colOff>
      <xdr:row>20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1300-00002C000000}"/>
            </a:ext>
          </a:extLst>
        </xdr:cNvPr>
        <xdr:cNvCxnSpPr/>
      </xdr:nvCxnSpPr>
      <xdr:spPr>
        <a:xfrm flipH="1">
          <a:off x="2868706" y="4320988"/>
          <a:ext cx="82232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53788</xdr:colOff>
      <xdr:row>29</xdr:row>
      <xdr:rowOff>80683</xdr:rowOff>
    </xdr:from>
    <xdr:to>
      <xdr:col>37</xdr:col>
      <xdr:colOff>53788</xdr:colOff>
      <xdr:row>29</xdr:row>
      <xdr:rowOff>81242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1300-000038000000}"/>
            </a:ext>
          </a:extLst>
        </xdr:cNvPr>
        <xdr:cNvCxnSpPr/>
      </xdr:nvCxnSpPr>
      <xdr:spPr>
        <a:xfrm flipV="1">
          <a:off x="5360894" y="6284259"/>
          <a:ext cx="824753" cy="55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224118</xdr:colOff>
      <xdr:row>35</xdr:row>
      <xdr:rowOff>7471</xdr:rowOff>
    </xdr:from>
    <xdr:to>
      <xdr:col>51</xdr:col>
      <xdr:colOff>224119</xdr:colOff>
      <xdr:row>37</xdr:row>
      <xdr:rowOff>113554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1300-00003D000000}"/>
            </a:ext>
          </a:extLst>
        </xdr:cNvPr>
        <xdr:cNvCxnSpPr/>
      </xdr:nvCxnSpPr>
      <xdr:spPr>
        <a:xfrm flipH="1">
          <a:off x="8665883" y="7709647"/>
          <a:ext cx="1" cy="36008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22412</xdr:colOff>
      <xdr:row>37</xdr:row>
      <xdr:rowOff>92635</xdr:rowOff>
    </xdr:from>
    <xdr:to>
      <xdr:col>52</xdr:col>
      <xdr:colOff>2987</xdr:colOff>
      <xdr:row>37</xdr:row>
      <xdr:rowOff>92636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1300-000043000000}"/>
            </a:ext>
          </a:extLst>
        </xdr:cNvPr>
        <xdr:cNvCxnSpPr/>
      </xdr:nvCxnSpPr>
      <xdr:spPr>
        <a:xfrm flipH="1" flipV="1">
          <a:off x="7037294" y="8048811"/>
          <a:ext cx="1639046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17930</xdr:colOff>
      <xdr:row>37</xdr:row>
      <xdr:rowOff>68730</xdr:rowOff>
    </xdr:from>
    <xdr:to>
      <xdr:col>42</xdr:col>
      <xdr:colOff>17930</xdr:colOff>
      <xdr:row>41</xdr:row>
      <xdr:rowOff>3361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1300-000045000000}"/>
            </a:ext>
          </a:extLst>
        </xdr:cNvPr>
        <xdr:cNvCxnSpPr/>
      </xdr:nvCxnSpPr>
      <xdr:spPr>
        <a:xfrm>
          <a:off x="7001436" y="7939742"/>
          <a:ext cx="0" cy="43665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188259</xdr:colOff>
      <xdr:row>19</xdr:row>
      <xdr:rowOff>62754</xdr:rowOff>
    </xdr:from>
    <xdr:to>
      <xdr:col>67</xdr:col>
      <xdr:colOff>26895</xdr:colOff>
      <xdr:row>19</xdr:row>
      <xdr:rowOff>71718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1300-000048000000}"/>
            </a:ext>
          </a:extLst>
        </xdr:cNvPr>
        <xdr:cNvCxnSpPr/>
      </xdr:nvCxnSpPr>
      <xdr:spPr>
        <a:xfrm flipH="1" flipV="1">
          <a:off x="8561294" y="4258236"/>
          <a:ext cx="2545977" cy="896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8965</xdr:colOff>
      <xdr:row>19</xdr:row>
      <xdr:rowOff>80683</xdr:rowOff>
    </xdr:from>
    <xdr:to>
      <xdr:col>67</xdr:col>
      <xdr:colOff>8965</xdr:colOff>
      <xdr:row>37</xdr:row>
      <xdr:rowOff>116541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1300-00004A000000}"/>
            </a:ext>
          </a:extLst>
        </xdr:cNvPr>
        <xdr:cNvCxnSpPr/>
      </xdr:nvCxnSpPr>
      <xdr:spPr>
        <a:xfrm>
          <a:off x="11089341" y="4276165"/>
          <a:ext cx="0" cy="362174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35858</xdr:colOff>
      <xdr:row>37</xdr:row>
      <xdr:rowOff>116541</xdr:rowOff>
    </xdr:from>
    <xdr:to>
      <xdr:col>66</xdr:col>
      <xdr:colOff>60512</xdr:colOff>
      <xdr:row>37</xdr:row>
      <xdr:rowOff>116541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1300-00004C000000}"/>
            </a:ext>
          </a:extLst>
        </xdr:cNvPr>
        <xdr:cNvCxnSpPr/>
      </xdr:nvCxnSpPr>
      <xdr:spPr>
        <a:xfrm flipH="1">
          <a:off x="10291482" y="7897906"/>
          <a:ext cx="786654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26894</xdr:colOff>
      <xdr:row>37</xdr:row>
      <xdr:rowOff>89647</xdr:rowOff>
    </xdr:from>
    <xdr:to>
      <xdr:col>62</xdr:col>
      <xdr:colOff>26894</xdr:colOff>
      <xdr:row>41</xdr:row>
      <xdr:rowOff>21291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1300-00004E000000}"/>
            </a:ext>
          </a:extLst>
        </xdr:cNvPr>
        <xdr:cNvCxnSpPr/>
      </xdr:nvCxnSpPr>
      <xdr:spPr>
        <a:xfrm>
          <a:off x="10282518" y="7871012"/>
          <a:ext cx="0" cy="43366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17929</xdr:colOff>
      <xdr:row>36</xdr:row>
      <xdr:rowOff>17930</xdr:rowOff>
    </xdr:from>
    <xdr:to>
      <xdr:col>47</xdr:col>
      <xdr:colOff>26894</xdr:colOff>
      <xdr:row>46</xdr:row>
      <xdr:rowOff>116541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1300-000050000000}"/>
            </a:ext>
          </a:extLst>
        </xdr:cNvPr>
        <xdr:cNvCxnSpPr/>
      </xdr:nvCxnSpPr>
      <xdr:spPr>
        <a:xfrm>
          <a:off x="7799294" y="7673789"/>
          <a:ext cx="8965" cy="201705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26894</xdr:colOff>
      <xdr:row>46</xdr:row>
      <xdr:rowOff>98612</xdr:rowOff>
    </xdr:from>
    <xdr:to>
      <xdr:col>47</xdr:col>
      <xdr:colOff>33617</xdr:colOff>
      <xdr:row>46</xdr:row>
      <xdr:rowOff>98612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1300-000052000000}"/>
            </a:ext>
          </a:extLst>
        </xdr:cNvPr>
        <xdr:cNvCxnSpPr/>
      </xdr:nvCxnSpPr>
      <xdr:spPr>
        <a:xfrm flipH="1">
          <a:off x="6983506" y="9672918"/>
          <a:ext cx="83147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8964</xdr:colOff>
      <xdr:row>46</xdr:row>
      <xdr:rowOff>89647</xdr:rowOff>
    </xdr:from>
    <xdr:to>
      <xdr:col>42</xdr:col>
      <xdr:colOff>17929</xdr:colOff>
      <xdr:row>48</xdr:row>
      <xdr:rowOff>110936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00000000-0008-0000-1300-000054000000}"/>
            </a:ext>
          </a:extLst>
        </xdr:cNvPr>
        <xdr:cNvCxnSpPr/>
      </xdr:nvCxnSpPr>
      <xdr:spPr>
        <a:xfrm flipH="1">
          <a:off x="6965576" y="9663953"/>
          <a:ext cx="8965" cy="27230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44823</xdr:colOff>
      <xdr:row>19</xdr:row>
      <xdr:rowOff>89647</xdr:rowOff>
    </xdr:from>
    <xdr:to>
      <xdr:col>37</xdr:col>
      <xdr:colOff>53788</xdr:colOff>
      <xdr:row>29</xdr:row>
      <xdr:rowOff>80683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1300-00002E000000}"/>
            </a:ext>
          </a:extLst>
        </xdr:cNvPr>
        <xdr:cNvCxnSpPr/>
      </xdr:nvCxnSpPr>
      <xdr:spPr>
        <a:xfrm flipH="1">
          <a:off x="6203576" y="4285129"/>
          <a:ext cx="8965" cy="199913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179295</xdr:colOff>
      <xdr:row>21</xdr:row>
      <xdr:rowOff>80682</xdr:rowOff>
    </xdr:from>
    <xdr:to>
      <xdr:col>61</xdr:col>
      <xdr:colOff>179295</xdr:colOff>
      <xdr:row>21</xdr:row>
      <xdr:rowOff>80682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1300-00002F000000}"/>
            </a:ext>
          </a:extLst>
        </xdr:cNvPr>
        <xdr:cNvCxnSpPr/>
      </xdr:nvCxnSpPr>
      <xdr:spPr>
        <a:xfrm flipH="1">
          <a:off x="8579224" y="4527176"/>
          <a:ext cx="164950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179295</xdr:colOff>
      <xdr:row>21</xdr:row>
      <xdr:rowOff>71718</xdr:rowOff>
    </xdr:from>
    <xdr:to>
      <xdr:col>61</xdr:col>
      <xdr:colOff>179296</xdr:colOff>
      <xdr:row>22</xdr:row>
      <xdr:rowOff>119902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1300-000035000000}"/>
            </a:ext>
          </a:extLst>
        </xdr:cNvPr>
        <xdr:cNvCxnSpPr/>
      </xdr:nvCxnSpPr>
      <xdr:spPr>
        <a:xfrm>
          <a:off x="10228730" y="4518212"/>
          <a:ext cx="1" cy="1736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107573</xdr:colOff>
      <xdr:row>27</xdr:row>
      <xdr:rowOff>0</xdr:rowOff>
    </xdr:from>
    <xdr:to>
      <xdr:col>51</xdr:col>
      <xdr:colOff>107574</xdr:colOff>
      <xdr:row>29</xdr:row>
      <xdr:rowOff>116546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1300-000037000000}"/>
            </a:ext>
          </a:extLst>
        </xdr:cNvPr>
        <xdr:cNvCxnSpPr/>
      </xdr:nvCxnSpPr>
      <xdr:spPr>
        <a:xfrm flipH="1">
          <a:off x="8480608" y="5952565"/>
          <a:ext cx="1" cy="36755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233082</xdr:colOff>
      <xdr:row>29</xdr:row>
      <xdr:rowOff>98611</xdr:rowOff>
    </xdr:from>
    <xdr:to>
      <xdr:col>51</xdr:col>
      <xdr:colOff>108356</xdr:colOff>
      <xdr:row>29</xdr:row>
      <xdr:rowOff>107577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1300-000039000000}"/>
            </a:ext>
          </a:extLst>
        </xdr:cNvPr>
        <xdr:cNvCxnSpPr/>
      </xdr:nvCxnSpPr>
      <xdr:spPr>
        <a:xfrm flipV="1">
          <a:off x="6956611" y="6302187"/>
          <a:ext cx="1524780" cy="896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233081</xdr:colOff>
      <xdr:row>29</xdr:row>
      <xdr:rowOff>98612</xdr:rowOff>
    </xdr:from>
    <xdr:to>
      <xdr:col>41</xdr:col>
      <xdr:colOff>233082</xdr:colOff>
      <xdr:row>31</xdr:row>
      <xdr:rowOff>21290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1300-00003B000000}"/>
            </a:ext>
          </a:extLst>
        </xdr:cNvPr>
        <xdr:cNvCxnSpPr/>
      </xdr:nvCxnSpPr>
      <xdr:spPr>
        <a:xfrm>
          <a:off x="6956610" y="6302188"/>
          <a:ext cx="1" cy="1736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44823</xdr:colOff>
      <xdr:row>39</xdr:row>
      <xdr:rowOff>53788</xdr:rowOff>
    </xdr:from>
    <xdr:to>
      <xdr:col>32</xdr:col>
      <xdr:colOff>44823</xdr:colOff>
      <xdr:row>40</xdr:row>
      <xdr:rowOff>119903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1300-000047000000}"/>
            </a:ext>
          </a:extLst>
        </xdr:cNvPr>
        <xdr:cNvCxnSpPr/>
      </xdr:nvCxnSpPr>
      <xdr:spPr>
        <a:xfrm>
          <a:off x="5351929" y="8175812"/>
          <a:ext cx="0" cy="191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17929</xdr:colOff>
      <xdr:row>39</xdr:row>
      <xdr:rowOff>44823</xdr:rowOff>
    </xdr:from>
    <xdr:to>
      <xdr:col>32</xdr:col>
      <xdr:colOff>44822</xdr:colOff>
      <xdr:row>39</xdr:row>
      <xdr:rowOff>44824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1300-000049000000}"/>
            </a:ext>
          </a:extLst>
        </xdr:cNvPr>
        <xdr:cNvCxnSpPr/>
      </xdr:nvCxnSpPr>
      <xdr:spPr>
        <a:xfrm flipH="1" flipV="1">
          <a:off x="4500282" y="8166847"/>
          <a:ext cx="851646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24654</xdr:colOff>
      <xdr:row>11</xdr:row>
      <xdr:rowOff>17929</xdr:rowOff>
    </xdr:from>
    <xdr:to>
      <xdr:col>27</xdr:col>
      <xdr:colOff>35859</xdr:colOff>
      <xdr:row>39</xdr:row>
      <xdr:rowOff>45944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1300-00004F000000}"/>
            </a:ext>
          </a:extLst>
        </xdr:cNvPr>
        <xdr:cNvCxnSpPr/>
      </xdr:nvCxnSpPr>
      <xdr:spPr>
        <a:xfrm flipH="1">
          <a:off x="4507007" y="2545976"/>
          <a:ext cx="11205" cy="562199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17930</xdr:colOff>
      <xdr:row>10</xdr:row>
      <xdr:rowOff>116541</xdr:rowOff>
    </xdr:from>
    <xdr:to>
      <xdr:col>52</xdr:col>
      <xdr:colOff>17929</xdr:colOff>
      <xdr:row>11</xdr:row>
      <xdr:rowOff>17929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1300-000051000000}"/>
            </a:ext>
          </a:extLst>
        </xdr:cNvPr>
        <xdr:cNvCxnSpPr/>
      </xdr:nvCxnSpPr>
      <xdr:spPr>
        <a:xfrm flipH="1">
          <a:off x="4500283" y="2519082"/>
          <a:ext cx="4123764" cy="2689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80682</xdr:colOff>
      <xdr:row>46</xdr:row>
      <xdr:rowOff>17929</xdr:rowOff>
    </xdr:from>
    <xdr:to>
      <xdr:col>32</xdr:col>
      <xdr:colOff>89647</xdr:colOff>
      <xdr:row>48</xdr:row>
      <xdr:rowOff>119901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00000000-0008-0000-1300-000053000000}"/>
            </a:ext>
          </a:extLst>
        </xdr:cNvPr>
        <xdr:cNvCxnSpPr/>
      </xdr:nvCxnSpPr>
      <xdr:spPr>
        <a:xfrm flipH="1">
          <a:off x="5387788" y="9681882"/>
          <a:ext cx="8965" cy="35298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80683</xdr:colOff>
      <xdr:row>46</xdr:row>
      <xdr:rowOff>26894</xdr:rowOff>
    </xdr:from>
    <xdr:to>
      <xdr:col>62</xdr:col>
      <xdr:colOff>26894</xdr:colOff>
      <xdr:row>46</xdr:row>
      <xdr:rowOff>26894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1300-000055000000}"/>
            </a:ext>
          </a:extLst>
        </xdr:cNvPr>
        <xdr:cNvCxnSpPr/>
      </xdr:nvCxnSpPr>
      <xdr:spPr>
        <a:xfrm flipH="1">
          <a:off x="5387789" y="9690847"/>
          <a:ext cx="4894729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17930</xdr:colOff>
      <xdr:row>45</xdr:row>
      <xdr:rowOff>8965</xdr:rowOff>
    </xdr:from>
    <xdr:to>
      <xdr:col>62</xdr:col>
      <xdr:colOff>17930</xdr:colOff>
      <xdr:row>46</xdr:row>
      <xdr:rowOff>17929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1300-000058000000}"/>
            </a:ext>
          </a:extLst>
        </xdr:cNvPr>
        <xdr:cNvCxnSpPr/>
      </xdr:nvCxnSpPr>
      <xdr:spPr>
        <a:xfrm>
          <a:off x="10273554" y="9547412"/>
          <a:ext cx="0" cy="13447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14941</xdr:colOff>
      <xdr:row>29</xdr:row>
      <xdr:rowOff>83670</xdr:rowOff>
    </xdr:from>
    <xdr:to>
      <xdr:col>32</xdr:col>
      <xdr:colOff>64246</xdr:colOff>
      <xdr:row>29</xdr:row>
      <xdr:rowOff>83671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1300-000030000000}"/>
            </a:ext>
          </a:extLst>
        </xdr:cNvPr>
        <xdr:cNvCxnSpPr/>
      </xdr:nvCxnSpPr>
      <xdr:spPr>
        <a:xfrm>
          <a:off x="4474882" y="6351494"/>
          <a:ext cx="945776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13447</xdr:colOff>
      <xdr:row>29</xdr:row>
      <xdr:rowOff>64247</xdr:rowOff>
    </xdr:from>
    <xdr:to>
      <xdr:col>26</xdr:col>
      <xdr:colOff>17930</xdr:colOff>
      <xdr:row>39</xdr:row>
      <xdr:rowOff>89647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1300-000031000000}"/>
            </a:ext>
          </a:extLst>
        </xdr:cNvPr>
        <xdr:cNvCxnSpPr/>
      </xdr:nvCxnSpPr>
      <xdr:spPr>
        <a:xfrm>
          <a:off x="4459941" y="6267823"/>
          <a:ext cx="4483" cy="194384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39</xdr:row>
      <xdr:rowOff>62752</xdr:rowOff>
    </xdr:from>
    <xdr:to>
      <xdr:col>26</xdr:col>
      <xdr:colOff>37352</xdr:colOff>
      <xdr:row>39</xdr:row>
      <xdr:rowOff>68731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1300-000036000000}"/>
            </a:ext>
          </a:extLst>
        </xdr:cNvPr>
        <xdr:cNvCxnSpPr/>
      </xdr:nvCxnSpPr>
      <xdr:spPr>
        <a:xfrm flipH="1" flipV="1">
          <a:off x="2859741" y="8184776"/>
          <a:ext cx="1624105" cy="597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182282</xdr:colOff>
      <xdr:row>39</xdr:row>
      <xdr:rowOff>76200</xdr:rowOff>
    </xdr:from>
    <xdr:to>
      <xdr:col>21</xdr:col>
      <xdr:colOff>182282</xdr:colOff>
      <xdr:row>41</xdr:row>
      <xdr:rowOff>15315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1300-00003A000000}"/>
            </a:ext>
          </a:extLst>
        </xdr:cNvPr>
        <xdr:cNvCxnSpPr/>
      </xdr:nvCxnSpPr>
      <xdr:spPr>
        <a:xfrm>
          <a:off x="3633694" y="8198224"/>
          <a:ext cx="0" cy="19012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198718</xdr:colOff>
      <xdr:row>37</xdr:row>
      <xdr:rowOff>88153</xdr:rowOff>
    </xdr:from>
    <xdr:to>
      <xdr:col>56</xdr:col>
      <xdr:colOff>44824</xdr:colOff>
      <xdr:row>37</xdr:row>
      <xdr:rowOff>89647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1300-000046000000}"/>
            </a:ext>
          </a:extLst>
        </xdr:cNvPr>
        <xdr:cNvCxnSpPr/>
      </xdr:nvCxnSpPr>
      <xdr:spPr>
        <a:xfrm flipH="1" flipV="1">
          <a:off x="8598647" y="7959165"/>
          <a:ext cx="841189" cy="149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43330</xdr:colOff>
      <xdr:row>37</xdr:row>
      <xdr:rowOff>89647</xdr:rowOff>
    </xdr:from>
    <xdr:to>
      <xdr:col>56</xdr:col>
      <xdr:colOff>44823</xdr:colOff>
      <xdr:row>47</xdr:row>
      <xdr:rowOff>80681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1300-00004B000000}"/>
            </a:ext>
          </a:extLst>
        </xdr:cNvPr>
        <xdr:cNvCxnSpPr/>
      </xdr:nvCxnSpPr>
      <xdr:spPr>
        <a:xfrm flipH="1">
          <a:off x="9438342" y="7960659"/>
          <a:ext cx="1493" cy="190948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35859</xdr:colOff>
      <xdr:row>47</xdr:row>
      <xdr:rowOff>68729</xdr:rowOff>
    </xdr:from>
    <xdr:to>
      <xdr:col>56</xdr:col>
      <xdr:colOff>40341</xdr:colOff>
      <xdr:row>47</xdr:row>
      <xdr:rowOff>71717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1300-00004D000000}"/>
            </a:ext>
          </a:extLst>
        </xdr:cNvPr>
        <xdr:cNvCxnSpPr/>
      </xdr:nvCxnSpPr>
      <xdr:spPr>
        <a:xfrm flipH="1">
          <a:off x="7844118" y="9858188"/>
          <a:ext cx="1591235" cy="298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150905</xdr:colOff>
      <xdr:row>47</xdr:row>
      <xdr:rowOff>76200</xdr:rowOff>
    </xdr:from>
    <xdr:to>
      <xdr:col>51</xdr:col>
      <xdr:colOff>150905</xdr:colOff>
      <xdr:row>49</xdr:row>
      <xdr:rowOff>15315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00000000-0008-0000-1300-000056000000}"/>
            </a:ext>
          </a:extLst>
        </xdr:cNvPr>
        <xdr:cNvCxnSpPr/>
      </xdr:nvCxnSpPr>
      <xdr:spPr>
        <a:xfrm>
          <a:off x="8550834" y="9865659"/>
          <a:ext cx="0" cy="19012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134470</xdr:colOff>
      <xdr:row>29</xdr:row>
      <xdr:rowOff>17930</xdr:rowOff>
    </xdr:from>
    <xdr:to>
      <xdr:col>31</xdr:col>
      <xdr:colOff>134470</xdr:colOff>
      <xdr:row>31</xdr:row>
      <xdr:rowOff>8964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DC7270F2-0530-4A8E-B6C8-C9A62BEC902E}"/>
            </a:ext>
          </a:extLst>
        </xdr:cNvPr>
        <xdr:cNvCxnSpPr/>
      </xdr:nvCxnSpPr>
      <xdr:spPr>
        <a:xfrm>
          <a:off x="5235388" y="6221506"/>
          <a:ext cx="0" cy="24204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26894</xdr:colOff>
      <xdr:row>29</xdr:row>
      <xdr:rowOff>26894</xdr:rowOff>
    </xdr:from>
    <xdr:to>
      <xdr:col>31</xdr:col>
      <xdr:colOff>125507</xdr:colOff>
      <xdr:row>29</xdr:row>
      <xdr:rowOff>26895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45DB9D98-F96F-4DA7-9921-B3FEFEE9936A}"/>
            </a:ext>
          </a:extLst>
        </xdr:cNvPr>
        <xdr:cNvCxnSpPr/>
      </xdr:nvCxnSpPr>
      <xdr:spPr>
        <a:xfrm flipH="1">
          <a:off x="2886635" y="6230470"/>
          <a:ext cx="2339790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26894</xdr:colOff>
      <xdr:row>19</xdr:row>
      <xdr:rowOff>116542</xdr:rowOff>
    </xdr:from>
    <xdr:to>
      <xdr:col>17</xdr:col>
      <xdr:colOff>26895</xdr:colOff>
      <xdr:row>29</xdr:row>
      <xdr:rowOff>35861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5C171F71-761C-4D6A-8607-C23A2BB8162C}"/>
            </a:ext>
          </a:extLst>
        </xdr:cNvPr>
        <xdr:cNvCxnSpPr/>
      </xdr:nvCxnSpPr>
      <xdr:spPr>
        <a:xfrm>
          <a:off x="2886635" y="4312024"/>
          <a:ext cx="1" cy="192741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19</xdr:row>
      <xdr:rowOff>107577</xdr:rowOff>
    </xdr:from>
    <xdr:to>
      <xdr:col>51</xdr:col>
      <xdr:colOff>179295</xdr:colOff>
      <xdr:row>19</xdr:row>
      <xdr:rowOff>107577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F48E6605-AC5B-4FBC-8B0C-6EE07E37D11A}"/>
            </a:ext>
          </a:extLst>
        </xdr:cNvPr>
        <xdr:cNvCxnSpPr/>
      </xdr:nvCxnSpPr>
      <xdr:spPr>
        <a:xfrm flipH="1">
          <a:off x="6221506" y="4303059"/>
          <a:ext cx="2357718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30</xdr:row>
      <xdr:rowOff>0</xdr:rowOff>
    </xdr:from>
    <xdr:to>
      <xdr:col>17</xdr:col>
      <xdr:colOff>8965</xdr:colOff>
      <xdr:row>39</xdr:row>
      <xdr:rowOff>70224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EB62F498-6F92-4A04-B1FC-20AEFA09647A}"/>
            </a:ext>
          </a:extLst>
        </xdr:cNvPr>
        <xdr:cNvCxnSpPr/>
      </xdr:nvCxnSpPr>
      <xdr:spPr>
        <a:xfrm>
          <a:off x="2859741" y="6329082"/>
          <a:ext cx="8965" cy="186316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17930</xdr:colOff>
      <xdr:row>30</xdr:row>
      <xdr:rowOff>0</xdr:rowOff>
    </xdr:from>
    <xdr:to>
      <xdr:col>17</xdr:col>
      <xdr:colOff>8399</xdr:colOff>
      <xdr:row>30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8926A081-B630-4148-8171-D2D5D35B23AE}"/>
            </a:ext>
          </a:extLst>
        </xdr:cNvPr>
        <xdr:cNvCxnSpPr/>
      </xdr:nvCxnSpPr>
      <xdr:spPr>
        <a:xfrm>
          <a:off x="2052918" y="6329082"/>
          <a:ext cx="815222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17930</xdr:colOff>
      <xdr:row>27</xdr:row>
      <xdr:rowOff>8964</xdr:rowOff>
    </xdr:from>
    <xdr:to>
      <xdr:col>12</xdr:col>
      <xdr:colOff>17931</xdr:colOff>
      <xdr:row>30</xdr:row>
      <xdr:rowOff>4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915666F5-77FB-40C6-B9CE-9E492BE7058A}"/>
            </a:ext>
          </a:extLst>
        </xdr:cNvPr>
        <xdr:cNvCxnSpPr/>
      </xdr:nvCxnSpPr>
      <xdr:spPr>
        <a:xfrm flipH="1">
          <a:off x="2052918" y="5961529"/>
          <a:ext cx="1" cy="36755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188259</xdr:colOff>
      <xdr:row>39</xdr:row>
      <xdr:rowOff>26894</xdr:rowOff>
    </xdr:from>
    <xdr:to>
      <xdr:col>52</xdr:col>
      <xdr:colOff>188259</xdr:colOff>
      <xdr:row>41</xdr:row>
      <xdr:rowOff>12327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B69D8E48-6259-4BA7-80C4-CC50F4B641CD}"/>
            </a:ext>
          </a:extLst>
        </xdr:cNvPr>
        <xdr:cNvCxnSpPr/>
      </xdr:nvCxnSpPr>
      <xdr:spPr>
        <a:xfrm>
          <a:off x="8821271" y="8148918"/>
          <a:ext cx="0" cy="23644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39</xdr:row>
      <xdr:rowOff>26894</xdr:rowOff>
    </xdr:from>
    <xdr:to>
      <xdr:col>61</xdr:col>
      <xdr:colOff>0</xdr:colOff>
      <xdr:row>39</xdr:row>
      <xdr:rowOff>35858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EE74CF9E-5D34-4199-B39F-235F3CF93DA4}"/>
            </a:ext>
          </a:extLst>
        </xdr:cNvPr>
        <xdr:cNvCxnSpPr/>
      </xdr:nvCxnSpPr>
      <xdr:spPr>
        <a:xfrm flipH="1" flipV="1">
          <a:off x="7745506" y="8148918"/>
          <a:ext cx="2303929" cy="896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224118</xdr:colOff>
      <xdr:row>35</xdr:row>
      <xdr:rowOff>8965</xdr:rowOff>
    </xdr:from>
    <xdr:to>
      <xdr:col>60</xdr:col>
      <xdr:colOff>224118</xdr:colOff>
      <xdr:row>39</xdr:row>
      <xdr:rowOff>34366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42485174-2033-446B-B93F-9374FC8B7A34}"/>
            </a:ext>
          </a:extLst>
        </xdr:cNvPr>
        <xdr:cNvCxnSpPr/>
      </xdr:nvCxnSpPr>
      <xdr:spPr>
        <a:xfrm>
          <a:off x="10040471" y="7628965"/>
          <a:ext cx="0" cy="52742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8964</xdr:colOff>
      <xdr:row>29</xdr:row>
      <xdr:rowOff>107577</xdr:rowOff>
    </xdr:from>
    <xdr:to>
      <xdr:col>46</xdr:col>
      <xdr:colOff>17929</xdr:colOff>
      <xdr:row>39</xdr:row>
      <xdr:rowOff>34366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662A7FC-53AD-4D71-A696-91030A93F581}"/>
            </a:ext>
          </a:extLst>
        </xdr:cNvPr>
        <xdr:cNvCxnSpPr/>
      </xdr:nvCxnSpPr>
      <xdr:spPr>
        <a:xfrm flipH="1">
          <a:off x="7754470" y="6311153"/>
          <a:ext cx="8965" cy="184523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62753</xdr:colOff>
      <xdr:row>47</xdr:row>
      <xdr:rowOff>0</xdr:rowOff>
    </xdr:from>
    <xdr:to>
      <xdr:col>12</xdr:col>
      <xdr:colOff>62753</xdr:colOff>
      <xdr:row>48</xdr:row>
      <xdr:rowOff>116540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BE838442-53DC-4AF1-93A3-E7185BA895E1}"/>
            </a:ext>
          </a:extLst>
        </xdr:cNvPr>
        <xdr:cNvCxnSpPr/>
      </xdr:nvCxnSpPr>
      <xdr:spPr>
        <a:xfrm>
          <a:off x="2097741" y="9789459"/>
          <a:ext cx="0" cy="24204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53788</xdr:colOff>
      <xdr:row>47</xdr:row>
      <xdr:rowOff>8965</xdr:rowOff>
    </xdr:from>
    <xdr:to>
      <xdr:col>17</xdr:col>
      <xdr:colOff>53788</xdr:colOff>
      <xdr:row>47</xdr:row>
      <xdr:rowOff>8965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D35CD4F3-49D0-44DA-B962-4142FF1545F4}"/>
            </a:ext>
          </a:extLst>
        </xdr:cNvPr>
        <xdr:cNvCxnSpPr/>
      </xdr:nvCxnSpPr>
      <xdr:spPr>
        <a:xfrm flipH="1">
          <a:off x="2088776" y="9798424"/>
          <a:ext cx="824753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53788</xdr:colOff>
      <xdr:row>28</xdr:row>
      <xdr:rowOff>26894</xdr:rowOff>
    </xdr:from>
    <xdr:to>
      <xdr:col>18</xdr:col>
      <xdr:colOff>8965</xdr:colOff>
      <xdr:row>47</xdr:row>
      <xdr:rowOff>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5A0637A5-E3AE-4E45-895C-43CEBE97E66D}"/>
            </a:ext>
          </a:extLst>
        </xdr:cNvPr>
        <xdr:cNvCxnSpPr/>
      </xdr:nvCxnSpPr>
      <xdr:spPr>
        <a:xfrm flipH="1">
          <a:off x="2913529" y="6104965"/>
          <a:ext cx="17930" cy="368449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28</xdr:row>
      <xdr:rowOff>26894</xdr:rowOff>
    </xdr:from>
    <xdr:to>
      <xdr:col>32</xdr:col>
      <xdr:colOff>53788</xdr:colOff>
      <xdr:row>28</xdr:row>
      <xdr:rowOff>35860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F28B68D0-FDE9-47D8-917E-F03D3F55C4EE}"/>
            </a:ext>
          </a:extLst>
        </xdr:cNvPr>
        <xdr:cNvCxnSpPr/>
      </xdr:nvCxnSpPr>
      <xdr:spPr>
        <a:xfrm flipV="1">
          <a:off x="2922494" y="6104965"/>
          <a:ext cx="2465294" cy="896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53788</xdr:colOff>
      <xdr:row>26</xdr:row>
      <xdr:rowOff>268941</xdr:rowOff>
    </xdr:from>
    <xdr:to>
      <xdr:col>32</xdr:col>
      <xdr:colOff>53789</xdr:colOff>
      <xdr:row>28</xdr:row>
      <xdr:rowOff>35858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197D10E7-B1BC-4D61-B81A-692F6D4BD318}"/>
            </a:ext>
          </a:extLst>
        </xdr:cNvPr>
        <xdr:cNvCxnSpPr/>
      </xdr:nvCxnSpPr>
      <xdr:spPr>
        <a:xfrm flipH="1">
          <a:off x="5387788" y="5943600"/>
          <a:ext cx="1" cy="17032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44823</xdr:colOff>
      <xdr:row>47</xdr:row>
      <xdr:rowOff>62753</xdr:rowOff>
    </xdr:from>
    <xdr:to>
      <xdr:col>47</xdr:col>
      <xdr:colOff>46316</xdr:colOff>
      <xdr:row>55</xdr:row>
      <xdr:rowOff>71718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1377DE89-9C45-45E1-99C5-9627CDAFB0EA}"/>
            </a:ext>
          </a:extLst>
        </xdr:cNvPr>
        <xdr:cNvCxnSpPr/>
      </xdr:nvCxnSpPr>
      <xdr:spPr>
        <a:xfrm flipH="1">
          <a:off x="7853082" y="9852212"/>
          <a:ext cx="1493" cy="16764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35859</xdr:colOff>
      <xdr:row>55</xdr:row>
      <xdr:rowOff>44824</xdr:rowOff>
    </xdr:from>
    <xdr:to>
      <xdr:col>47</xdr:col>
      <xdr:colOff>49306</xdr:colOff>
      <xdr:row>55</xdr:row>
      <xdr:rowOff>62753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7044CEAE-F399-4F11-A41A-FCF451D8D63A}"/>
            </a:ext>
          </a:extLst>
        </xdr:cNvPr>
        <xdr:cNvCxnSpPr/>
      </xdr:nvCxnSpPr>
      <xdr:spPr>
        <a:xfrm flipH="1" flipV="1">
          <a:off x="2832847" y="11501718"/>
          <a:ext cx="5024718" cy="1792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224117</xdr:colOff>
      <xdr:row>55</xdr:row>
      <xdr:rowOff>53788</xdr:rowOff>
    </xdr:from>
    <xdr:to>
      <xdr:col>21</xdr:col>
      <xdr:colOff>224118</xdr:colOff>
      <xdr:row>58</xdr:row>
      <xdr:rowOff>119901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4D84E8CB-1586-42F5-9D94-BD5B1EFAA9D5}"/>
            </a:ext>
          </a:extLst>
        </xdr:cNvPr>
        <xdr:cNvCxnSpPr/>
      </xdr:nvCxnSpPr>
      <xdr:spPr>
        <a:xfrm>
          <a:off x="3675529" y="11510682"/>
          <a:ext cx="1" cy="44263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</xdr:colOff>
      <xdr:row>54</xdr:row>
      <xdr:rowOff>89647</xdr:rowOff>
    </xdr:from>
    <xdr:to>
      <xdr:col>32</xdr:col>
      <xdr:colOff>8965</xdr:colOff>
      <xdr:row>59</xdr:row>
      <xdr:rowOff>3360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D74D524B-4CE8-4AF4-B4CB-BB7FB19A5590}"/>
            </a:ext>
          </a:extLst>
        </xdr:cNvPr>
        <xdr:cNvCxnSpPr/>
      </xdr:nvCxnSpPr>
      <xdr:spPr>
        <a:xfrm flipH="1">
          <a:off x="5334001" y="11421035"/>
          <a:ext cx="8964" cy="54124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8964</xdr:colOff>
      <xdr:row>54</xdr:row>
      <xdr:rowOff>89647</xdr:rowOff>
    </xdr:from>
    <xdr:to>
      <xdr:col>32</xdr:col>
      <xdr:colOff>15687</xdr:colOff>
      <xdr:row>54</xdr:row>
      <xdr:rowOff>89647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84B7EBF8-A4F8-48AD-ABBD-78DFAFE69013}"/>
            </a:ext>
          </a:extLst>
        </xdr:cNvPr>
        <xdr:cNvCxnSpPr/>
      </xdr:nvCxnSpPr>
      <xdr:spPr>
        <a:xfrm flipH="1">
          <a:off x="4518211" y="11421035"/>
          <a:ext cx="83147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8965</xdr:colOff>
      <xdr:row>46</xdr:row>
      <xdr:rowOff>80682</xdr:rowOff>
    </xdr:from>
    <xdr:to>
      <xdr:col>27</xdr:col>
      <xdr:colOff>10458</xdr:colOff>
      <xdr:row>54</xdr:row>
      <xdr:rowOff>89647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4C8259FB-006A-464D-81C5-7B61DB38BC60}"/>
            </a:ext>
          </a:extLst>
        </xdr:cNvPr>
        <xdr:cNvCxnSpPr/>
      </xdr:nvCxnSpPr>
      <xdr:spPr>
        <a:xfrm flipH="1">
          <a:off x="4518212" y="9744635"/>
          <a:ext cx="1493" cy="16764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46</xdr:row>
      <xdr:rowOff>89647</xdr:rowOff>
    </xdr:from>
    <xdr:to>
      <xdr:col>27</xdr:col>
      <xdr:colOff>6723</xdr:colOff>
      <xdr:row>46</xdr:row>
      <xdr:rowOff>89647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B28992BE-4277-42CE-A43B-28A66DDC5CB9}"/>
            </a:ext>
          </a:extLst>
        </xdr:cNvPr>
        <xdr:cNvCxnSpPr/>
      </xdr:nvCxnSpPr>
      <xdr:spPr>
        <a:xfrm flipH="1">
          <a:off x="3684494" y="9753600"/>
          <a:ext cx="83147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45</xdr:row>
      <xdr:rowOff>0</xdr:rowOff>
    </xdr:from>
    <xdr:to>
      <xdr:col>22</xdr:col>
      <xdr:colOff>0</xdr:colOff>
      <xdr:row>46</xdr:row>
      <xdr:rowOff>89647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108237-7920-4F98-BF37-C48D826B1F8C}"/>
            </a:ext>
          </a:extLst>
        </xdr:cNvPr>
        <xdr:cNvCxnSpPr/>
      </xdr:nvCxnSpPr>
      <xdr:spPr>
        <a:xfrm>
          <a:off x="3684494" y="9538447"/>
          <a:ext cx="0" cy="21515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35859</xdr:colOff>
      <xdr:row>64</xdr:row>
      <xdr:rowOff>89647</xdr:rowOff>
    </xdr:from>
    <xdr:to>
      <xdr:col>12</xdr:col>
      <xdr:colOff>35860</xdr:colOff>
      <xdr:row>67</xdr:row>
      <xdr:rowOff>3360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0E8EB5D1-62B2-4EEF-B7E1-F2568FD3EA1D}"/>
            </a:ext>
          </a:extLst>
        </xdr:cNvPr>
        <xdr:cNvCxnSpPr/>
      </xdr:nvCxnSpPr>
      <xdr:spPr>
        <a:xfrm>
          <a:off x="2070847" y="13339482"/>
          <a:ext cx="1" cy="29023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26894</xdr:colOff>
      <xdr:row>64</xdr:row>
      <xdr:rowOff>98612</xdr:rowOff>
    </xdr:from>
    <xdr:to>
      <xdr:col>16</xdr:col>
      <xdr:colOff>26894</xdr:colOff>
      <xdr:row>64</xdr:row>
      <xdr:rowOff>98612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1839B313-BFD1-4BEB-A06C-1AF9ECD7BC58}"/>
            </a:ext>
          </a:extLst>
        </xdr:cNvPr>
        <xdr:cNvCxnSpPr/>
      </xdr:nvCxnSpPr>
      <xdr:spPr>
        <a:xfrm flipH="1">
          <a:off x="2061882" y="13348447"/>
          <a:ext cx="76200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26894</xdr:colOff>
      <xdr:row>55</xdr:row>
      <xdr:rowOff>44824</xdr:rowOff>
    </xdr:from>
    <xdr:to>
      <xdr:col>16</xdr:col>
      <xdr:colOff>26894</xdr:colOff>
      <xdr:row>64</xdr:row>
      <xdr:rowOff>98612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109C8264-E80D-4062-AEFE-4267F69C9D5C}"/>
            </a:ext>
          </a:extLst>
        </xdr:cNvPr>
        <xdr:cNvCxnSpPr/>
      </xdr:nvCxnSpPr>
      <xdr:spPr>
        <a:xfrm>
          <a:off x="2823882" y="11501718"/>
          <a:ext cx="0" cy="184672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9C443FD-C872-4171-BC53-7ECC74247EA1}"/>
            </a:ext>
          </a:extLst>
        </xdr:cNvPr>
        <xdr:cNvCxnSpPr/>
      </xdr:nvCxnSpPr>
      <xdr:spPr>
        <a:xfrm>
          <a:off x="12854940" y="4861560"/>
          <a:ext cx="0" cy="353434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0</xdr:colOff>
      <xdr:row>24</xdr:row>
      <xdr:rowOff>0</xdr:rowOff>
    </xdr:from>
    <xdr:to>
      <xdr:col>80</xdr:col>
      <xdr:colOff>0</xdr:colOff>
      <xdr:row>41</xdr:row>
      <xdr:rowOff>59627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A7BFC0E-A2A2-4856-A397-D7FE9A41FFE3}"/>
            </a:ext>
          </a:extLst>
        </xdr:cNvPr>
        <xdr:cNvCxnSpPr/>
      </xdr:nvCxnSpPr>
      <xdr:spPr>
        <a:xfrm>
          <a:off x="12854940" y="4861560"/>
          <a:ext cx="0" cy="3534347"/>
        </a:xfrm>
        <a:prstGeom prst="line">
          <a:avLst/>
        </a:prstGeom>
        <a:ln w="12700">
          <a:solidFill>
            <a:schemeClr val="tx1"/>
          </a:solidFill>
          <a:prstDash val="dash"/>
          <a:tailEnd type="non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78828</xdr:colOff>
      <xdr:row>9</xdr:row>
      <xdr:rowOff>6569</xdr:rowOff>
    </xdr:from>
    <xdr:to>
      <xdr:col>31</xdr:col>
      <xdr:colOff>80031</xdr:colOff>
      <xdr:row>10</xdr:row>
      <xdr:rowOff>15765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D223067-DC14-44E1-8B32-939B826FC1CD}"/>
            </a:ext>
          </a:extLst>
        </xdr:cNvPr>
        <xdr:cNvCxnSpPr/>
      </xdr:nvCxnSpPr>
      <xdr:spPr>
        <a:xfrm>
          <a:off x="5085168" y="2292569"/>
          <a:ext cx="1203" cy="13111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25619</xdr:colOff>
      <xdr:row>10</xdr:row>
      <xdr:rowOff>13138</xdr:rowOff>
    </xdr:from>
    <xdr:to>
      <xdr:col>31</xdr:col>
      <xdr:colOff>85944</xdr:colOff>
      <xdr:row>10</xdr:row>
      <xdr:rowOff>13138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ED068A6-2EE2-41C4-9BF3-C9FB235AD3DB}"/>
            </a:ext>
          </a:extLst>
        </xdr:cNvPr>
        <xdr:cNvCxnSpPr/>
      </xdr:nvCxnSpPr>
      <xdr:spPr>
        <a:xfrm flipH="1">
          <a:off x="3645119" y="2421058"/>
          <a:ext cx="144716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28575</xdr:colOff>
      <xdr:row>10</xdr:row>
      <xdr:rowOff>6350</xdr:rowOff>
    </xdr:from>
    <xdr:to>
      <xdr:col>22</xdr:col>
      <xdr:colOff>28576</xdr:colOff>
      <xdr:row>13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2A7554C-955A-4ACA-8249-14C1A1FBE1CB}"/>
            </a:ext>
          </a:extLst>
        </xdr:cNvPr>
        <xdr:cNvCxnSpPr/>
      </xdr:nvCxnSpPr>
      <xdr:spPr>
        <a:xfrm flipH="1">
          <a:off x="3648075" y="2414270"/>
          <a:ext cx="1" cy="35941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9525</xdr:colOff>
      <xdr:row>9</xdr:row>
      <xdr:rowOff>0</xdr:rowOff>
    </xdr:from>
    <xdr:to>
      <xdr:col>52</xdr:col>
      <xdr:colOff>9525</xdr:colOff>
      <xdr:row>12</xdr:row>
      <xdr:rowOff>114300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8FC3CAC-AD55-4536-BB9A-570EBA28BB60}"/>
            </a:ext>
          </a:extLst>
        </xdr:cNvPr>
        <xdr:cNvCxnSpPr/>
      </xdr:nvCxnSpPr>
      <xdr:spPr>
        <a:xfrm>
          <a:off x="8475345" y="2286000"/>
          <a:ext cx="0" cy="4800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190500</xdr:colOff>
      <xdr:row>16</xdr:row>
      <xdr:rowOff>180975</xdr:rowOff>
    </xdr:from>
    <xdr:to>
      <xdr:col>51</xdr:col>
      <xdr:colOff>190500</xdr:colOff>
      <xdr:row>23</xdr:row>
      <xdr:rowOff>9525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898E5C4-18B8-457B-92DC-772146FCF3E7}"/>
            </a:ext>
          </a:extLst>
        </xdr:cNvPr>
        <xdr:cNvCxnSpPr/>
      </xdr:nvCxnSpPr>
      <xdr:spPr>
        <a:xfrm>
          <a:off x="8427720" y="3937635"/>
          <a:ext cx="0" cy="7505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209550</xdr:colOff>
      <xdr:row>63</xdr:row>
      <xdr:rowOff>0</xdr:rowOff>
    </xdr:from>
    <xdr:to>
      <xdr:col>51</xdr:col>
      <xdr:colOff>209550</xdr:colOff>
      <xdr:row>66</xdr:row>
      <xdr:rowOff>121583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5C4D1F1-42DD-4D53-B5F3-64EBDEA71E53}"/>
            </a:ext>
          </a:extLst>
        </xdr:cNvPr>
        <xdr:cNvCxnSpPr/>
      </xdr:nvCxnSpPr>
      <xdr:spPr>
        <a:xfrm>
          <a:off x="8446770" y="13075920"/>
          <a:ext cx="0" cy="48734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224117</xdr:colOff>
      <xdr:row>16</xdr:row>
      <xdr:rowOff>188255</xdr:rowOff>
    </xdr:from>
    <xdr:to>
      <xdr:col>21</xdr:col>
      <xdr:colOff>224118</xdr:colOff>
      <xdr:row>19</xdr:row>
      <xdr:rowOff>116542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B996357-4530-4776-BE84-9FC9EE783A1D}"/>
            </a:ext>
          </a:extLst>
        </xdr:cNvPr>
        <xdr:cNvCxnSpPr/>
      </xdr:nvCxnSpPr>
      <xdr:spPr>
        <a:xfrm flipH="1">
          <a:off x="3615017" y="3944915"/>
          <a:ext cx="1" cy="36262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8965</xdr:colOff>
      <xdr:row>20</xdr:row>
      <xdr:rowOff>0</xdr:rowOff>
    </xdr:from>
    <xdr:to>
      <xdr:col>22</xdr:col>
      <xdr:colOff>6538</xdr:colOff>
      <xdr:row>20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3DCA7FE-CE9F-4568-AD9E-6FFCB8ECDC11}"/>
            </a:ext>
          </a:extLst>
        </xdr:cNvPr>
        <xdr:cNvCxnSpPr/>
      </xdr:nvCxnSpPr>
      <xdr:spPr>
        <a:xfrm flipH="1">
          <a:off x="2820745" y="4312920"/>
          <a:ext cx="805293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8965</xdr:colOff>
      <xdr:row>37</xdr:row>
      <xdr:rowOff>80682</xdr:rowOff>
    </xdr:from>
    <xdr:to>
      <xdr:col>42</xdr:col>
      <xdr:colOff>2987</xdr:colOff>
      <xdr:row>37</xdr:row>
      <xdr:rowOff>83671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C5D7F0FF-9FD7-4ECE-BF39-6017F05B04CC}"/>
            </a:ext>
          </a:extLst>
        </xdr:cNvPr>
        <xdr:cNvCxnSpPr/>
      </xdr:nvCxnSpPr>
      <xdr:spPr>
        <a:xfrm flipH="1" flipV="1">
          <a:off x="2805953" y="7951694"/>
          <a:ext cx="4180540" cy="298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17930</xdr:colOff>
      <xdr:row>37</xdr:row>
      <xdr:rowOff>68730</xdr:rowOff>
    </xdr:from>
    <xdr:to>
      <xdr:col>42</xdr:col>
      <xdr:colOff>17930</xdr:colOff>
      <xdr:row>41</xdr:row>
      <xdr:rowOff>3361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DD2742F3-29E8-43F4-A643-70CFACC8E24B}"/>
            </a:ext>
          </a:extLst>
        </xdr:cNvPr>
        <xdr:cNvCxnSpPr/>
      </xdr:nvCxnSpPr>
      <xdr:spPr>
        <a:xfrm>
          <a:off x="6868310" y="7917330"/>
          <a:ext cx="0" cy="42231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188259</xdr:colOff>
      <xdr:row>19</xdr:row>
      <xdr:rowOff>62754</xdr:rowOff>
    </xdr:from>
    <xdr:to>
      <xdr:col>67</xdr:col>
      <xdr:colOff>26895</xdr:colOff>
      <xdr:row>19</xdr:row>
      <xdr:rowOff>71718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B12DAF9B-BAE1-482B-A1C1-14D01DEA9673}"/>
            </a:ext>
          </a:extLst>
        </xdr:cNvPr>
        <xdr:cNvCxnSpPr/>
      </xdr:nvCxnSpPr>
      <xdr:spPr>
        <a:xfrm flipH="1" flipV="1">
          <a:off x="8425479" y="4253754"/>
          <a:ext cx="2490396" cy="896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8965</xdr:colOff>
      <xdr:row>19</xdr:row>
      <xdr:rowOff>80683</xdr:rowOff>
    </xdr:from>
    <xdr:to>
      <xdr:col>67</xdr:col>
      <xdr:colOff>8965</xdr:colOff>
      <xdr:row>37</xdr:row>
      <xdr:rowOff>116541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86566AEC-39B4-4DFE-8E62-A94D84B171B2}"/>
            </a:ext>
          </a:extLst>
        </xdr:cNvPr>
        <xdr:cNvCxnSpPr/>
      </xdr:nvCxnSpPr>
      <xdr:spPr>
        <a:xfrm>
          <a:off x="10897945" y="4271683"/>
          <a:ext cx="0" cy="369345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35858</xdr:colOff>
      <xdr:row>37</xdr:row>
      <xdr:rowOff>116541</xdr:rowOff>
    </xdr:from>
    <xdr:to>
      <xdr:col>66</xdr:col>
      <xdr:colOff>60512</xdr:colOff>
      <xdr:row>37</xdr:row>
      <xdr:rowOff>116541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9F012B1B-6A5F-42BC-B4D3-D555571D9CA3}"/>
            </a:ext>
          </a:extLst>
        </xdr:cNvPr>
        <xdr:cNvCxnSpPr/>
      </xdr:nvCxnSpPr>
      <xdr:spPr>
        <a:xfrm flipH="1">
          <a:off x="10117118" y="7965141"/>
          <a:ext cx="771414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26894</xdr:colOff>
      <xdr:row>37</xdr:row>
      <xdr:rowOff>89647</xdr:rowOff>
    </xdr:from>
    <xdr:to>
      <xdr:col>62</xdr:col>
      <xdr:colOff>26894</xdr:colOff>
      <xdr:row>41</xdr:row>
      <xdr:rowOff>21291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EB90889C-821D-486C-A26B-7B9BEAEB2171}"/>
            </a:ext>
          </a:extLst>
        </xdr:cNvPr>
        <xdr:cNvCxnSpPr/>
      </xdr:nvCxnSpPr>
      <xdr:spPr>
        <a:xfrm>
          <a:off x="10108154" y="7938247"/>
          <a:ext cx="0" cy="41932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107573</xdr:colOff>
      <xdr:row>27</xdr:row>
      <xdr:rowOff>0</xdr:rowOff>
    </xdr:from>
    <xdr:to>
      <xdr:col>51</xdr:col>
      <xdr:colOff>107574</xdr:colOff>
      <xdr:row>29</xdr:row>
      <xdr:rowOff>116546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4A60CB3F-E19A-41E8-9EFC-C09FDBB292A4}"/>
            </a:ext>
          </a:extLst>
        </xdr:cNvPr>
        <xdr:cNvCxnSpPr/>
      </xdr:nvCxnSpPr>
      <xdr:spPr>
        <a:xfrm flipH="1">
          <a:off x="8344793" y="5943600"/>
          <a:ext cx="1" cy="36038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233082</xdr:colOff>
      <xdr:row>29</xdr:row>
      <xdr:rowOff>98611</xdr:rowOff>
    </xdr:from>
    <xdr:to>
      <xdr:col>51</xdr:col>
      <xdr:colOff>108356</xdr:colOff>
      <xdr:row>29</xdr:row>
      <xdr:rowOff>107577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32C0B5A9-1519-4C5F-BF8E-3255E7FDD76B}"/>
            </a:ext>
          </a:extLst>
        </xdr:cNvPr>
        <xdr:cNvCxnSpPr/>
      </xdr:nvCxnSpPr>
      <xdr:spPr>
        <a:xfrm flipV="1">
          <a:off x="6847242" y="6286051"/>
          <a:ext cx="1498334" cy="896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233081</xdr:colOff>
      <xdr:row>29</xdr:row>
      <xdr:rowOff>98612</xdr:rowOff>
    </xdr:from>
    <xdr:to>
      <xdr:col>41</xdr:col>
      <xdr:colOff>233082</xdr:colOff>
      <xdr:row>31</xdr:row>
      <xdr:rowOff>21290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9FAA4997-276E-49A7-BBC5-0A075EC7431A}"/>
            </a:ext>
          </a:extLst>
        </xdr:cNvPr>
        <xdr:cNvCxnSpPr/>
      </xdr:nvCxnSpPr>
      <xdr:spPr>
        <a:xfrm>
          <a:off x="6847241" y="6286052"/>
          <a:ext cx="1" cy="16651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44823</xdr:colOff>
      <xdr:row>39</xdr:row>
      <xdr:rowOff>62753</xdr:rowOff>
    </xdr:from>
    <xdr:to>
      <xdr:col>32</xdr:col>
      <xdr:colOff>44823</xdr:colOff>
      <xdr:row>41</xdr:row>
      <xdr:rowOff>3362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F82F4FD-0655-4D49-A9EC-E2DD543BBA1F}"/>
            </a:ext>
          </a:extLst>
        </xdr:cNvPr>
        <xdr:cNvCxnSpPr/>
      </xdr:nvCxnSpPr>
      <xdr:spPr>
        <a:xfrm>
          <a:off x="5378823" y="8184777"/>
          <a:ext cx="0" cy="191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179293</xdr:colOff>
      <xdr:row>39</xdr:row>
      <xdr:rowOff>71717</xdr:rowOff>
    </xdr:from>
    <xdr:to>
      <xdr:col>32</xdr:col>
      <xdr:colOff>53788</xdr:colOff>
      <xdr:row>39</xdr:row>
      <xdr:rowOff>80681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97E0A4EA-DAAB-4B0E-A1F1-8B3527A83686}"/>
            </a:ext>
          </a:extLst>
        </xdr:cNvPr>
        <xdr:cNvCxnSpPr/>
      </xdr:nvCxnSpPr>
      <xdr:spPr>
        <a:xfrm flipH="1">
          <a:off x="3630705" y="8193741"/>
          <a:ext cx="1757083" cy="896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26894</xdr:colOff>
      <xdr:row>11</xdr:row>
      <xdr:rowOff>17929</xdr:rowOff>
    </xdr:from>
    <xdr:to>
      <xdr:col>27</xdr:col>
      <xdr:colOff>35859</xdr:colOff>
      <xdr:row>39</xdr:row>
      <xdr:rowOff>80682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A8BBF3BF-131F-4E9B-87D2-35E3F01085BD}"/>
            </a:ext>
          </a:extLst>
        </xdr:cNvPr>
        <xdr:cNvCxnSpPr/>
      </xdr:nvCxnSpPr>
      <xdr:spPr>
        <a:xfrm flipH="1">
          <a:off x="4536141" y="2545976"/>
          <a:ext cx="8965" cy="565673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17930</xdr:colOff>
      <xdr:row>10</xdr:row>
      <xdr:rowOff>116541</xdr:rowOff>
    </xdr:from>
    <xdr:to>
      <xdr:col>52</xdr:col>
      <xdr:colOff>17929</xdr:colOff>
      <xdr:row>11</xdr:row>
      <xdr:rowOff>17929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8C09EDA9-38F3-45F2-A497-BAD0518D913A}"/>
            </a:ext>
          </a:extLst>
        </xdr:cNvPr>
        <xdr:cNvCxnSpPr/>
      </xdr:nvCxnSpPr>
      <xdr:spPr>
        <a:xfrm flipH="1">
          <a:off x="4445150" y="2524461"/>
          <a:ext cx="4038599" cy="2330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182282</xdr:colOff>
      <xdr:row>39</xdr:row>
      <xdr:rowOff>76200</xdr:rowOff>
    </xdr:from>
    <xdr:to>
      <xdr:col>21</xdr:col>
      <xdr:colOff>182282</xdr:colOff>
      <xdr:row>41</xdr:row>
      <xdr:rowOff>15315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4D3F60C9-6133-4A71-8ED7-C630C6C48CA8}"/>
            </a:ext>
          </a:extLst>
        </xdr:cNvPr>
        <xdr:cNvCxnSpPr/>
      </xdr:nvCxnSpPr>
      <xdr:spPr>
        <a:xfrm>
          <a:off x="3573182" y="8168640"/>
          <a:ext cx="0" cy="18295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134470</xdr:colOff>
      <xdr:row>29</xdr:row>
      <xdr:rowOff>17930</xdr:rowOff>
    </xdr:from>
    <xdr:to>
      <xdr:col>31</xdr:col>
      <xdr:colOff>134470</xdr:colOff>
      <xdr:row>31</xdr:row>
      <xdr:rowOff>8964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CC37B015-8B84-4E0F-96D7-AC07FE3B7A3B}"/>
            </a:ext>
          </a:extLst>
        </xdr:cNvPr>
        <xdr:cNvCxnSpPr/>
      </xdr:nvCxnSpPr>
      <xdr:spPr>
        <a:xfrm>
          <a:off x="5140810" y="6205370"/>
          <a:ext cx="0" cy="23487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26894</xdr:colOff>
      <xdr:row>29</xdr:row>
      <xdr:rowOff>26894</xdr:rowOff>
    </xdr:from>
    <xdr:to>
      <xdr:col>31</xdr:col>
      <xdr:colOff>125507</xdr:colOff>
      <xdr:row>29</xdr:row>
      <xdr:rowOff>26895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D381B46-1338-4F51-AE87-553D2CA333E6}"/>
            </a:ext>
          </a:extLst>
        </xdr:cNvPr>
        <xdr:cNvCxnSpPr/>
      </xdr:nvCxnSpPr>
      <xdr:spPr>
        <a:xfrm flipH="1">
          <a:off x="2838674" y="6214334"/>
          <a:ext cx="2293173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26894</xdr:colOff>
      <xdr:row>19</xdr:row>
      <xdr:rowOff>116542</xdr:rowOff>
    </xdr:from>
    <xdr:to>
      <xdr:col>17</xdr:col>
      <xdr:colOff>26895</xdr:colOff>
      <xdr:row>29</xdr:row>
      <xdr:rowOff>35861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D3711C85-F2A1-4D48-A514-8BDC53D613BD}"/>
            </a:ext>
          </a:extLst>
        </xdr:cNvPr>
        <xdr:cNvCxnSpPr/>
      </xdr:nvCxnSpPr>
      <xdr:spPr>
        <a:xfrm>
          <a:off x="2838674" y="4307542"/>
          <a:ext cx="1" cy="191575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188259</xdr:colOff>
      <xdr:row>39</xdr:row>
      <xdr:rowOff>26894</xdr:rowOff>
    </xdr:from>
    <xdr:to>
      <xdr:col>52</xdr:col>
      <xdr:colOff>188259</xdr:colOff>
      <xdr:row>41</xdr:row>
      <xdr:rowOff>12327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23C4FEF0-D336-47A3-B0CB-6E08A6D19F9D}"/>
            </a:ext>
          </a:extLst>
        </xdr:cNvPr>
        <xdr:cNvCxnSpPr/>
      </xdr:nvCxnSpPr>
      <xdr:spPr>
        <a:xfrm>
          <a:off x="8654079" y="8119334"/>
          <a:ext cx="0" cy="22927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39</xdr:row>
      <xdr:rowOff>26894</xdr:rowOff>
    </xdr:from>
    <xdr:to>
      <xdr:col>52</xdr:col>
      <xdr:colOff>197223</xdr:colOff>
      <xdr:row>39</xdr:row>
      <xdr:rowOff>26894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63D9BF2-BE2C-4A3E-9862-EB84EF6DEA12}"/>
            </a:ext>
          </a:extLst>
        </xdr:cNvPr>
        <xdr:cNvCxnSpPr/>
      </xdr:nvCxnSpPr>
      <xdr:spPr>
        <a:xfrm flipH="1">
          <a:off x="7745506" y="8148918"/>
          <a:ext cx="1084729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21</xdr:row>
      <xdr:rowOff>71718</xdr:rowOff>
    </xdr:from>
    <xdr:to>
      <xdr:col>46</xdr:col>
      <xdr:colOff>8964</xdr:colOff>
      <xdr:row>39</xdr:row>
      <xdr:rowOff>34366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CDD4FFFC-5782-4FCD-9AE0-BE3F1D475A4B}"/>
            </a:ext>
          </a:extLst>
        </xdr:cNvPr>
        <xdr:cNvCxnSpPr/>
      </xdr:nvCxnSpPr>
      <xdr:spPr>
        <a:xfrm>
          <a:off x="7745506" y="4518212"/>
          <a:ext cx="8964" cy="363817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62753</xdr:colOff>
      <xdr:row>47</xdr:row>
      <xdr:rowOff>0</xdr:rowOff>
    </xdr:from>
    <xdr:to>
      <xdr:col>12</xdr:col>
      <xdr:colOff>62753</xdr:colOff>
      <xdr:row>48</xdr:row>
      <xdr:rowOff>116540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67A75702-14F9-4231-B931-0CC58EC35A20}"/>
            </a:ext>
          </a:extLst>
        </xdr:cNvPr>
        <xdr:cNvCxnSpPr/>
      </xdr:nvCxnSpPr>
      <xdr:spPr>
        <a:xfrm>
          <a:off x="2066813" y="9753600"/>
          <a:ext cx="0" cy="2384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53788</xdr:colOff>
      <xdr:row>47</xdr:row>
      <xdr:rowOff>8965</xdr:rowOff>
    </xdr:from>
    <xdr:to>
      <xdr:col>17</xdr:col>
      <xdr:colOff>53788</xdr:colOff>
      <xdr:row>47</xdr:row>
      <xdr:rowOff>8965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76F1E070-8CF2-45CD-A7B6-2F9BA9ED1573}"/>
            </a:ext>
          </a:extLst>
        </xdr:cNvPr>
        <xdr:cNvCxnSpPr/>
      </xdr:nvCxnSpPr>
      <xdr:spPr>
        <a:xfrm flipH="1">
          <a:off x="2057848" y="9762565"/>
          <a:ext cx="807720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53788</xdr:colOff>
      <xdr:row>36</xdr:row>
      <xdr:rowOff>35859</xdr:rowOff>
    </xdr:from>
    <xdr:to>
      <xdr:col>17</xdr:col>
      <xdr:colOff>53788</xdr:colOff>
      <xdr:row>47</xdr:row>
      <xdr:rowOff>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5A5D98DA-5C4D-4E5C-928F-5481D7BECF40}"/>
            </a:ext>
          </a:extLst>
        </xdr:cNvPr>
        <xdr:cNvCxnSpPr/>
      </xdr:nvCxnSpPr>
      <xdr:spPr>
        <a:xfrm>
          <a:off x="2913529" y="7781365"/>
          <a:ext cx="0" cy="200809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224117</xdr:colOff>
      <xdr:row>55</xdr:row>
      <xdr:rowOff>62753</xdr:rowOff>
    </xdr:from>
    <xdr:to>
      <xdr:col>46</xdr:col>
      <xdr:colOff>8965</xdr:colOff>
      <xdr:row>55</xdr:row>
      <xdr:rowOff>62753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BB8F732-06CD-45B9-A4C5-AB99AB7311B8}"/>
            </a:ext>
          </a:extLst>
        </xdr:cNvPr>
        <xdr:cNvCxnSpPr/>
      </xdr:nvCxnSpPr>
      <xdr:spPr>
        <a:xfrm flipH="1">
          <a:off x="3675529" y="11519647"/>
          <a:ext cx="4078942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224117</xdr:colOff>
      <xdr:row>55</xdr:row>
      <xdr:rowOff>53788</xdr:rowOff>
    </xdr:from>
    <xdr:to>
      <xdr:col>21</xdr:col>
      <xdr:colOff>224118</xdr:colOff>
      <xdr:row>58</xdr:row>
      <xdr:rowOff>119901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732A37F3-ACF3-4A8E-9291-EE07267E6CED}"/>
            </a:ext>
          </a:extLst>
        </xdr:cNvPr>
        <xdr:cNvCxnSpPr/>
      </xdr:nvCxnSpPr>
      <xdr:spPr>
        <a:xfrm>
          <a:off x="3615017" y="11468548"/>
          <a:ext cx="1" cy="43187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21</xdr:row>
      <xdr:rowOff>89646</xdr:rowOff>
    </xdr:from>
    <xdr:to>
      <xdr:col>42</xdr:col>
      <xdr:colOff>1</xdr:colOff>
      <xdr:row>23</xdr:row>
      <xdr:rowOff>12324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FBE5C968-CAE5-4794-8F91-873ABB53B3DF}"/>
            </a:ext>
          </a:extLst>
        </xdr:cNvPr>
        <xdr:cNvCxnSpPr/>
      </xdr:nvCxnSpPr>
      <xdr:spPr>
        <a:xfrm>
          <a:off x="6983506" y="4536140"/>
          <a:ext cx="1" cy="1736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21</xdr:row>
      <xdr:rowOff>89647</xdr:rowOff>
    </xdr:from>
    <xdr:to>
      <xdr:col>46</xdr:col>
      <xdr:colOff>0</xdr:colOff>
      <xdr:row>21</xdr:row>
      <xdr:rowOff>89647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92D523-D97A-470E-ACBF-8972E4CF9D37}"/>
            </a:ext>
          </a:extLst>
        </xdr:cNvPr>
        <xdr:cNvCxnSpPr/>
      </xdr:nvCxnSpPr>
      <xdr:spPr>
        <a:xfrm flipH="1">
          <a:off x="5334000" y="4536141"/>
          <a:ext cx="241150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17929</xdr:colOff>
      <xdr:row>17</xdr:row>
      <xdr:rowOff>8964</xdr:rowOff>
    </xdr:from>
    <xdr:to>
      <xdr:col>32</xdr:col>
      <xdr:colOff>17929</xdr:colOff>
      <xdr:row>21</xdr:row>
      <xdr:rowOff>89647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5A97700E-5CD2-4760-8135-EE7566821F4A}"/>
            </a:ext>
          </a:extLst>
        </xdr:cNvPr>
        <xdr:cNvCxnSpPr/>
      </xdr:nvCxnSpPr>
      <xdr:spPr>
        <a:xfrm>
          <a:off x="5351929" y="3953435"/>
          <a:ext cx="0" cy="58270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188258</xdr:colOff>
      <xdr:row>28</xdr:row>
      <xdr:rowOff>71717</xdr:rowOff>
    </xdr:from>
    <xdr:to>
      <xdr:col>10</xdr:col>
      <xdr:colOff>188258</xdr:colOff>
      <xdr:row>31</xdr:row>
      <xdr:rowOff>8963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53BA1987-9936-4B0C-A10D-25CD42DBE883}"/>
            </a:ext>
          </a:extLst>
        </xdr:cNvPr>
        <xdr:cNvCxnSpPr/>
      </xdr:nvCxnSpPr>
      <xdr:spPr>
        <a:xfrm>
          <a:off x="1757082" y="6149788"/>
          <a:ext cx="0" cy="31376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179293</xdr:colOff>
      <xdr:row>28</xdr:row>
      <xdr:rowOff>80682</xdr:rowOff>
    </xdr:from>
    <xdr:to>
      <xdr:col>22</xdr:col>
      <xdr:colOff>53788</xdr:colOff>
      <xdr:row>28</xdr:row>
      <xdr:rowOff>81241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5FC782C5-AC1E-4BC8-B0C7-1BC14E939FC9}"/>
            </a:ext>
          </a:extLst>
        </xdr:cNvPr>
        <xdr:cNvCxnSpPr/>
      </xdr:nvCxnSpPr>
      <xdr:spPr>
        <a:xfrm flipV="1">
          <a:off x="1748117" y="6158753"/>
          <a:ext cx="1990165" cy="55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53788</xdr:colOff>
      <xdr:row>26</xdr:row>
      <xdr:rowOff>268941</xdr:rowOff>
    </xdr:from>
    <xdr:to>
      <xdr:col>22</xdr:col>
      <xdr:colOff>59615</xdr:colOff>
      <xdr:row>28</xdr:row>
      <xdr:rowOff>91443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7AC2154-D0E5-4050-BC77-BB67F8535036}"/>
            </a:ext>
          </a:extLst>
        </xdr:cNvPr>
        <xdr:cNvCxnSpPr/>
      </xdr:nvCxnSpPr>
      <xdr:spPr>
        <a:xfrm>
          <a:off x="3738282" y="5943600"/>
          <a:ext cx="5827" cy="22591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26894</xdr:colOff>
      <xdr:row>29</xdr:row>
      <xdr:rowOff>80682</xdr:rowOff>
    </xdr:from>
    <xdr:to>
      <xdr:col>53</xdr:col>
      <xdr:colOff>26895</xdr:colOff>
      <xdr:row>31</xdr:row>
      <xdr:rowOff>3360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83EB9FF2-287A-49FF-A039-D9CE74137ABF}"/>
            </a:ext>
          </a:extLst>
        </xdr:cNvPr>
        <xdr:cNvCxnSpPr/>
      </xdr:nvCxnSpPr>
      <xdr:spPr>
        <a:xfrm>
          <a:off x="8892988" y="6284258"/>
          <a:ext cx="1" cy="1736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17929</xdr:colOff>
      <xdr:row>29</xdr:row>
      <xdr:rowOff>80683</xdr:rowOff>
    </xdr:from>
    <xdr:to>
      <xdr:col>58</xdr:col>
      <xdr:colOff>8964</xdr:colOff>
      <xdr:row>29</xdr:row>
      <xdr:rowOff>80684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11E11FDA-F618-41C1-9708-B06BAEAC329A}"/>
            </a:ext>
          </a:extLst>
        </xdr:cNvPr>
        <xdr:cNvCxnSpPr/>
      </xdr:nvCxnSpPr>
      <xdr:spPr>
        <a:xfrm flipV="1">
          <a:off x="8884023" y="6284259"/>
          <a:ext cx="645459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53788</xdr:colOff>
      <xdr:row>19</xdr:row>
      <xdr:rowOff>80683</xdr:rowOff>
    </xdr:from>
    <xdr:to>
      <xdr:col>58</xdr:col>
      <xdr:colOff>6723</xdr:colOff>
      <xdr:row>29</xdr:row>
      <xdr:rowOff>90768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884CB7-2D1D-4B33-BBC5-73C151657CE9}"/>
            </a:ext>
          </a:extLst>
        </xdr:cNvPr>
        <xdr:cNvCxnSpPr/>
      </xdr:nvCxnSpPr>
      <xdr:spPr>
        <a:xfrm>
          <a:off x="9511553" y="4276165"/>
          <a:ext cx="15688" cy="201817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17929</xdr:colOff>
      <xdr:row>10</xdr:row>
      <xdr:rowOff>89647</xdr:rowOff>
    </xdr:from>
    <xdr:to>
      <xdr:col>16</xdr:col>
      <xdr:colOff>17930</xdr:colOff>
      <xdr:row>37</xdr:row>
      <xdr:rowOff>79189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CFF561E9-DAF7-4055-9FED-A5BDD3B5CDB9}"/>
            </a:ext>
          </a:extLst>
        </xdr:cNvPr>
        <xdr:cNvCxnSpPr/>
      </xdr:nvCxnSpPr>
      <xdr:spPr>
        <a:xfrm flipH="1">
          <a:off x="2814917" y="2492188"/>
          <a:ext cx="1" cy="545801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8965</xdr:colOff>
      <xdr:row>10</xdr:row>
      <xdr:rowOff>80683</xdr:rowOff>
    </xdr:from>
    <xdr:to>
      <xdr:col>16</xdr:col>
      <xdr:colOff>24467</xdr:colOff>
      <xdr:row>10</xdr:row>
      <xdr:rowOff>80683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DDAB5C75-4649-4070-92DF-4205E1226B03}"/>
            </a:ext>
          </a:extLst>
        </xdr:cNvPr>
        <xdr:cNvCxnSpPr/>
      </xdr:nvCxnSpPr>
      <xdr:spPr>
        <a:xfrm flipH="1">
          <a:off x="2043953" y="2483224"/>
          <a:ext cx="777502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17930</xdr:colOff>
      <xdr:row>9</xdr:row>
      <xdr:rowOff>8965</xdr:rowOff>
    </xdr:from>
    <xdr:to>
      <xdr:col>12</xdr:col>
      <xdr:colOff>17930</xdr:colOff>
      <xdr:row>10</xdr:row>
      <xdr:rowOff>80683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6D12C120-BBA3-42CD-8542-3B28C4C3759E}"/>
            </a:ext>
          </a:extLst>
        </xdr:cNvPr>
        <xdr:cNvCxnSpPr/>
      </xdr:nvCxnSpPr>
      <xdr:spPr>
        <a:xfrm>
          <a:off x="2052918" y="2286000"/>
          <a:ext cx="0" cy="19722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44824</xdr:colOff>
      <xdr:row>36</xdr:row>
      <xdr:rowOff>44824</xdr:rowOff>
    </xdr:from>
    <xdr:to>
      <xdr:col>23</xdr:col>
      <xdr:colOff>71718</xdr:colOff>
      <xdr:row>36</xdr:row>
      <xdr:rowOff>44824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6A5B6294-B03C-4128-B9E2-393C30D1CE07}"/>
            </a:ext>
          </a:extLst>
        </xdr:cNvPr>
        <xdr:cNvCxnSpPr/>
      </xdr:nvCxnSpPr>
      <xdr:spPr>
        <a:xfrm flipH="1">
          <a:off x="2904565" y="7790330"/>
          <a:ext cx="1084729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62753</xdr:colOff>
      <xdr:row>35</xdr:row>
      <xdr:rowOff>0</xdr:rowOff>
    </xdr:from>
    <xdr:to>
      <xdr:col>23</xdr:col>
      <xdr:colOff>62753</xdr:colOff>
      <xdr:row>36</xdr:row>
      <xdr:rowOff>44823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9E14886C-95B3-4C5F-81BA-000D599F3B8E}"/>
            </a:ext>
          </a:extLst>
        </xdr:cNvPr>
        <xdr:cNvCxnSpPr/>
      </xdr:nvCxnSpPr>
      <xdr:spPr>
        <a:xfrm>
          <a:off x="3980329" y="7620000"/>
          <a:ext cx="0" cy="17032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35859</xdr:colOff>
      <xdr:row>36</xdr:row>
      <xdr:rowOff>17929</xdr:rowOff>
    </xdr:from>
    <xdr:to>
      <xdr:col>46</xdr:col>
      <xdr:colOff>0</xdr:colOff>
      <xdr:row>55</xdr:row>
      <xdr:rowOff>62757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5A11E822-2637-4B26-A1D5-0B39E69CB36B}"/>
            </a:ext>
          </a:extLst>
        </xdr:cNvPr>
        <xdr:cNvCxnSpPr/>
      </xdr:nvCxnSpPr>
      <xdr:spPr>
        <a:xfrm>
          <a:off x="7718612" y="7763435"/>
          <a:ext cx="26894" cy="375621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188258</xdr:colOff>
      <xdr:row>36</xdr:row>
      <xdr:rowOff>17929</xdr:rowOff>
    </xdr:from>
    <xdr:to>
      <xdr:col>45</xdr:col>
      <xdr:colOff>42583</xdr:colOff>
      <xdr:row>36</xdr:row>
      <xdr:rowOff>17929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B52E5A8-FCEE-4FEC-A26E-82E0EBFA91F9}"/>
            </a:ext>
          </a:extLst>
        </xdr:cNvPr>
        <xdr:cNvCxnSpPr/>
      </xdr:nvCxnSpPr>
      <xdr:spPr>
        <a:xfrm flipH="1">
          <a:off x="6938682" y="7763435"/>
          <a:ext cx="786654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197223</xdr:colOff>
      <xdr:row>35</xdr:row>
      <xdr:rowOff>8964</xdr:rowOff>
    </xdr:from>
    <xdr:to>
      <xdr:col>41</xdr:col>
      <xdr:colOff>197223</xdr:colOff>
      <xdr:row>36</xdr:row>
      <xdr:rowOff>17929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3F780DBA-2319-4395-9F7C-671CBB68B347}"/>
            </a:ext>
          </a:extLst>
        </xdr:cNvPr>
        <xdr:cNvCxnSpPr/>
      </xdr:nvCxnSpPr>
      <xdr:spPr>
        <a:xfrm>
          <a:off x="6947647" y="7628964"/>
          <a:ext cx="0" cy="13447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206188</xdr:colOff>
      <xdr:row>56</xdr:row>
      <xdr:rowOff>89647</xdr:rowOff>
    </xdr:from>
    <xdr:to>
      <xdr:col>41</xdr:col>
      <xdr:colOff>207533</xdr:colOff>
      <xdr:row>59</xdr:row>
      <xdr:rowOff>7842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CD375941-610D-4F96-992A-4ED96497A056}"/>
            </a:ext>
          </a:extLst>
        </xdr:cNvPr>
        <xdr:cNvCxnSpPr/>
      </xdr:nvCxnSpPr>
      <xdr:spPr>
        <a:xfrm>
          <a:off x="6956612" y="11672047"/>
          <a:ext cx="1345" cy="29471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44824</xdr:colOff>
      <xdr:row>56</xdr:row>
      <xdr:rowOff>98612</xdr:rowOff>
    </xdr:from>
    <xdr:to>
      <xdr:col>41</xdr:col>
      <xdr:colOff>224117</xdr:colOff>
      <xdr:row>56</xdr:row>
      <xdr:rowOff>98612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03CB3FB-A75E-490E-B213-2E9246CEA15A}"/>
            </a:ext>
          </a:extLst>
        </xdr:cNvPr>
        <xdr:cNvCxnSpPr/>
      </xdr:nvCxnSpPr>
      <xdr:spPr>
        <a:xfrm flipH="1">
          <a:off x="6140824" y="11681012"/>
          <a:ext cx="833717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44823</xdr:colOff>
      <xdr:row>46</xdr:row>
      <xdr:rowOff>98612</xdr:rowOff>
    </xdr:from>
    <xdr:to>
      <xdr:col>36</xdr:col>
      <xdr:colOff>53788</xdr:colOff>
      <xdr:row>64</xdr:row>
      <xdr:rowOff>116541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C74CD161-ECDF-4868-B54C-ECDC2CB42BBB}"/>
            </a:ext>
          </a:extLst>
        </xdr:cNvPr>
        <xdr:cNvCxnSpPr/>
      </xdr:nvCxnSpPr>
      <xdr:spPr>
        <a:xfrm>
          <a:off x="6140823" y="9762565"/>
          <a:ext cx="8965" cy="360381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8965</xdr:colOff>
      <xdr:row>46</xdr:row>
      <xdr:rowOff>107576</xdr:rowOff>
    </xdr:from>
    <xdr:to>
      <xdr:col>36</xdr:col>
      <xdr:colOff>53788</xdr:colOff>
      <xdr:row>46</xdr:row>
      <xdr:rowOff>107576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A2D868E6-FCB4-4860-8EEA-18023C16963C}"/>
            </a:ext>
          </a:extLst>
        </xdr:cNvPr>
        <xdr:cNvCxnSpPr/>
      </xdr:nvCxnSpPr>
      <xdr:spPr>
        <a:xfrm flipH="1">
          <a:off x="4518212" y="9771529"/>
          <a:ext cx="163157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45</xdr:row>
      <xdr:rowOff>8964</xdr:rowOff>
    </xdr:from>
    <xdr:to>
      <xdr:col>32</xdr:col>
      <xdr:colOff>0</xdr:colOff>
      <xdr:row>46</xdr:row>
      <xdr:rowOff>107576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B431F0A-C7C3-4C67-A6D3-5FBE49279701}"/>
            </a:ext>
          </a:extLst>
        </xdr:cNvPr>
        <xdr:cNvCxnSpPr/>
      </xdr:nvCxnSpPr>
      <xdr:spPr>
        <a:xfrm>
          <a:off x="5334000" y="9547411"/>
          <a:ext cx="0" cy="22411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64</xdr:row>
      <xdr:rowOff>107576</xdr:rowOff>
    </xdr:from>
    <xdr:to>
      <xdr:col>42</xdr:col>
      <xdr:colOff>8964</xdr:colOff>
      <xdr:row>64</xdr:row>
      <xdr:rowOff>107576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FC00F4F2-84C4-4A20-8935-944E6C76F350}"/>
            </a:ext>
          </a:extLst>
        </xdr:cNvPr>
        <xdr:cNvCxnSpPr/>
      </xdr:nvCxnSpPr>
      <xdr:spPr>
        <a:xfrm flipH="1">
          <a:off x="6158753" y="13357411"/>
          <a:ext cx="833717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224117</xdr:colOff>
      <xdr:row>64</xdr:row>
      <xdr:rowOff>107576</xdr:rowOff>
    </xdr:from>
    <xdr:to>
      <xdr:col>41</xdr:col>
      <xdr:colOff>225462</xdr:colOff>
      <xdr:row>67</xdr:row>
      <xdr:rowOff>25771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C434A80B-4EA7-46A3-B0F2-99E93626F9C0}"/>
            </a:ext>
          </a:extLst>
        </xdr:cNvPr>
        <xdr:cNvCxnSpPr/>
      </xdr:nvCxnSpPr>
      <xdr:spPr>
        <a:xfrm>
          <a:off x="6974541" y="13357411"/>
          <a:ext cx="1345" cy="29471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8964</xdr:colOff>
      <xdr:row>56</xdr:row>
      <xdr:rowOff>80682</xdr:rowOff>
    </xdr:from>
    <xdr:to>
      <xdr:col>32</xdr:col>
      <xdr:colOff>10309</xdr:colOff>
      <xdr:row>58</xdr:row>
      <xdr:rowOff>124383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5ADB624-B85D-4266-8631-11AD418FE94D}"/>
            </a:ext>
          </a:extLst>
        </xdr:cNvPr>
        <xdr:cNvCxnSpPr/>
      </xdr:nvCxnSpPr>
      <xdr:spPr>
        <a:xfrm>
          <a:off x="5342964" y="11663082"/>
          <a:ext cx="1345" cy="29471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56</xdr:row>
      <xdr:rowOff>80683</xdr:rowOff>
    </xdr:from>
    <xdr:to>
      <xdr:col>32</xdr:col>
      <xdr:colOff>8964</xdr:colOff>
      <xdr:row>56</xdr:row>
      <xdr:rowOff>80683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7E8E4D6-FBF7-4075-94E7-98C2E108FE6D}"/>
            </a:ext>
          </a:extLst>
        </xdr:cNvPr>
        <xdr:cNvCxnSpPr/>
      </xdr:nvCxnSpPr>
      <xdr:spPr>
        <a:xfrm flipH="1">
          <a:off x="4509247" y="11663083"/>
          <a:ext cx="833717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8965</xdr:colOff>
      <xdr:row>46</xdr:row>
      <xdr:rowOff>116542</xdr:rowOff>
    </xdr:from>
    <xdr:to>
      <xdr:col>27</xdr:col>
      <xdr:colOff>17929</xdr:colOff>
      <xdr:row>56</xdr:row>
      <xdr:rowOff>71717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4A59D6B-EB29-4C66-86A3-997737141D96}"/>
            </a:ext>
          </a:extLst>
        </xdr:cNvPr>
        <xdr:cNvCxnSpPr/>
      </xdr:nvCxnSpPr>
      <xdr:spPr>
        <a:xfrm flipH="1">
          <a:off x="4518212" y="9780495"/>
          <a:ext cx="8964" cy="187362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E100"/>
  <sheetViews>
    <sheetView zoomScaleNormal="100" zoomScaleSheetLayoutView="55" workbookViewId="0">
      <pane xSplit="2" topLeftCell="E1" activePane="topRight" state="frozen"/>
      <selection pane="topRight" activeCell="B2" sqref="B2:CA2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223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5" spans="2:135" ht="10.050000000000001" customHeight="1" thickBot="1" x14ac:dyDescent="0.35">
      <c r="B5" s="118" t="s">
        <v>0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121</v>
      </c>
      <c r="K6" s="25"/>
      <c r="L6" s="26"/>
      <c r="M6" s="38" t="s">
        <v>109</v>
      </c>
      <c r="N6" s="39"/>
      <c r="O6" s="40"/>
      <c r="P6" s="4"/>
      <c r="Q6" s="4"/>
      <c r="R6" s="4"/>
      <c r="S6" s="4"/>
      <c r="T6" s="24" t="s">
        <v>119</v>
      </c>
      <c r="U6" s="25"/>
      <c r="V6" s="26"/>
      <c r="W6" s="38" t="s">
        <v>109</v>
      </c>
      <c r="X6" s="39"/>
      <c r="Y6" s="40"/>
      <c r="Z6" s="4"/>
      <c r="AA6" s="4"/>
      <c r="AB6" s="4"/>
      <c r="AC6" s="4"/>
      <c r="AD6" s="24" t="s">
        <v>114</v>
      </c>
      <c r="AE6" s="25"/>
      <c r="AF6" s="26"/>
      <c r="AG6" s="38">
        <v>111</v>
      </c>
      <c r="AH6" s="39"/>
      <c r="AI6" s="40"/>
      <c r="AJ6" s="4"/>
      <c r="AK6" s="4"/>
      <c r="AL6" s="4"/>
      <c r="AM6" s="4"/>
      <c r="AN6" s="24" t="s">
        <v>90</v>
      </c>
      <c r="AO6" s="25"/>
      <c r="AP6" s="26"/>
      <c r="AQ6" s="27" t="s">
        <v>116</v>
      </c>
      <c r="AR6" s="28"/>
      <c r="AS6" s="29"/>
      <c r="AT6" s="4"/>
      <c r="AU6" s="4"/>
      <c r="AV6" s="4"/>
      <c r="AW6" s="4"/>
      <c r="AX6" s="24" t="s">
        <v>114</v>
      </c>
      <c r="AY6" s="25"/>
      <c r="AZ6" s="26"/>
      <c r="BA6" s="27" t="s">
        <v>115</v>
      </c>
      <c r="BB6" s="28"/>
      <c r="BC6" s="29"/>
      <c r="BD6" s="4"/>
      <c r="BE6" s="4"/>
      <c r="BF6" s="4"/>
      <c r="BG6" s="4"/>
      <c r="BH6" s="24" t="s">
        <v>19</v>
      </c>
      <c r="BI6" s="25"/>
      <c r="BJ6" s="26"/>
      <c r="BK6" s="27" t="s">
        <v>33</v>
      </c>
      <c r="BL6" s="28"/>
      <c r="BM6" s="29"/>
      <c r="BN6" s="4"/>
      <c r="BO6" s="4"/>
      <c r="BP6" s="4"/>
      <c r="BQ6" s="4"/>
      <c r="BR6" s="24" t="s">
        <v>162</v>
      </c>
      <c r="BS6" s="25"/>
      <c r="BT6" s="26"/>
      <c r="BU6" s="27" t="s">
        <v>169</v>
      </c>
      <c r="BV6" s="28"/>
      <c r="BW6" s="29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SUM(N8,X8,AH8,AR8,BB8,BL8,BV8)</f>
        <v>945</v>
      </c>
      <c r="H7" s="2"/>
      <c r="I7" s="2"/>
      <c r="J7" s="114" t="s">
        <v>21</v>
      </c>
      <c r="K7" s="115"/>
      <c r="L7" s="115"/>
      <c r="M7" s="115"/>
      <c r="N7" s="116"/>
      <c r="O7" s="117"/>
      <c r="P7" s="4"/>
      <c r="Q7" s="4"/>
      <c r="R7" s="4"/>
      <c r="S7" s="4"/>
      <c r="T7" s="114" t="s">
        <v>120</v>
      </c>
      <c r="U7" s="115"/>
      <c r="V7" s="115"/>
      <c r="W7" s="115"/>
      <c r="X7" s="116"/>
      <c r="Y7" s="117"/>
      <c r="Z7" s="4"/>
      <c r="AA7" s="4"/>
      <c r="AB7" s="4"/>
      <c r="AC7" s="4"/>
      <c r="AD7" s="30" t="s">
        <v>161</v>
      </c>
      <c r="AE7" s="31"/>
      <c r="AF7" s="31"/>
      <c r="AG7" s="31"/>
      <c r="AH7" s="32"/>
      <c r="AI7" s="33"/>
      <c r="AJ7" s="4"/>
      <c r="AK7" s="4"/>
      <c r="AL7" s="4"/>
      <c r="AM7" s="4"/>
      <c r="AN7" s="30" t="s">
        <v>118</v>
      </c>
      <c r="AO7" s="31"/>
      <c r="AP7" s="31"/>
      <c r="AQ7" s="31"/>
      <c r="AR7" s="32"/>
      <c r="AS7" s="33"/>
      <c r="AT7" s="4"/>
      <c r="AU7" s="4"/>
      <c r="AV7" s="4"/>
      <c r="AW7" s="4"/>
      <c r="AX7" s="30" t="s">
        <v>23</v>
      </c>
      <c r="AY7" s="31"/>
      <c r="AZ7" s="31"/>
      <c r="BA7" s="31"/>
      <c r="BB7" s="32"/>
      <c r="BC7" s="33"/>
      <c r="BD7" s="4"/>
      <c r="BE7" s="4"/>
      <c r="BF7" s="4"/>
      <c r="BG7" s="4"/>
      <c r="BH7" s="53" t="s">
        <v>32</v>
      </c>
      <c r="BI7" s="54"/>
      <c r="BJ7" s="54"/>
      <c r="BK7" s="54"/>
      <c r="BL7" s="55"/>
      <c r="BM7" s="56"/>
      <c r="BN7" s="4"/>
      <c r="BO7" s="4"/>
      <c r="BP7" s="4"/>
      <c r="BQ7" s="4"/>
      <c r="BR7" s="30" t="s">
        <v>163</v>
      </c>
      <c r="BS7" s="31"/>
      <c r="BT7" s="31"/>
      <c r="BU7" s="31"/>
      <c r="BV7" s="32"/>
      <c r="BW7" s="33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110">
        <v>2</v>
      </c>
      <c r="K8" s="111"/>
      <c r="L8" s="108">
        <v>2</v>
      </c>
      <c r="M8" s="111"/>
      <c r="N8" s="108">
        <v>90</v>
      </c>
      <c r="O8" s="109"/>
      <c r="P8" s="4"/>
      <c r="Q8" s="4"/>
      <c r="R8" s="4"/>
      <c r="S8" s="4"/>
      <c r="T8" s="110">
        <v>2</v>
      </c>
      <c r="U8" s="111"/>
      <c r="V8" s="108">
        <v>2</v>
      </c>
      <c r="W8" s="111"/>
      <c r="X8" s="108">
        <v>90</v>
      </c>
      <c r="Y8" s="109"/>
      <c r="Z8" s="4"/>
      <c r="AA8" s="4"/>
      <c r="AB8" s="4"/>
      <c r="AC8" s="4"/>
      <c r="AD8" s="34">
        <v>3</v>
      </c>
      <c r="AE8" s="35"/>
      <c r="AF8" s="36">
        <v>4</v>
      </c>
      <c r="AG8" s="35"/>
      <c r="AH8" s="36">
        <v>150</v>
      </c>
      <c r="AI8" s="37"/>
      <c r="AJ8" s="4"/>
      <c r="AK8" s="4"/>
      <c r="AL8" s="4"/>
      <c r="AM8" s="4"/>
      <c r="AN8" s="34">
        <v>3</v>
      </c>
      <c r="AO8" s="35"/>
      <c r="AP8" s="36">
        <v>4</v>
      </c>
      <c r="AQ8" s="35"/>
      <c r="AR8" s="36">
        <v>150</v>
      </c>
      <c r="AS8" s="37"/>
      <c r="AT8" s="4"/>
      <c r="AU8" s="4"/>
      <c r="AV8" s="4"/>
      <c r="AW8" s="4"/>
      <c r="AX8" s="34">
        <v>3</v>
      </c>
      <c r="AY8" s="35"/>
      <c r="AZ8" s="36">
        <v>4</v>
      </c>
      <c r="BA8" s="35"/>
      <c r="BB8" s="36">
        <v>150</v>
      </c>
      <c r="BC8" s="37"/>
      <c r="BD8" s="4"/>
      <c r="BE8" s="4"/>
      <c r="BF8" s="4"/>
      <c r="BG8" s="4"/>
      <c r="BH8" s="57">
        <v>3</v>
      </c>
      <c r="BI8" s="58"/>
      <c r="BJ8" s="59">
        <v>6</v>
      </c>
      <c r="BK8" s="58"/>
      <c r="BL8" s="59">
        <v>180</v>
      </c>
      <c r="BM8" s="91"/>
      <c r="BN8" s="4"/>
      <c r="BO8" s="4"/>
      <c r="BP8" s="4"/>
      <c r="BQ8" s="4"/>
      <c r="BR8" s="34">
        <v>2</v>
      </c>
      <c r="BS8" s="35"/>
      <c r="BT8" s="36">
        <v>5</v>
      </c>
      <c r="BU8" s="35"/>
      <c r="BV8" s="36">
        <v>135</v>
      </c>
      <c r="BW8" s="37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SUM(J8,T8,AD8,AN8,AX8,BH8,BR8)</f>
        <v>18</v>
      </c>
      <c r="F9" s="11">
        <f>SUM(J9:BW9)</f>
        <v>27</v>
      </c>
      <c r="G9" s="105"/>
      <c r="H9" s="2"/>
      <c r="I9" s="2"/>
      <c r="J9" s="112">
        <v>2</v>
      </c>
      <c r="K9" s="113"/>
      <c r="L9" s="106">
        <v>0</v>
      </c>
      <c r="M9" s="113"/>
      <c r="N9" s="106">
        <v>0</v>
      </c>
      <c r="O9" s="107"/>
      <c r="P9" s="4"/>
      <c r="Q9" s="4"/>
      <c r="R9" s="4"/>
      <c r="S9" s="4"/>
      <c r="T9" s="112">
        <v>2</v>
      </c>
      <c r="U9" s="113"/>
      <c r="V9" s="106">
        <v>0</v>
      </c>
      <c r="W9" s="113"/>
      <c r="X9" s="106">
        <v>0</v>
      </c>
      <c r="Y9" s="107"/>
      <c r="Z9" s="4"/>
      <c r="AA9" s="4"/>
      <c r="AB9" s="4"/>
      <c r="AC9" s="4"/>
      <c r="AD9" s="20">
        <v>3</v>
      </c>
      <c r="AE9" s="21"/>
      <c r="AF9" s="22">
        <v>1</v>
      </c>
      <c r="AG9" s="21"/>
      <c r="AH9" s="22">
        <v>0</v>
      </c>
      <c r="AI9" s="23"/>
      <c r="AJ9" s="4"/>
      <c r="AK9" s="4"/>
      <c r="AL9" s="4"/>
      <c r="AM9" s="4"/>
      <c r="AN9" s="20">
        <v>2</v>
      </c>
      <c r="AO9" s="21"/>
      <c r="AP9" s="22">
        <v>2</v>
      </c>
      <c r="AQ9" s="21"/>
      <c r="AR9" s="22">
        <v>0</v>
      </c>
      <c r="AS9" s="23"/>
      <c r="AT9" s="4"/>
      <c r="AU9" s="4"/>
      <c r="AV9" s="4"/>
      <c r="AW9" s="4"/>
      <c r="AX9" s="20">
        <v>2</v>
      </c>
      <c r="AY9" s="21"/>
      <c r="AZ9" s="22">
        <v>2</v>
      </c>
      <c r="BA9" s="21"/>
      <c r="BB9" s="22">
        <v>0</v>
      </c>
      <c r="BC9" s="23"/>
      <c r="BD9" s="4"/>
      <c r="BE9" s="4"/>
      <c r="BF9" s="4"/>
      <c r="BG9" s="4"/>
      <c r="BH9" s="92">
        <v>3</v>
      </c>
      <c r="BI9" s="93"/>
      <c r="BJ9" s="70">
        <v>3</v>
      </c>
      <c r="BK9" s="93"/>
      <c r="BL9" s="70">
        <v>0</v>
      </c>
      <c r="BM9" s="71"/>
      <c r="BN9" s="4"/>
      <c r="BO9" s="4"/>
      <c r="BP9" s="4"/>
      <c r="BQ9" s="4"/>
      <c r="BR9" s="20">
        <v>1</v>
      </c>
      <c r="BS9" s="21"/>
      <c r="BT9" s="22">
        <v>2</v>
      </c>
      <c r="BU9" s="21"/>
      <c r="BV9" s="22">
        <v>2</v>
      </c>
      <c r="BW9" s="23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122</v>
      </c>
      <c r="K14" s="25"/>
      <c r="L14" s="26"/>
      <c r="M14" s="38" t="s">
        <v>109</v>
      </c>
      <c r="N14" s="39"/>
      <c r="O14" s="40"/>
      <c r="P14" s="4"/>
      <c r="Q14" s="4"/>
      <c r="R14" s="4"/>
      <c r="S14" s="4"/>
      <c r="T14" s="24" t="s">
        <v>114</v>
      </c>
      <c r="U14" s="25"/>
      <c r="V14" s="26"/>
      <c r="W14" s="38">
        <v>114</v>
      </c>
      <c r="X14" s="39"/>
      <c r="Y14" s="40"/>
      <c r="Z14" s="4"/>
      <c r="AA14" s="4"/>
      <c r="AB14" s="4"/>
      <c r="AC14" s="4"/>
      <c r="AD14" s="24" t="s">
        <v>114</v>
      </c>
      <c r="AE14" s="25"/>
      <c r="AF14" s="26"/>
      <c r="AG14" s="38">
        <v>131</v>
      </c>
      <c r="AH14" s="39"/>
      <c r="AI14" s="40"/>
      <c r="AJ14" s="4"/>
      <c r="AK14" s="4"/>
      <c r="AL14" s="4"/>
      <c r="AM14" s="4"/>
      <c r="AN14" s="24" t="s">
        <v>90</v>
      </c>
      <c r="AO14" s="25"/>
      <c r="AP14" s="26"/>
      <c r="AQ14" s="27" t="s">
        <v>164</v>
      </c>
      <c r="AR14" s="28"/>
      <c r="AS14" s="29"/>
      <c r="AT14" s="4"/>
      <c r="AU14" s="4"/>
      <c r="AV14" s="4"/>
      <c r="AW14" s="4"/>
      <c r="AX14" s="24" t="s">
        <v>19</v>
      </c>
      <c r="AY14" s="25"/>
      <c r="AZ14" s="26"/>
      <c r="BA14" s="38">
        <v>113</v>
      </c>
      <c r="BB14" s="39"/>
      <c r="BC14" s="40"/>
      <c r="BD14" s="4"/>
      <c r="BE14" s="4"/>
      <c r="BF14" s="4"/>
      <c r="BG14" s="4"/>
      <c r="BH14" s="24" t="s">
        <v>19</v>
      </c>
      <c r="BI14" s="25"/>
      <c r="BJ14" s="26"/>
      <c r="BK14" s="27" t="s">
        <v>35</v>
      </c>
      <c r="BL14" s="28"/>
      <c r="BM14" s="29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900</v>
      </c>
      <c r="H15" s="2"/>
      <c r="I15" s="2"/>
      <c r="J15" s="114" t="s">
        <v>123</v>
      </c>
      <c r="K15" s="115"/>
      <c r="L15" s="115"/>
      <c r="M15" s="115"/>
      <c r="N15" s="116"/>
      <c r="O15" s="117"/>
      <c r="P15" s="4"/>
      <c r="Q15" s="4"/>
      <c r="R15" s="4"/>
      <c r="S15" s="4"/>
      <c r="T15" s="30" t="s">
        <v>117</v>
      </c>
      <c r="U15" s="31"/>
      <c r="V15" s="31"/>
      <c r="W15" s="31"/>
      <c r="X15" s="32"/>
      <c r="Y15" s="33"/>
      <c r="Z15" s="4"/>
      <c r="AA15" s="4"/>
      <c r="AB15" s="4"/>
      <c r="AC15" s="4"/>
      <c r="AD15" s="30" t="s">
        <v>124</v>
      </c>
      <c r="AE15" s="31"/>
      <c r="AF15" s="31"/>
      <c r="AG15" s="31"/>
      <c r="AH15" s="32"/>
      <c r="AI15" s="33"/>
      <c r="AJ15" s="4"/>
      <c r="AK15" s="4"/>
      <c r="AL15" s="4"/>
      <c r="AM15" s="4"/>
      <c r="AN15" s="30" t="s">
        <v>165</v>
      </c>
      <c r="AO15" s="31"/>
      <c r="AP15" s="31"/>
      <c r="AQ15" s="31"/>
      <c r="AR15" s="32"/>
      <c r="AS15" s="33"/>
      <c r="AT15" s="4"/>
      <c r="AU15" s="4"/>
      <c r="AV15" s="4"/>
      <c r="AW15" s="4"/>
      <c r="AX15" s="30" t="s">
        <v>24</v>
      </c>
      <c r="AY15" s="31"/>
      <c r="AZ15" s="31"/>
      <c r="BA15" s="31"/>
      <c r="BB15" s="32"/>
      <c r="BC15" s="33"/>
      <c r="BD15" s="4"/>
      <c r="BE15" s="4"/>
      <c r="BF15" s="4"/>
      <c r="BG15" s="4"/>
      <c r="BH15" s="53" t="s">
        <v>34</v>
      </c>
      <c r="BI15" s="54"/>
      <c r="BJ15" s="54"/>
      <c r="BK15" s="54"/>
      <c r="BL15" s="55"/>
      <c r="BM15" s="56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110">
        <v>2</v>
      </c>
      <c r="K16" s="111"/>
      <c r="L16" s="108">
        <v>2</v>
      </c>
      <c r="M16" s="111"/>
      <c r="N16" s="108">
        <v>90</v>
      </c>
      <c r="O16" s="109"/>
      <c r="P16" s="4"/>
      <c r="Q16" s="4"/>
      <c r="R16" s="4"/>
      <c r="S16" s="4"/>
      <c r="T16" s="34">
        <v>4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2</v>
      </c>
      <c r="AE16" s="35"/>
      <c r="AF16" s="36">
        <v>3</v>
      </c>
      <c r="AG16" s="35"/>
      <c r="AH16" s="36">
        <v>105</v>
      </c>
      <c r="AI16" s="37"/>
      <c r="AJ16" s="4"/>
      <c r="AK16" s="4"/>
      <c r="AL16" s="4"/>
      <c r="AM16" s="4"/>
      <c r="AN16" s="34">
        <v>3</v>
      </c>
      <c r="AO16" s="35"/>
      <c r="AP16" s="36">
        <v>4</v>
      </c>
      <c r="AQ16" s="35"/>
      <c r="AR16" s="36">
        <v>150</v>
      </c>
      <c r="AS16" s="37"/>
      <c r="AT16" s="4"/>
      <c r="AU16" s="4"/>
      <c r="AV16" s="4"/>
      <c r="AW16" s="4"/>
      <c r="AX16" s="34">
        <v>3</v>
      </c>
      <c r="AY16" s="35"/>
      <c r="AZ16" s="36">
        <v>6</v>
      </c>
      <c r="BA16" s="35"/>
      <c r="BB16" s="36">
        <v>180</v>
      </c>
      <c r="BC16" s="37"/>
      <c r="BD16" s="4"/>
      <c r="BE16" s="4"/>
      <c r="BF16" s="4"/>
      <c r="BG16" s="4"/>
      <c r="BH16" s="57">
        <v>3</v>
      </c>
      <c r="BI16" s="58"/>
      <c r="BJ16" s="59">
        <v>6</v>
      </c>
      <c r="BK16" s="58"/>
      <c r="BL16" s="59">
        <v>180</v>
      </c>
      <c r="BM16" s="91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SUM(J16,T16,AD16,AN16,AX16,BH16,BR16)</f>
        <v>17</v>
      </c>
      <c r="F17" s="11">
        <f>SUM(J17:BW17)</f>
        <v>26</v>
      </c>
      <c r="G17" s="105"/>
      <c r="H17" s="2"/>
      <c r="I17" s="2"/>
      <c r="J17" s="112">
        <v>2</v>
      </c>
      <c r="K17" s="113"/>
      <c r="L17" s="106">
        <v>0</v>
      </c>
      <c r="M17" s="113"/>
      <c r="N17" s="106">
        <v>0</v>
      </c>
      <c r="O17" s="107"/>
      <c r="P17" s="4"/>
      <c r="Q17" s="4"/>
      <c r="R17" s="4"/>
      <c r="S17" s="4"/>
      <c r="T17" s="20">
        <v>3</v>
      </c>
      <c r="U17" s="21"/>
      <c r="V17" s="22">
        <v>2</v>
      </c>
      <c r="W17" s="21"/>
      <c r="X17" s="22">
        <v>0</v>
      </c>
      <c r="Y17" s="23"/>
      <c r="Z17" s="4"/>
      <c r="AA17" s="4"/>
      <c r="AB17" s="4"/>
      <c r="AC17" s="4"/>
      <c r="AD17" s="20">
        <v>1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20">
        <v>2</v>
      </c>
      <c r="AO17" s="21"/>
      <c r="AP17" s="22">
        <v>2</v>
      </c>
      <c r="AQ17" s="21"/>
      <c r="AR17" s="22">
        <v>0</v>
      </c>
      <c r="AS17" s="23"/>
      <c r="AT17" s="4"/>
      <c r="AU17" s="4"/>
      <c r="AV17" s="4"/>
      <c r="AW17" s="4"/>
      <c r="AX17" s="20">
        <v>1</v>
      </c>
      <c r="AY17" s="21"/>
      <c r="AZ17" s="22">
        <v>3</v>
      </c>
      <c r="BA17" s="21"/>
      <c r="BB17" s="22">
        <v>2</v>
      </c>
      <c r="BC17" s="23"/>
      <c r="BD17" s="4"/>
      <c r="BE17" s="4"/>
      <c r="BF17" s="4"/>
      <c r="BG17" s="4"/>
      <c r="BH17" s="92">
        <v>3</v>
      </c>
      <c r="BI17" s="93"/>
      <c r="BJ17" s="70">
        <v>3</v>
      </c>
      <c r="BK17" s="93"/>
      <c r="BL17" s="70">
        <v>0</v>
      </c>
      <c r="BM17" s="71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4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127</v>
      </c>
      <c r="K24" s="25"/>
      <c r="L24" s="26"/>
      <c r="M24" s="38" t="s">
        <v>110</v>
      </c>
      <c r="N24" s="39"/>
      <c r="O24" s="40"/>
      <c r="P24" s="4"/>
      <c r="Q24" s="4"/>
      <c r="R24" s="4"/>
      <c r="S24" s="4"/>
      <c r="T24" s="24" t="s">
        <v>114</v>
      </c>
      <c r="U24" s="25"/>
      <c r="V24" s="26"/>
      <c r="W24" s="38">
        <v>313</v>
      </c>
      <c r="X24" s="39"/>
      <c r="Y24" s="40"/>
      <c r="Z24" s="4"/>
      <c r="AA24" s="4"/>
      <c r="AB24" s="4"/>
      <c r="AC24" s="4"/>
      <c r="AD24" s="24" t="s">
        <v>25</v>
      </c>
      <c r="AE24" s="25"/>
      <c r="AF24" s="26"/>
      <c r="AG24" s="38">
        <v>115</v>
      </c>
      <c r="AH24" s="39"/>
      <c r="AI24" s="40"/>
      <c r="AJ24" s="4"/>
      <c r="AK24" s="4"/>
      <c r="AL24" s="4"/>
      <c r="AM24" s="4"/>
      <c r="AN24" s="24" t="s">
        <v>19</v>
      </c>
      <c r="AO24" s="25"/>
      <c r="AP24" s="26"/>
      <c r="AQ24" s="38">
        <v>111</v>
      </c>
      <c r="AR24" s="102"/>
      <c r="AS24" s="103"/>
      <c r="AT24" s="4"/>
      <c r="AU24" s="4"/>
      <c r="AV24" s="4"/>
      <c r="AW24" s="4"/>
      <c r="AX24" s="24" t="s">
        <v>19</v>
      </c>
      <c r="AY24" s="25"/>
      <c r="AZ24" s="26"/>
      <c r="BA24" s="38">
        <v>131</v>
      </c>
      <c r="BB24" s="102"/>
      <c r="BC24" s="103"/>
      <c r="BD24" s="4"/>
      <c r="BE24" s="4"/>
      <c r="BF24" s="4"/>
      <c r="BG24" s="4"/>
      <c r="BH24" s="24" t="s">
        <v>48</v>
      </c>
      <c r="BI24" s="25"/>
      <c r="BJ24" s="26"/>
      <c r="BK24" s="38">
        <v>111</v>
      </c>
      <c r="BL24" s="39"/>
      <c r="BM24" s="40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55.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SUM(N26,X26,AH26,AR26,BB26,BL26)</f>
        <v>1005</v>
      </c>
      <c r="H25" s="2"/>
      <c r="I25" s="2"/>
      <c r="J25" s="114" t="s">
        <v>128</v>
      </c>
      <c r="K25" s="115"/>
      <c r="L25" s="115"/>
      <c r="M25" s="115"/>
      <c r="N25" s="116"/>
      <c r="O25" s="117"/>
      <c r="P25" s="4"/>
      <c r="Q25" s="4"/>
      <c r="R25" s="4"/>
      <c r="S25" s="4"/>
      <c r="T25" s="30" t="s">
        <v>125</v>
      </c>
      <c r="U25" s="31"/>
      <c r="V25" s="31"/>
      <c r="W25" s="31"/>
      <c r="X25" s="32"/>
      <c r="Y25" s="33"/>
      <c r="Z25" s="4"/>
      <c r="AA25" s="4"/>
      <c r="AB25" s="4"/>
      <c r="AC25" s="4"/>
      <c r="AD25" s="30" t="s">
        <v>166</v>
      </c>
      <c r="AE25" s="31"/>
      <c r="AF25" s="31"/>
      <c r="AG25" s="31"/>
      <c r="AH25" s="32"/>
      <c r="AI25" s="33"/>
      <c r="AJ25" s="4"/>
      <c r="AK25" s="4"/>
      <c r="AL25" s="4"/>
      <c r="AM25" s="4"/>
      <c r="AN25" s="53" t="s">
        <v>36</v>
      </c>
      <c r="AO25" s="54"/>
      <c r="AP25" s="54"/>
      <c r="AQ25" s="54"/>
      <c r="AR25" s="55"/>
      <c r="AS25" s="56"/>
      <c r="AT25" s="4"/>
      <c r="AU25" s="4"/>
      <c r="AV25" s="4"/>
      <c r="AW25" s="4"/>
      <c r="AX25" s="53" t="s">
        <v>37</v>
      </c>
      <c r="AY25" s="54"/>
      <c r="AZ25" s="54"/>
      <c r="BA25" s="54"/>
      <c r="BB25" s="55"/>
      <c r="BC25" s="56"/>
      <c r="BD25" s="4"/>
      <c r="BE25" s="4"/>
      <c r="BF25" s="4"/>
      <c r="BG25" s="4"/>
      <c r="BH25" s="94" t="s">
        <v>47</v>
      </c>
      <c r="BI25" s="95"/>
      <c r="BJ25" s="95"/>
      <c r="BK25" s="95"/>
      <c r="BL25" s="96"/>
      <c r="BM25" s="97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110">
        <v>2</v>
      </c>
      <c r="K26" s="111"/>
      <c r="L26" s="108">
        <v>2</v>
      </c>
      <c r="M26" s="111"/>
      <c r="N26" s="108">
        <v>90</v>
      </c>
      <c r="O26" s="109"/>
      <c r="P26" s="4"/>
      <c r="Q26" s="4"/>
      <c r="R26" s="4"/>
      <c r="S26" s="4"/>
      <c r="T26" s="34">
        <v>4</v>
      </c>
      <c r="U26" s="35"/>
      <c r="V26" s="36">
        <v>5</v>
      </c>
      <c r="W26" s="35"/>
      <c r="X26" s="36">
        <v>195</v>
      </c>
      <c r="Y26" s="37"/>
      <c r="Z26" s="4"/>
      <c r="AA26" s="4"/>
      <c r="AB26" s="4"/>
      <c r="AC26" s="4"/>
      <c r="AD26" s="34">
        <v>3</v>
      </c>
      <c r="AE26" s="35"/>
      <c r="AF26" s="36">
        <v>5</v>
      </c>
      <c r="AG26" s="35"/>
      <c r="AH26" s="36">
        <v>165</v>
      </c>
      <c r="AI26" s="37"/>
      <c r="AJ26" s="4"/>
      <c r="AK26" s="4"/>
      <c r="AL26" s="4"/>
      <c r="AM26" s="4"/>
      <c r="AN26" s="57">
        <v>3</v>
      </c>
      <c r="AO26" s="58"/>
      <c r="AP26" s="59">
        <v>6</v>
      </c>
      <c r="AQ26" s="58"/>
      <c r="AR26" s="59">
        <v>180</v>
      </c>
      <c r="AS26" s="91"/>
      <c r="AT26" s="4"/>
      <c r="AU26" s="4"/>
      <c r="AV26" s="4"/>
      <c r="AW26" s="4"/>
      <c r="AX26" s="57">
        <v>3</v>
      </c>
      <c r="AY26" s="58"/>
      <c r="AZ26" s="59">
        <v>7</v>
      </c>
      <c r="BA26" s="58"/>
      <c r="BB26" s="59">
        <v>195</v>
      </c>
      <c r="BC26" s="91"/>
      <c r="BD26" s="4"/>
      <c r="BE26" s="4"/>
      <c r="BF26" s="4"/>
      <c r="BG26" s="4"/>
      <c r="BH26" s="98">
        <v>3</v>
      </c>
      <c r="BI26" s="99"/>
      <c r="BJ26" s="100">
        <v>6</v>
      </c>
      <c r="BK26" s="99"/>
      <c r="BL26" s="100">
        <v>180</v>
      </c>
      <c r="BM26" s="101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thickBot="1" x14ac:dyDescent="0.35">
      <c r="B27" s="118"/>
      <c r="C27" s="1"/>
      <c r="D27" s="119"/>
      <c r="E27" s="11">
        <f>SUM(J26,T26,AD26,AN26,AX26,BH26,BR26)</f>
        <v>18</v>
      </c>
      <c r="F27" s="11">
        <f>SUM(J27:BW27)</f>
        <v>31</v>
      </c>
      <c r="G27" s="105"/>
      <c r="H27" s="2"/>
      <c r="I27" s="2"/>
      <c r="J27" s="112">
        <v>2</v>
      </c>
      <c r="K27" s="113"/>
      <c r="L27" s="106">
        <v>0</v>
      </c>
      <c r="M27" s="113"/>
      <c r="N27" s="106">
        <v>0</v>
      </c>
      <c r="O27" s="107"/>
      <c r="P27" s="4"/>
      <c r="Q27" s="4"/>
      <c r="R27" s="4"/>
      <c r="S27" s="4"/>
      <c r="T27" s="20">
        <v>3</v>
      </c>
      <c r="U27" s="21"/>
      <c r="V27" s="22">
        <v>2</v>
      </c>
      <c r="W27" s="21"/>
      <c r="X27" s="22">
        <v>0</v>
      </c>
      <c r="Y27" s="23"/>
      <c r="Z27" s="4"/>
      <c r="AA27" s="4"/>
      <c r="AB27" s="4"/>
      <c r="AC27" s="4"/>
      <c r="AD27" s="20">
        <v>2</v>
      </c>
      <c r="AE27" s="21"/>
      <c r="AF27" s="22">
        <v>2</v>
      </c>
      <c r="AG27" s="21"/>
      <c r="AH27" s="22">
        <v>1</v>
      </c>
      <c r="AI27" s="23"/>
      <c r="AJ27" s="4"/>
      <c r="AK27" s="4"/>
      <c r="AL27" s="4"/>
      <c r="AM27" s="4"/>
      <c r="AN27" s="92">
        <v>3</v>
      </c>
      <c r="AO27" s="93"/>
      <c r="AP27" s="70">
        <v>3</v>
      </c>
      <c r="AQ27" s="93"/>
      <c r="AR27" s="70">
        <v>0</v>
      </c>
      <c r="AS27" s="71"/>
      <c r="AT27" s="4"/>
      <c r="AU27" s="4"/>
      <c r="AV27" s="4"/>
      <c r="AW27" s="4"/>
      <c r="AX27" s="92">
        <v>3</v>
      </c>
      <c r="AY27" s="93"/>
      <c r="AZ27" s="70">
        <v>2</v>
      </c>
      <c r="BA27" s="93"/>
      <c r="BB27" s="70">
        <v>2</v>
      </c>
      <c r="BC27" s="71"/>
      <c r="BD27" s="4"/>
      <c r="BE27" s="4"/>
      <c r="BF27" s="4"/>
      <c r="BG27" s="4"/>
      <c r="BH27" s="72">
        <v>3</v>
      </c>
      <c r="BI27" s="73"/>
      <c r="BJ27" s="68">
        <v>3</v>
      </c>
      <c r="BK27" s="73"/>
      <c r="BL27" s="68">
        <v>0</v>
      </c>
      <c r="BM27" s="69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129</v>
      </c>
      <c r="K32" s="25"/>
      <c r="L32" s="26"/>
      <c r="M32" s="38" t="s">
        <v>110</v>
      </c>
      <c r="N32" s="39"/>
      <c r="O32" s="40"/>
      <c r="P32" s="4"/>
      <c r="Q32" s="4"/>
      <c r="R32" s="4"/>
      <c r="S32" s="4"/>
      <c r="T32" s="24" t="s">
        <v>19</v>
      </c>
      <c r="U32" s="25"/>
      <c r="V32" s="26"/>
      <c r="W32" s="38">
        <v>315</v>
      </c>
      <c r="X32" s="39"/>
      <c r="Y32" s="40"/>
      <c r="Z32" s="4"/>
      <c r="AA32" s="4"/>
      <c r="AB32" s="4"/>
      <c r="AC32" s="4"/>
      <c r="AD32" s="24" t="s">
        <v>25</v>
      </c>
      <c r="AE32" s="25"/>
      <c r="AF32" s="26"/>
      <c r="AG32" s="38">
        <v>432</v>
      </c>
      <c r="AH32" s="39"/>
      <c r="AI32" s="40"/>
      <c r="AJ32" s="4"/>
      <c r="AK32" s="4"/>
      <c r="AL32" s="4"/>
      <c r="AM32" s="4"/>
      <c r="AN32" s="24" t="s">
        <v>19</v>
      </c>
      <c r="AO32" s="25"/>
      <c r="AP32" s="26"/>
      <c r="AQ32" s="38">
        <v>112</v>
      </c>
      <c r="AR32" s="102"/>
      <c r="AS32" s="103"/>
      <c r="AT32" s="4"/>
      <c r="AU32" s="4"/>
      <c r="AV32" s="4"/>
      <c r="AW32" s="4"/>
      <c r="AX32" s="24" t="s">
        <v>19</v>
      </c>
      <c r="AY32" s="25"/>
      <c r="AZ32" s="26"/>
      <c r="BA32" s="38">
        <v>132</v>
      </c>
      <c r="BB32" s="102"/>
      <c r="BC32" s="103"/>
      <c r="BD32" s="4"/>
      <c r="BE32" s="4"/>
      <c r="BF32" s="4"/>
      <c r="BG32" s="4"/>
      <c r="BH32" s="24" t="s">
        <v>48</v>
      </c>
      <c r="BI32" s="25"/>
      <c r="BJ32" s="26"/>
      <c r="BK32" s="38">
        <v>121</v>
      </c>
      <c r="BL32" s="39"/>
      <c r="BM32" s="40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915</v>
      </c>
      <c r="H33" s="2"/>
      <c r="I33" s="2"/>
      <c r="J33" s="114" t="s">
        <v>130</v>
      </c>
      <c r="K33" s="115"/>
      <c r="L33" s="115"/>
      <c r="M33" s="115"/>
      <c r="N33" s="116"/>
      <c r="O33" s="117"/>
      <c r="P33" s="4"/>
      <c r="Q33" s="4"/>
      <c r="R33" s="4"/>
      <c r="S33" s="4"/>
      <c r="T33" s="30" t="s">
        <v>26</v>
      </c>
      <c r="U33" s="31"/>
      <c r="V33" s="31"/>
      <c r="W33" s="31"/>
      <c r="X33" s="32"/>
      <c r="Y33" s="33"/>
      <c r="Z33" s="4"/>
      <c r="AA33" s="4"/>
      <c r="AB33" s="4"/>
      <c r="AC33" s="4"/>
      <c r="AD33" s="30" t="s">
        <v>27</v>
      </c>
      <c r="AE33" s="31"/>
      <c r="AF33" s="31"/>
      <c r="AG33" s="31"/>
      <c r="AH33" s="32"/>
      <c r="AI33" s="33"/>
      <c r="AJ33" s="4"/>
      <c r="AK33" s="4"/>
      <c r="AL33" s="4"/>
      <c r="AM33" s="4"/>
      <c r="AN33" s="53" t="s">
        <v>38</v>
      </c>
      <c r="AO33" s="54"/>
      <c r="AP33" s="54"/>
      <c r="AQ33" s="54"/>
      <c r="AR33" s="55"/>
      <c r="AS33" s="56"/>
      <c r="AT33" s="4"/>
      <c r="AU33" s="4"/>
      <c r="AV33" s="4"/>
      <c r="AW33" s="4"/>
      <c r="AX33" s="53" t="s">
        <v>39</v>
      </c>
      <c r="AY33" s="54"/>
      <c r="AZ33" s="54"/>
      <c r="BA33" s="54"/>
      <c r="BB33" s="55"/>
      <c r="BC33" s="56"/>
      <c r="BD33" s="4"/>
      <c r="BE33" s="4"/>
      <c r="BF33" s="4"/>
      <c r="BG33" s="4"/>
      <c r="BH33" s="94" t="s">
        <v>49</v>
      </c>
      <c r="BI33" s="95"/>
      <c r="BJ33" s="95"/>
      <c r="BK33" s="95"/>
      <c r="BL33" s="96"/>
      <c r="BM33" s="97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110">
        <v>2</v>
      </c>
      <c r="K34" s="111"/>
      <c r="L34" s="108">
        <v>2</v>
      </c>
      <c r="M34" s="111"/>
      <c r="N34" s="108">
        <v>90</v>
      </c>
      <c r="O34" s="109"/>
      <c r="P34" s="4"/>
      <c r="Q34" s="4"/>
      <c r="R34" s="4"/>
      <c r="S34" s="4"/>
      <c r="T34" s="34">
        <v>3</v>
      </c>
      <c r="U34" s="35"/>
      <c r="V34" s="36">
        <v>4</v>
      </c>
      <c r="W34" s="35"/>
      <c r="X34" s="36">
        <v>150</v>
      </c>
      <c r="Y34" s="37"/>
      <c r="Z34" s="4"/>
      <c r="AA34" s="4"/>
      <c r="AB34" s="4"/>
      <c r="AC34" s="4"/>
      <c r="AD34" s="34">
        <v>3</v>
      </c>
      <c r="AE34" s="35"/>
      <c r="AF34" s="36">
        <v>4</v>
      </c>
      <c r="AG34" s="35"/>
      <c r="AH34" s="36">
        <v>150</v>
      </c>
      <c r="AI34" s="37"/>
      <c r="AJ34" s="4"/>
      <c r="AK34" s="4"/>
      <c r="AL34" s="4"/>
      <c r="AM34" s="4"/>
      <c r="AN34" s="57">
        <v>3</v>
      </c>
      <c r="AO34" s="58"/>
      <c r="AP34" s="59">
        <v>6</v>
      </c>
      <c r="AQ34" s="58"/>
      <c r="AR34" s="59">
        <v>180</v>
      </c>
      <c r="AS34" s="91"/>
      <c r="AT34" s="4"/>
      <c r="AU34" s="4"/>
      <c r="AV34" s="4"/>
      <c r="AW34" s="4"/>
      <c r="AX34" s="57">
        <v>3</v>
      </c>
      <c r="AY34" s="58"/>
      <c r="AZ34" s="59">
        <v>5</v>
      </c>
      <c r="BA34" s="58"/>
      <c r="BB34" s="59">
        <v>165</v>
      </c>
      <c r="BC34" s="91"/>
      <c r="BD34" s="4"/>
      <c r="BE34" s="4"/>
      <c r="BF34" s="4"/>
      <c r="BG34" s="4"/>
      <c r="BH34" s="98">
        <v>3</v>
      </c>
      <c r="BI34" s="99"/>
      <c r="BJ34" s="100">
        <v>6</v>
      </c>
      <c r="BK34" s="99"/>
      <c r="BL34" s="100">
        <v>180</v>
      </c>
      <c r="BM34" s="101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SUM(J34,T34,AD34,AN34,AX34,BH34,BR34)</f>
        <v>17</v>
      </c>
      <c r="F35" s="11">
        <f>L34+V34+AF34+AP34+AZ34+BJ34+BT34</f>
        <v>27</v>
      </c>
      <c r="G35" s="105"/>
      <c r="H35" s="2"/>
      <c r="I35" s="2"/>
      <c r="J35" s="112">
        <v>2</v>
      </c>
      <c r="K35" s="113"/>
      <c r="L35" s="106">
        <v>0</v>
      </c>
      <c r="M35" s="113"/>
      <c r="N35" s="106">
        <v>0</v>
      </c>
      <c r="O35" s="107"/>
      <c r="P35" s="4"/>
      <c r="Q35" s="4"/>
      <c r="R35" s="4"/>
      <c r="S35" s="4"/>
      <c r="T35" s="20">
        <v>2</v>
      </c>
      <c r="U35" s="21"/>
      <c r="V35" s="22">
        <v>0</v>
      </c>
      <c r="W35" s="21"/>
      <c r="X35" s="22">
        <v>2</v>
      </c>
      <c r="Y35" s="23"/>
      <c r="Z35" s="4"/>
      <c r="AA35" s="4"/>
      <c r="AB35" s="4"/>
      <c r="AC35" s="4"/>
      <c r="AD35" s="20">
        <v>2</v>
      </c>
      <c r="AE35" s="21"/>
      <c r="AF35" s="22">
        <v>1</v>
      </c>
      <c r="AG35" s="21"/>
      <c r="AH35" s="22">
        <v>1</v>
      </c>
      <c r="AI35" s="23"/>
      <c r="AJ35" s="4"/>
      <c r="AK35" s="4"/>
      <c r="AL35" s="4"/>
      <c r="AM35" s="4"/>
      <c r="AN35" s="92">
        <v>3</v>
      </c>
      <c r="AO35" s="93"/>
      <c r="AP35" s="70">
        <v>3</v>
      </c>
      <c r="AQ35" s="93"/>
      <c r="AR35" s="70">
        <v>0</v>
      </c>
      <c r="AS35" s="71"/>
      <c r="AT35" s="4"/>
      <c r="AU35" s="4"/>
      <c r="AV35" s="4"/>
      <c r="AW35" s="4"/>
      <c r="AX35" s="92">
        <v>3</v>
      </c>
      <c r="AY35" s="93"/>
      <c r="AZ35" s="70">
        <v>2</v>
      </c>
      <c r="BA35" s="93"/>
      <c r="BB35" s="70">
        <v>0</v>
      </c>
      <c r="BC35" s="71"/>
      <c r="BD35" s="4"/>
      <c r="BE35" s="4"/>
      <c r="BF35" s="4"/>
      <c r="BG35" s="4"/>
      <c r="BH35" s="72">
        <v>3</v>
      </c>
      <c r="BI35" s="73"/>
      <c r="BJ35" s="68">
        <v>3</v>
      </c>
      <c r="BK35" s="73"/>
      <c r="BL35" s="68">
        <v>0</v>
      </c>
      <c r="BM35" s="69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3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131</v>
      </c>
      <c r="K42" s="25"/>
      <c r="L42" s="26"/>
      <c r="M42" s="38" t="s">
        <v>110</v>
      </c>
      <c r="N42" s="39"/>
      <c r="O42" s="40"/>
      <c r="P42" s="4"/>
      <c r="Q42" s="4"/>
      <c r="R42" s="4"/>
      <c r="S42" s="4"/>
      <c r="T42" s="24" t="s">
        <v>19</v>
      </c>
      <c r="U42" s="25"/>
      <c r="V42" s="26"/>
      <c r="W42" s="38">
        <v>233</v>
      </c>
      <c r="X42" s="102"/>
      <c r="Y42" s="103"/>
      <c r="Z42" s="4"/>
      <c r="AA42" s="4"/>
      <c r="AB42" s="4"/>
      <c r="AC42" s="4"/>
      <c r="AD42" s="24" t="s">
        <v>19</v>
      </c>
      <c r="AE42" s="25"/>
      <c r="AF42" s="26"/>
      <c r="AG42" s="38">
        <v>261</v>
      </c>
      <c r="AH42" s="102"/>
      <c r="AI42" s="103"/>
      <c r="AJ42" s="4"/>
      <c r="AK42" s="4"/>
      <c r="AL42" s="4"/>
      <c r="AM42" s="4"/>
      <c r="AN42" s="24" t="s">
        <v>19</v>
      </c>
      <c r="AO42" s="25"/>
      <c r="AP42" s="26"/>
      <c r="AQ42" s="38">
        <v>281</v>
      </c>
      <c r="AR42" s="102"/>
      <c r="AS42" s="103"/>
      <c r="AT42" s="4"/>
      <c r="AU42" s="4"/>
      <c r="AV42" s="4"/>
      <c r="AW42" s="4"/>
      <c r="AX42" s="24" t="s">
        <v>48</v>
      </c>
      <c r="AY42" s="25"/>
      <c r="AZ42" s="26"/>
      <c r="BA42" s="38">
        <v>231</v>
      </c>
      <c r="BB42" s="39"/>
      <c r="BC42" s="40"/>
      <c r="BD42" s="4"/>
      <c r="BE42" s="4"/>
      <c r="BF42" s="4"/>
      <c r="BG42" s="4"/>
      <c r="BH42" s="24" t="s">
        <v>48</v>
      </c>
      <c r="BI42" s="25"/>
      <c r="BJ42" s="26"/>
      <c r="BK42" s="38">
        <v>241</v>
      </c>
      <c r="BL42" s="39"/>
      <c r="BM42" s="40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960</v>
      </c>
      <c r="H43" s="2"/>
      <c r="I43" s="2"/>
      <c r="J43" s="114" t="s">
        <v>20</v>
      </c>
      <c r="K43" s="115"/>
      <c r="L43" s="115"/>
      <c r="M43" s="115"/>
      <c r="N43" s="116"/>
      <c r="O43" s="117"/>
      <c r="P43" s="4"/>
      <c r="Q43" s="4"/>
      <c r="R43" s="4"/>
      <c r="S43" s="4"/>
      <c r="T43" s="53" t="s">
        <v>40</v>
      </c>
      <c r="U43" s="54"/>
      <c r="V43" s="54"/>
      <c r="W43" s="54"/>
      <c r="X43" s="55"/>
      <c r="Y43" s="56"/>
      <c r="Z43" s="4"/>
      <c r="AA43" s="4"/>
      <c r="AB43" s="4"/>
      <c r="AC43" s="4"/>
      <c r="AD43" s="53" t="s">
        <v>41</v>
      </c>
      <c r="AE43" s="54"/>
      <c r="AF43" s="54"/>
      <c r="AG43" s="54"/>
      <c r="AH43" s="55"/>
      <c r="AI43" s="56"/>
      <c r="AJ43" s="4"/>
      <c r="AK43" s="4"/>
      <c r="AL43" s="4"/>
      <c r="AM43" s="4"/>
      <c r="AN43" s="53" t="s">
        <v>42</v>
      </c>
      <c r="AO43" s="54"/>
      <c r="AP43" s="54"/>
      <c r="AQ43" s="54"/>
      <c r="AR43" s="55"/>
      <c r="AS43" s="56"/>
      <c r="AT43" s="4"/>
      <c r="AU43" s="4"/>
      <c r="AV43" s="4"/>
      <c r="AW43" s="4"/>
      <c r="AX43" s="94" t="s">
        <v>50</v>
      </c>
      <c r="AY43" s="95"/>
      <c r="AZ43" s="95"/>
      <c r="BA43" s="95"/>
      <c r="BB43" s="96"/>
      <c r="BC43" s="97"/>
      <c r="BD43" s="4"/>
      <c r="BE43" s="4"/>
      <c r="BF43" s="4"/>
      <c r="BG43" s="4"/>
      <c r="BH43" s="94" t="s">
        <v>51</v>
      </c>
      <c r="BI43" s="95"/>
      <c r="BJ43" s="95"/>
      <c r="BK43" s="95"/>
      <c r="BL43" s="96"/>
      <c r="BM43" s="97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110">
        <v>2</v>
      </c>
      <c r="K44" s="111"/>
      <c r="L44" s="108">
        <v>2</v>
      </c>
      <c r="M44" s="111"/>
      <c r="N44" s="108">
        <v>90</v>
      </c>
      <c r="O44" s="109"/>
      <c r="P44" s="4"/>
      <c r="Q44" s="4"/>
      <c r="R44" s="4"/>
      <c r="S44" s="4"/>
      <c r="T44" s="57">
        <v>3</v>
      </c>
      <c r="U44" s="58"/>
      <c r="V44" s="59">
        <v>5</v>
      </c>
      <c r="W44" s="58"/>
      <c r="X44" s="59">
        <v>165</v>
      </c>
      <c r="Y44" s="91"/>
      <c r="Z44" s="4"/>
      <c r="AA44" s="4"/>
      <c r="AB44" s="4"/>
      <c r="AC44" s="4"/>
      <c r="AD44" s="57">
        <v>3</v>
      </c>
      <c r="AE44" s="58"/>
      <c r="AF44" s="59">
        <v>5</v>
      </c>
      <c r="AG44" s="58"/>
      <c r="AH44" s="59">
        <v>165</v>
      </c>
      <c r="AI44" s="91"/>
      <c r="AJ44" s="4"/>
      <c r="AK44" s="4"/>
      <c r="AL44" s="4"/>
      <c r="AM44" s="4"/>
      <c r="AN44" s="57">
        <v>3</v>
      </c>
      <c r="AO44" s="58"/>
      <c r="AP44" s="59">
        <v>6</v>
      </c>
      <c r="AQ44" s="58"/>
      <c r="AR44" s="59">
        <v>180</v>
      </c>
      <c r="AS44" s="91"/>
      <c r="AT44" s="4"/>
      <c r="AU44" s="4"/>
      <c r="AV44" s="4"/>
      <c r="AW44" s="4"/>
      <c r="AX44" s="98">
        <v>3</v>
      </c>
      <c r="AY44" s="99"/>
      <c r="AZ44" s="100">
        <v>6</v>
      </c>
      <c r="BA44" s="99"/>
      <c r="BB44" s="100">
        <v>180</v>
      </c>
      <c r="BC44" s="101"/>
      <c r="BD44" s="4"/>
      <c r="BE44" s="4"/>
      <c r="BF44" s="4"/>
      <c r="BG44" s="4"/>
      <c r="BH44" s="98">
        <v>3</v>
      </c>
      <c r="BI44" s="99"/>
      <c r="BJ44" s="100">
        <v>6</v>
      </c>
      <c r="BK44" s="99"/>
      <c r="BL44" s="100">
        <v>180</v>
      </c>
      <c r="BM44" s="101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17</v>
      </c>
      <c r="F45" s="11">
        <f>SUM(J45:BM45)</f>
        <v>30</v>
      </c>
      <c r="G45" s="105"/>
      <c r="H45" s="2"/>
      <c r="I45" s="2"/>
      <c r="J45" s="112">
        <v>2</v>
      </c>
      <c r="K45" s="113"/>
      <c r="L45" s="106">
        <v>0</v>
      </c>
      <c r="M45" s="113"/>
      <c r="N45" s="106">
        <v>0</v>
      </c>
      <c r="O45" s="107"/>
      <c r="P45" s="4"/>
      <c r="Q45" s="4"/>
      <c r="R45" s="4"/>
      <c r="S45" s="4"/>
      <c r="T45" s="92">
        <v>3</v>
      </c>
      <c r="U45" s="93"/>
      <c r="V45" s="70">
        <v>2</v>
      </c>
      <c r="W45" s="93"/>
      <c r="X45" s="70">
        <v>0</v>
      </c>
      <c r="Y45" s="71"/>
      <c r="Z45" s="4"/>
      <c r="AA45" s="4"/>
      <c r="AB45" s="4"/>
      <c r="AC45" s="4"/>
      <c r="AD45" s="92">
        <v>3</v>
      </c>
      <c r="AE45" s="93"/>
      <c r="AF45" s="70">
        <v>2</v>
      </c>
      <c r="AG45" s="93"/>
      <c r="AH45" s="70">
        <v>0</v>
      </c>
      <c r="AI45" s="71"/>
      <c r="AJ45" s="4"/>
      <c r="AK45" s="4"/>
      <c r="AL45" s="4"/>
      <c r="AM45" s="4"/>
      <c r="AN45" s="92">
        <v>3</v>
      </c>
      <c r="AO45" s="93"/>
      <c r="AP45" s="70">
        <v>3</v>
      </c>
      <c r="AQ45" s="93"/>
      <c r="AR45" s="70">
        <v>0</v>
      </c>
      <c r="AS45" s="71"/>
      <c r="AT45" s="4"/>
      <c r="AU45" s="4"/>
      <c r="AV45" s="4"/>
      <c r="AW45" s="4"/>
      <c r="AX45" s="72">
        <v>3</v>
      </c>
      <c r="AY45" s="73"/>
      <c r="AZ45" s="68">
        <v>3</v>
      </c>
      <c r="BA45" s="73"/>
      <c r="BB45" s="68">
        <v>0</v>
      </c>
      <c r="BC45" s="69"/>
      <c r="BD45" s="4"/>
      <c r="BE45" s="4"/>
      <c r="BF45" s="4"/>
      <c r="BG45" s="4"/>
      <c r="BH45" s="72">
        <v>3</v>
      </c>
      <c r="BI45" s="73"/>
      <c r="BJ45" s="68">
        <v>3</v>
      </c>
      <c r="BK45" s="73"/>
      <c r="BL45" s="68">
        <v>0</v>
      </c>
      <c r="BM45" s="69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133</v>
      </c>
      <c r="K50" s="25"/>
      <c r="L50" s="26"/>
      <c r="M50" s="38" t="s">
        <v>110</v>
      </c>
      <c r="N50" s="39"/>
      <c r="O50" s="40"/>
      <c r="P50" s="4"/>
      <c r="Q50" s="4"/>
      <c r="R50" s="4"/>
      <c r="S50" s="4"/>
      <c r="T50" s="24" t="s">
        <v>19</v>
      </c>
      <c r="U50" s="25"/>
      <c r="V50" s="26"/>
      <c r="W50" s="38">
        <v>221</v>
      </c>
      <c r="X50" s="102"/>
      <c r="Y50" s="103"/>
      <c r="Z50" s="4"/>
      <c r="AA50" s="4"/>
      <c r="AB50" s="4"/>
      <c r="AC50" s="4"/>
      <c r="AD50" s="24" t="s">
        <v>19</v>
      </c>
      <c r="AE50" s="25"/>
      <c r="AF50" s="26"/>
      <c r="AG50" s="38">
        <v>383</v>
      </c>
      <c r="AH50" s="102"/>
      <c r="AI50" s="103"/>
      <c r="AJ50" s="4"/>
      <c r="AK50" s="4"/>
      <c r="AL50" s="4"/>
      <c r="AM50" s="4"/>
      <c r="AN50" s="24" t="s">
        <v>19</v>
      </c>
      <c r="AO50" s="25"/>
      <c r="AP50" s="26"/>
      <c r="AQ50" s="38">
        <v>272</v>
      </c>
      <c r="AR50" s="102"/>
      <c r="AS50" s="103"/>
      <c r="AT50" s="4"/>
      <c r="AU50" s="4"/>
      <c r="AV50" s="4"/>
      <c r="AW50" s="4"/>
      <c r="AX50" s="24" t="s">
        <v>48</v>
      </c>
      <c r="AY50" s="25"/>
      <c r="AZ50" s="26"/>
      <c r="BA50" s="38">
        <v>212</v>
      </c>
      <c r="BB50" s="39"/>
      <c r="BC50" s="40"/>
      <c r="BD50" s="4"/>
      <c r="BE50" s="4"/>
      <c r="BF50" s="4"/>
      <c r="BG50" s="4"/>
      <c r="BH50" s="24" t="s">
        <v>48</v>
      </c>
      <c r="BI50" s="25"/>
      <c r="BJ50" s="26"/>
      <c r="BK50" s="38">
        <v>213</v>
      </c>
      <c r="BL50" s="39"/>
      <c r="BM50" s="40"/>
      <c r="BN50" s="4"/>
      <c r="BO50" s="4"/>
      <c r="BP50" s="4"/>
      <c r="BQ50" s="4"/>
      <c r="BR50" s="24" t="s">
        <v>48</v>
      </c>
      <c r="BS50" s="25"/>
      <c r="BT50" s="26"/>
      <c r="BU50" s="38">
        <v>291</v>
      </c>
      <c r="BV50" s="39"/>
      <c r="BW50" s="40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SUM(N52,X52,AH52,AR52,BB52,BL52,BV52)</f>
        <v>1020</v>
      </c>
      <c r="H51" s="2"/>
      <c r="I51" s="2"/>
      <c r="J51" s="114" t="s">
        <v>132</v>
      </c>
      <c r="K51" s="115"/>
      <c r="L51" s="115"/>
      <c r="M51" s="115"/>
      <c r="N51" s="116"/>
      <c r="O51" s="117"/>
      <c r="P51" s="4"/>
      <c r="Q51" s="4"/>
      <c r="R51" s="4"/>
      <c r="S51" s="4"/>
      <c r="T51" s="53" t="s">
        <v>43</v>
      </c>
      <c r="U51" s="54"/>
      <c r="V51" s="54"/>
      <c r="W51" s="54"/>
      <c r="X51" s="55"/>
      <c r="Y51" s="56"/>
      <c r="Z51" s="4"/>
      <c r="AA51" s="4"/>
      <c r="AB51" s="4"/>
      <c r="AC51" s="4"/>
      <c r="AD51" s="53" t="s">
        <v>44</v>
      </c>
      <c r="AE51" s="54"/>
      <c r="AF51" s="54"/>
      <c r="AG51" s="54"/>
      <c r="AH51" s="55"/>
      <c r="AI51" s="56"/>
      <c r="AJ51" s="4"/>
      <c r="AK51" s="4"/>
      <c r="AL51" s="4"/>
      <c r="AM51" s="4"/>
      <c r="AN51" s="53" t="s">
        <v>45</v>
      </c>
      <c r="AO51" s="54"/>
      <c r="AP51" s="54"/>
      <c r="AQ51" s="54"/>
      <c r="AR51" s="55"/>
      <c r="AS51" s="56"/>
      <c r="AT51" s="4"/>
      <c r="AU51" s="4"/>
      <c r="AV51" s="4"/>
      <c r="AW51" s="4"/>
      <c r="AX51" s="94" t="s">
        <v>52</v>
      </c>
      <c r="AY51" s="95"/>
      <c r="AZ51" s="95"/>
      <c r="BA51" s="95"/>
      <c r="BB51" s="96"/>
      <c r="BC51" s="97"/>
      <c r="BD51" s="4"/>
      <c r="BE51" s="4"/>
      <c r="BF51" s="4"/>
      <c r="BG51" s="4"/>
      <c r="BH51" s="94" t="s">
        <v>53</v>
      </c>
      <c r="BI51" s="95"/>
      <c r="BJ51" s="95"/>
      <c r="BK51" s="95"/>
      <c r="BL51" s="96"/>
      <c r="BM51" s="97"/>
      <c r="BN51" s="4"/>
      <c r="BO51" s="4"/>
      <c r="BP51" s="4"/>
      <c r="BQ51" s="4"/>
      <c r="BR51" s="41" t="s">
        <v>150</v>
      </c>
      <c r="BS51" s="42"/>
      <c r="BT51" s="42"/>
      <c r="BU51" s="42"/>
      <c r="BV51" s="43"/>
      <c r="BW51" s="4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110">
        <v>2</v>
      </c>
      <c r="K52" s="111"/>
      <c r="L52" s="108">
        <v>2</v>
      </c>
      <c r="M52" s="111"/>
      <c r="N52" s="108">
        <v>90</v>
      </c>
      <c r="O52" s="109"/>
      <c r="P52" s="4"/>
      <c r="Q52" s="4"/>
      <c r="R52" s="4"/>
      <c r="S52" s="4"/>
      <c r="T52" s="57">
        <v>3</v>
      </c>
      <c r="U52" s="58"/>
      <c r="V52" s="59">
        <v>6</v>
      </c>
      <c r="W52" s="58"/>
      <c r="X52" s="59">
        <v>180</v>
      </c>
      <c r="Y52" s="91"/>
      <c r="Z52" s="4"/>
      <c r="AA52" s="4"/>
      <c r="AB52" s="4"/>
      <c r="AC52" s="4"/>
      <c r="AD52" s="57">
        <v>3</v>
      </c>
      <c r="AE52" s="58"/>
      <c r="AF52" s="59">
        <v>6</v>
      </c>
      <c r="AG52" s="58"/>
      <c r="AH52" s="59">
        <v>180</v>
      </c>
      <c r="AI52" s="91"/>
      <c r="AJ52" s="4"/>
      <c r="AK52" s="4"/>
      <c r="AL52" s="4"/>
      <c r="AM52" s="4"/>
      <c r="AN52" s="57">
        <v>3</v>
      </c>
      <c r="AO52" s="58"/>
      <c r="AP52" s="59">
        <v>6</v>
      </c>
      <c r="AQ52" s="58"/>
      <c r="AR52" s="59">
        <v>180</v>
      </c>
      <c r="AS52" s="91"/>
      <c r="AT52" s="4"/>
      <c r="AU52" s="4"/>
      <c r="AV52" s="4"/>
      <c r="AW52" s="4"/>
      <c r="AX52" s="98">
        <v>3</v>
      </c>
      <c r="AY52" s="99"/>
      <c r="AZ52" s="100">
        <v>6</v>
      </c>
      <c r="BA52" s="99"/>
      <c r="BB52" s="100">
        <v>180</v>
      </c>
      <c r="BC52" s="101"/>
      <c r="BD52" s="4"/>
      <c r="BE52" s="4"/>
      <c r="BF52" s="4"/>
      <c r="BG52" s="4"/>
      <c r="BH52" s="98">
        <v>3</v>
      </c>
      <c r="BI52" s="99"/>
      <c r="BJ52" s="100">
        <v>6</v>
      </c>
      <c r="BK52" s="99"/>
      <c r="BL52" s="100">
        <v>180</v>
      </c>
      <c r="BM52" s="101"/>
      <c r="BN52" s="4"/>
      <c r="BO52" s="4"/>
      <c r="BP52" s="4"/>
      <c r="BQ52" s="4"/>
      <c r="BR52" s="45">
        <v>1</v>
      </c>
      <c r="BS52" s="46"/>
      <c r="BT52" s="47">
        <v>2</v>
      </c>
      <c r="BU52" s="46"/>
      <c r="BV52" s="47">
        <v>30</v>
      </c>
      <c r="BW52" s="48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J52+T52+AD52+AN52+AX52+BH52+BR52</f>
        <v>18</v>
      </c>
      <c r="F53" s="11">
        <f>L52+V52+AF52+AP52+AZ52+BJ52+BT52</f>
        <v>34</v>
      </c>
      <c r="G53" s="105"/>
      <c r="H53" s="2"/>
      <c r="I53" s="2"/>
      <c r="J53" s="112">
        <v>2</v>
      </c>
      <c r="K53" s="113"/>
      <c r="L53" s="106">
        <v>0</v>
      </c>
      <c r="M53" s="113"/>
      <c r="N53" s="106">
        <v>0</v>
      </c>
      <c r="O53" s="107"/>
      <c r="P53" s="4"/>
      <c r="Q53" s="4"/>
      <c r="R53" s="4"/>
      <c r="S53" s="4"/>
      <c r="T53" s="92">
        <v>3</v>
      </c>
      <c r="U53" s="93"/>
      <c r="V53" s="70">
        <v>3</v>
      </c>
      <c r="W53" s="93"/>
      <c r="X53" s="70">
        <v>0</v>
      </c>
      <c r="Y53" s="71"/>
      <c r="Z53" s="4"/>
      <c r="AA53" s="4"/>
      <c r="AB53" s="4"/>
      <c r="AC53" s="4"/>
      <c r="AD53" s="92">
        <v>3</v>
      </c>
      <c r="AE53" s="93"/>
      <c r="AF53" s="70">
        <v>3</v>
      </c>
      <c r="AG53" s="93"/>
      <c r="AH53" s="70">
        <v>0</v>
      </c>
      <c r="AI53" s="71"/>
      <c r="AJ53" s="4"/>
      <c r="AK53" s="4"/>
      <c r="AL53" s="4"/>
      <c r="AM53" s="4"/>
      <c r="AN53" s="92">
        <v>3</v>
      </c>
      <c r="AO53" s="93"/>
      <c r="AP53" s="70">
        <v>3</v>
      </c>
      <c r="AQ53" s="93"/>
      <c r="AR53" s="70">
        <v>0</v>
      </c>
      <c r="AS53" s="71"/>
      <c r="AT53" s="4"/>
      <c r="AU53" s="4"/>
      <c r="AV53" s="4"/>
      <c r="AW53" s="4"/>
      <c r="AX53" s="72">
        <v>3</v>
      </c>
      <c r="AY53" s="73"/>
      <c r="AZ53" s="68">
        <v>3</v>
      </c>
      <c r="BA53" s="73"/>
      <c r="BB53" s="68">
        <v>0</v>
      </c>
      <c r="BC53" s="69"/>
      <c r="BD53" s="4"/>
      <c r="BE53" s="4"/>
      <c r="BF53" s="4"/>
      <c r="BG53" s="4"/>
      <c r="BH53" s="72">
        <v>3</v>
      </c>
      <c r="BI53" s="73"/>
      <c r="BJ53" s="68">
        <v>3</v>
      </c>
      <c r="BK53" s="73"/>
      <c r="BL53" s="68">
        <v>0</v>
      </c>
      <c r="BM53" s="69"/>
      <c r="BN53" s="4"/>
      <c r="BO53" s="4"/>
      <c r="BP53" s="4"/>
      <c r="BQ53" s="4"/>
      <c r="BR53" s="49">
        <v>2</v>
      </c>
      <c r="BS53" s="50"/>
      <c r="BT53" s="51">
        <v>0</v>
      </c>
      <c r="BU53" s="50"/>
      <c r="BV53" s="51">
        <v>0</v>
      </c>
      <c r="BW53" s="52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2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135</v>
      </c>
      <c r="K60" s="25"/>
      <c r="L60" s="26"/>
      <c r="M60" s="38" t="s">
        <v>111</v>
      </c>
      <c r="N60" s="39"/>
      <c r="O60" s="40"/>
      <c r="P60" s="4"/>
      <c r="Q60" s="4"/>
      <c r="R60" s="4"/>
      <c r="S60" s="4"/>
      <c r="T60" s="24" t="s">
        <v>136</v>
      </c>
      <c r="U60" s="25"/>
      <c r="V60" s="26"/>
      <c r="W60" s="38" t="s">
        <v>110</v>
      </c>
      <c r="X60" s="39"/>
      <c r="Y60" s="40"/>
      <c r="Z60" s="4"/>
      <c r="AA60" s="4"/>
      <c r="AB60" s="4"/>
      <c r="AC60" s="4"/>
      <c r="AD60" s="24" t="s">
        <v>48</v>
      </c>
      <c r="AE60" s="25"/>
      <c r="AF60" s="26"/>
      <c r="AG60" s="38">
        <v>322</v>
      </c>
      <c r="AH60" s="39"/>
      <c r="AI60" s="40"/>
      <c r="AJ60" s="4"/>
      <c r="AK60" s="4"/>
      <c r="AL60" s="4"/>
      <c r="AM60" s="4"/>
      <c r="AN60" s="24" t="s">
        <v>48</v>
      </c>
      <c r="AO60" s="25"/>
      <c r="AP60" s="26"/>
      <c r="AQ60" s="38">
        <v>314</v>
      </c>
      <c r="AR60" s="39"/>
      <c r="AS60" s="40"/>
      <c r="AT60" s="4"/>
      <c r="AU60" s="4"/>
      <c r="AV60" s="4"/>
      <c r="AW60" s="4"/>
      <c r="AX60" s="24" t="s">
        <v>137</v>
      </c>
      <c r="AY60" s="25"/>
      <c r="AZ60" s="26"/>
      <c r="BA60" s="38" t="s">
        <v>111</v>
      </c>
      <c r="BB60" s="39"/>
      <c r="BC60" s="40"/>
      <c r="BD60" s="4"/>
      <c r="BE60" s="4"/>
      <c r="BF60" s="4"/>
      <c r="BG60" s="4"/>
      <c r="BH60" s="24" t="s">
        <v>167</v>
      </c>
      <c r="BI60" s="25"/>
      <c r="BJ60" s="26"/>
      <c r="BK60" s="38">
        <v>215</v>
      </c>
      <c r="BL60" s="39"/>
      <c r="BM60" s="40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885</v>
      </c>
      <c r="H61" s="2"/>
      <c r="I61" s="2"/>
      <c r="J61" s="114" t="s">
        <v>134</v>
      </c>
      <c r="K61" s="115"/>
      <c r="L61" s="115"/>
      <c r="M61" s="115"/>
      <c r="N61" s="116"/>
      <c r="O61" s="117"/>
      <c r="P61" s="4"/>
      <c r="Q61" s="4"/>
      <c r="R61" s="4"/>
      <c r="S61" s="4"/>
      <c r="T61" s="30" t="s">
        <v>28</v>
      </c>
      <c r="U61" s="31"/>
      <c r="V61" s="31"/>
      <c r="W61" s="31"/>
      <c r="X61" s="32"/>
      <c r="Y61" s="33"/>
      <c r="Z61" s="4"/>
      <c r="AA61" s="4"/>
      <c r="AB61" s="4"/>
      <c r="AC61" s="4"/>
      <c r="AD61" s="94" t="s">
        <v>54</v>
      </c>
      <c r="AE61" s="95"/>
      <c r="AF61" s="95"/>
      <c r="AG61" s="95"/>
      <c r="AH61" s="96"/>
      <c r="AI61" s="97"/>
      <c r="AJ61" s="4"/>
      <c r="AK61" s="4"/>
      <c r="AL61" s="4"/>
      <c r="AM61" s="4"/>
      <c r="AN61" s="94" t="s">
        <v>55</v>
      </c>
      <c r="AO61" s="95"/>
      <c r="AP61" s="95"/>
      <c r="AQ61" s="95"/>
      <c r="AR61" s="96"/>
      <c r="AS61" s="97"/>
      <c r="AT61" s="4"/>
      <c r="AU61" s="4"/>
      <c r="AV61" s="4"/>
      <c r="AW61" s="4"/>
      <c r="AX61" s="76" t="s">
        <v>138</v>
      </c>
      <c r="AY61" s="77"/>
      <c r="AZ61" s="77"/>
      <c r="BA61" s="77"/>
      <c r="BB61" s="77"/>
      <c r="BC61" s="78"/>
      <c r="BD61" s="4"/>
      <c r="BE61" s="4"/>
      <c r="BF61" s="4"/>
      <c r="BG61" s="4"/>
      <c r="BH61" s="30" t="s">
        <v>168</v>
      </c>
      <c r="BI61" s="31"/>
      <c r="BJ61" s="31"/>
      <c r="BK61" s="31"/>
      <c r="BL61" s="32"/>
      <c r="BM61" s="33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110">
        <v>2</v>
      </c>
      <c r="K62" s="111"/>
      <c r="L62" s="108">
        <v>2</v>
      </c>
      <c r="M62" s="111"/>
      <c r="N62" s="108">
        <v>90</v>
      </c>
      <c r="O62" s="109"/>
      <c r="P62" s="4"/>
      <c r="Q62" s="4"/>
      <c r="R62" s="4"/>
      <c r="S62" s="4"/>
      <c r="T62" s="34">
        <v>3</v>
      </c>
      <c r="U62" s="35"/>
      <c r="V62" s="36">
        <v>4</v>
      </c>
      <c r="W62" s="35"/>
      <c r="X62" s="36">
        <v>150</v>
      </c>
      <c r="Y62" s="37"/>
      <c r="Z62" s="4"/>
      <c r="AA62" s="4"/>
      <c r="AB62" s="4"/>
      <c r="AC62" s="4"/>
      <c r="AD62" s="98">
        <v>3</v>
      </c>
      <c r="AE62" s="99"/>
      <c r="AF62" s="100">
        <v>6</v>
      </c>
      <c r="AG62" s="99"/>
      <c r="AH62" s="100">
        <v>180</v>
      </c>
      <c r="AI62" s="101"/>
      <c r="AJ62" s="4"/>
      <c r="AK62" s="4"/>
      <c r="AL62" s="4"/>
      <c r="AM62" s="4"/>
      <c r="AN62" s="98">
        <v>3</v>
      </c>
      <c r="AO62" s="99"/>
      <c r="AP62" s="100">
        <v>6</v>
      </c>
      <c r="AQ62" s="99"/>
      <c r="AR62" s="100">
        <v>180</v>
      </c>
      <c r="AS62" s="101"/>
      <c r="AT62" s="4"/>
      <c r="AU62" s="4"/>
      <c r="AV62" s="4"/>
      <c r="AW62" s="4"/>
      <c r="AX62" s="79">
        <v>3</v>
      </c>
      <c r="AY62" s="80"/>
      <c r="AZ62" s="81">
        <v>6</v>
      </c>
      <c r="BA62" s="80"/>
      <c r="BB62" s="81">
        <v>180</v>
      </c>
      <c r="BC62" s="82"/>
      <c r="BD62" s="4"/>
      <c r="BE62" s="4"/>
      <c r="BF62" s="4"/>
      <c r="BG62" s="4"/>
      <c r="BH62" s="34">
        <v>2</v>
      </c>
      <c r="BI62" s="35"/>
      <c r="BJ62" s="36">
        <v>4</v>
      </c>
      <c r="BK62" s="35"/>
      <c r="BL62" s="36">
        <v>105</v>
      </c>
      <c r="BM62" s="37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16</v>
      </c>
      <c r="F63" s="11">
        <f>SUM(J63:BM63)</f>
        <v>28</v>
      </c>
      <c r="G63" s="105"/>
      <c r="H63" s="2"/>
      <c r="I63" s="2"/>
      <c r="J63" s="112">
        <v>2</v>
      </c>
      <c r="K63" s="113"/>
      <c r="L63" s="106">
        <v>0</v>
      </c>
      <c r="M63" s="113"/>
      <c r="N63" s="106">
        <v>0</v>
      </c>
      <c r="O63" s="107"/>
      <c r="P63" s="4"/>
      <c r="Q63" s="4"/>
      <c r="R63" s="4"/>
      <c r="S63" s="4"/>
      <c r="T63" s="20">
        <v>2</v>
      </c>
      <c r="U63" s="21"/>
      <c r="V63" s="22">
        <v>2</v>
      </c>
      <c r="W63" s="21"/>
      <c r="X63" s="22">
        <v>0</v>
      </c>
      <c r="Y63" s="23"/>
      <c r="Z63" s="4"/>
      <c r="AA63" s="4"/>
      <c r="AB63" s="4"/>
      <c r="AC63" s="4"/>
      <c r="AD63" s="72">
        <v>3</v>
      </c>
      <c r="AE63" s="73"/>
      <c r="AF63" s="68">
        <v>3</v>
      </c>
      <c r="AG63" s="73"/>
      <c r="AH63" s="68">
        <v>0</v>
      </c>
      <c r="AI63" s="69"/>
      <c r="AJ63" s="4"/>
      <c r="AK63" s="4"/>
      <c r="AL63" s="4"/>
      <c r="AM63" s="4"/>
      <c r="AN63" s="72">
        <v>3</v>
      </c>
      <c r="AO63" s="73"/>
      <c r="AP63" s="68">
        <v>3</v>
      </c>
      <c r="AQ63" s="73"/>
      <c r="AR63" s="68">
        <v>0</v>
      </c>
      <c r="AS63" s="69"/>
      <c r="AT63" s="4"/>
      <c r="AU63" s="4"/>
      <c r="AV63" s="4"/>
      <c r="AW63" s="4"/>
      <c r="AX63" s="83">
        <v>3</v>
      </c>
      <c r="AY63" s="84"/>
      <c r="AZ63" s="85">
        <v>3</v>
      </c>
      <c r="BA63" s="84"/>
      <c r="BB63" s="85">
        <v>0</v>
      </c>
      <c r="BC63" s="86"/>
      <c r="BD63" s="4"/>
      <c r="BE63" s="4"/>
      <c r="BF63" s="4"/>
      <c r="BG63" s="4"/>
      <c r="BH63" s="20">
        <v>2</v>
      </c>
      <c r="BI63" s="21"/>
      <c r="BJ63" s="22">
        <v>1</v>
      </c>
      <c r="BK63" s="21"/>
      <c r="BL63" s="22">
        <v>1</v>
      </c>
      <c r="BM63" s="23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136</v>
      </c>
      <c r="K68" s="25"/>
      <c r="L68" s="26"/>
      <c r="M68" s="38" t="s">
        <v>110</v>
      </c>
      <c r="N68" s="39"/>
      <c r="O68" s="40"/>
      <c r="P68" s="4"/>
      <c r="Q68" s="4"/>
      <c r="R68" s="4"/>
      <c r="S68" s="4"/>
      <c r="T68" s="24" t="s">
        <v>48</v>
      </c>
      <c r="U68" s="25"/>
      <c r="V68" s="26"/>
      <c r="W68" s="38">
        <v>351</v>
      </c>
      <c r="X68" s="39"/>
      <c r="Y68" s="40"/>
      <c r="Z68" s="4"/>
      <c r="AA68" s="4"/>
      <c r="AB68" s="4"/>
      <c r="AC68" s="4"/>
      <c r="AD68" s="24" t="s">
        <v>48</v>
      </c>
      <c r="AE68" s="25"/>
      <c r="AF68" s="26"/>
      <c r="AG68" s="38">
        <v>323</v>
      </c>
      <c r="AH68" s="39"/>
      <c r="AI68" s="40"/>
      <c r="AJ68" s="4"/>
      <c r="AK68" s="4"/>
      <c r="AL68" s="4"/>
      <c r="AM68" s="4"/>
      <c r="AN68" s="24" t="s">
        <v>48</v>
      </c>
      <c r="AO68" s="25"/>
      <c r="AP68" s="26"/>
      <c r="AQ68" s="38">
        <v>332</v>
      </c>
      <c r="AR68" s="39"/>
      <c r="AS68" s="40"/>
      <c r="AT68" s="4"/>
      <c r="AU68" s="4"/>
      <c r="AV68" s="4"/>
      <c r="AW68" s="4"/>
      <c r="AX68" s="24" t="s">
        <v>137</v>
      </c>
      <c r="AY68" s="25"/>
      <c r="AZ68" s="26"/>
      <c r="BA68" s="38" t="s">
        <v>111</v>
      </c>
      <c r="BB68" s="39"/>
      <c r="BC68" s="40"/>
      <c r="BD68" s="4"/>
      <c r="BE68" s="4"/>
      <c r="BF68" s="4"/>
      <c r="BG68" s="4"/>
      <c r="BH68" s="24" t="s">
        <v>48</v>
      </c>
      <c r="BI68" s="25"/>
      <c r="BJ68" s="26"/>
      <c r="BK68" s="38">
        <v>392</v>
      </c>
      <c r="BL68" s="39"/>
      <c r="BM68" s="40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900</v>
      </c>
      <c r="H69" s="2"/>
      <c r="I69" s="2"/>
      <c r="J69" s="30" t="s">
        <v>29</v>
      </c>
      <c r="K69" s="31"/>
      <c r="L69" s="31"/>
      <c r="M69" s="31"/>
      <c r="N69" s="32"/>
      <c r="O69" s="33"/>
      <c r="P69" s="4"/>
      <c r="Q69" s="4"/>
      <c r="R69" s="4"/>
      <c r="S69" s="4"/>
      <c r="T69" s="94" t="s">
        <v>56</v>
      </c>
      <c r="U69" s="95"/>
      <c r="V69" s="95"/>
      <c r="W69" s="95"/>
      <c r="X69" s="96"/>
      <c r="Y69" s="97"/>
      <c r="Z69" s="4"/>
      <c r="AA69" s="4"/>
      <c r="AB69" s="4"/>
      <c r="AC69" s="4"/>
      <c r="AD69" s="94" t="s">
        <v>57</v>
      </c>
      <c r="AE69" s="95"/>
      <c r="AF69" s="95"/>
      <c r="AG69" s="95"/>
      <c r="AH69" s="96"/>
      <c r="AI69" s="97"/>
      <c r="AJ69" s="4"/>
      <c r="AK69" s="4"/>
      <c r="AL69" s="4"/>
      <c r="AM69" s="4"/>
      <c r="AN69" s="94" t="s">
        <v>58</v>
      </c>
      <c r="AO69" s="95"/>
      <c r="AP69" s="95"/>
      <c r="AQ69" s="95"/>
      <c r="AR69" s="96"/>
      <c r="AS69" s="97"/>
      <c r="AT69" s="4"/>
      <c r="AU69" s="4"/>
      <c r="AV69" s="4"/>
      <c r="AW69" s="4"/>
      <c r="AX69" s="76" t="s">
        <v>139</v>
      </c>
      <c r="AY69" s="77"/>
      <c r="AZ69" s="77"/>
      <c r="BA69" s="77"/>
      <c r="BB69" s="77"/>
      <c r="BC69" s="78"/>
      <c r="BD69" s="4"/>
      <c r="BE69" s="4"/>
      <c r="BF69" s="4"/>
      <c r="BG69" s="4"/>
      <c r="BH69" s="41" t="s">
        <v>151</v>
      </c>
      <c r="BI69" s="42"/>
      <c r="BJ69" s="42"/>
      <c r="BK69" s="42"/>
      <c r="BL69" s="43"/>
      <c r="BM69" s="4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34">
        <v>3</v>
      </c>
      <c r="K70" s="35"/>
      <c r="L70" s="36">
        <v>4</v>
      </c>
      <c r="M70" s="35"/>
      <c r="N70" s="36">
        <v>150</v>
      </c>
      <c r="O70" s="37"/>
      <c r="P70" s="4"/>
      <c r="Q70" s="4"/>
      <c r="R70" s="4"/>
      <c r="S70" s="4"/>
      <c r="T70" s="98">
        <v>3</v>
      </c>
      <c r="U70" s="99"/>
      <c r="V70" s="100">
        <v>6</v>
      </c>
      <c r="W70" s="99"/>
      <c r="X70" s="100">
        <v>180</v>
      </c>
      <c r="Y70" s="101"/>
      <c r="Z70" s="4"/>
      <c r="AA70" s="4"/>
      <c r="AB70" s="4"/>
      <c r="AC70" s="4"/>
      <c r="AD70" s="98">
        <v>3</v>
      </c>
      <c r="AE70" s="99"/>
      <c r="AF70" s="100">
        <v>6</v>
      </c>
      <c r="AG70" s="99"/>
      <c r="AH70" s="100">
        <v>180</v>
      </c>
      <c r="AI70" s="101"/>
      <c r="AJ70" s="4"/>
      <c r="AK70" s="4"/>
      <c r="AL70" s="4"/>
      <c r="AM70" s="4"/>
      <c r="AN70" s="98">
        <v>3</v>
      </c>
      <c r="AO70" s="99"/>
      <c r="AP70" s="100">
        <v>6</v>
      </c>
      <c r="AQ70" s="99"/>
      <c r="AR70" s="100">
        <v>180</v>
      </c>
      <c r="AS70" s="101"/>
      <c r="AT70" s="4"/>
      <c r="AU70" s="4"/>
      <c r="AV70" s="4"/>
      <c r="AW70" s="4"/>
      <c r="AX70" s="79">
        <v>3</v>
      </c>
      <c r="AY70" s="80"/>
      <c r="AZ70" s="81">
        <v>6</v>
      </c>
      <c r="BA70" s="80"/>
      <c r="BB70" s="81">
        <v>180</v>
      </c>
      <c r="BC70" s="82"/>
      <c r="BD70" s="4"/>
      <c r="BE70" s="4"/>
      <c r="BF70" s="4"/>
      <c r="BG70" s="4"/>
      <c r="BH70" s="45">
        <v>1</v>
      </c>
      <c r="BI70" s="46"/>
      <c r="BJ70" s="47">
        <v>2</v>
      </c>
      <c r="BK70" s="46"/>
      <c r="BL70" s="47">
        <v>30</v>
      </c>
      <c r="BM70" s="48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SUM(J70,T70,AD70,AN70,AX70,BH70)</f>
        <v>16</v>
      </c>
      <c r="F71" s="11">
        <f>L70+V70+AF70+AP70+AZ70+BJ70</f>
        <v>30</v>
      </c>
      <c r="G71" s="105"/>
      <c r="H71" s="2"/>
      <c r="I71" s="2"/>
      <c r="J71" s="20">
        <v>2</v>
      </c>
      <c r="K71" s="21"/>
      <c r="L71" s="22">
        <v>2</v>
      </c>
      <c r="M71" s="21"/>
      <c r="N71" s="22">
        <v>0</v>
      </c>
      <c r="O71" s="23"/>
      <c r="P71" s="4"/>
      <c r="Q71" s="4"/>
      <c r="R71" s="4"/>
      <c r="S71" s="4"/>
      <c r="T71" s="72">
        <v>3</v>
      </c>
      <c r="U71" s="73"/>
      <c r="V71" s="68">
        <v>3</v>
      </c>
      <c r="W71" s="73"/>
      <c r="X71" s="68">
        <v>0</v>
      </c>
      <c r="Y71" s="69"/>
      <c r="Z71" s="4"/>
      <c r="AA71" s="4"/>
      <c r="AB71" s="4"/>
      <c r="AC71" s="4"/>
      <c r="AD71" s="72">
        <v>3</v>
      </c>
      <c r="AE71" s="73"/>
      <c r="AF71" s="68">
        <v>3</v>
      </c>
      <c r="AG71" s="73"/>
      <c r="AH71" s="68">
        <v>0</v>
      </c>
      <c r="AI71" s="69"/>
      <c r="AJ71" s="4"/>
      <c r="AK71" s="4"/>
      <c r="AL71" s="4"/>
      <c r="AM71" s="4"/>
      <c r="AN71" s="72">
        <v>3</v>
      </c>
      <c r="AO71" s="73"/>
      <c r="AP71" s="68">
        <v>3</v>
      </c>
      <c r="AQ71" s="73"/>
      <c r="AR71" s="68">
        <v>0</v>
      </c>
      <c r="AS71" s="69"/>
      <c r="AT71" s="4"/>
      <c r="AU71" s="4"/>
      <c r="AV71" s="4"/>
      <c r="AW71" s="4"/>
      <c r="AX71" s="83">
        <v>3</v>
      </c>
      <c r="AY71" s="84"/>
      <c r="AZ71" s="85">
        <v>3</v>
      </c>
      <c r="BA71" s="84"/>
      <c r="BB71" s="85">
        <v>0</v>
      </c>
      <c r="BC71" s="86"/>
      <c r="BD71" s="4"/>
      <c r="BE71" s="4"/>
      <c r="BF71" s="4"/>
      <c r="BG71" s="4"/>
      <c r="BH71" s="49">
        <v>2</v>
      </c>
      <c r="BI71" s="50"/>
      <c r="BJ71" s="51">
        <v>0</v>
      </c>
      <c r="BK71" s="50"/>
      <c r="BL71" s="51">
        <v>0</v>
      </c>
      <c r="BM71" s="52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thickBot="1" x14ac:dyDescent="0.35"/>
    <row r="77" spans="2:135" ht="10.050000000000001" customHeight="1" thickTop="1" thickBot="1" x14ac:dyDescent="0.35">
      <c r="B77" s="118" t="s">
        <v>1</v>
      </c>
      <c r="C77" s="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I77" s="63" t="s">
        <v>15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6"/>
    </row>
    <row r="78" spans="2:135" ht="15" customHeight="1" x14ac:dyDescent="0.3">
      <c r="B78" s="118"/>
      <c r="C78" s="1"/>
      <c r="D78" s="119" t="s">
        <v>5</v>
      </c>
      <c r="E78" s="11"/>
      <c r="F78" s="11"/>
      <c r="G78" s="2"/>
      <c r="H78" s="2"/>
      <c r="I78" s="2"/>
      <c r="J78" s="24" t="s">
        <v>141</v>
      </c>
      <c r="K78" s="25"/>
      <c r="L78" s="26"/>
      <c r="M78" s="38" t="s">
        <v>111</v>
      </c>
      <c r="N78" s="39"/>
      <c r="O78" s="40"/>
      <c r="P78" s="4"/>
      <c r="Q78" s="4"/>
      <c r="R78" s="4"/>
      <c r="S78" s="4"/>
      <c r="T78" s="24" t="s">
        <v>48</v>
      </c>
      <c r="U78" s="25"/>
      <c r="V78" s="26"/>
      <c r="W78" s="38">
        <v>425</v>
      </c>
      <c r="X78" s="39"/>
      <c r="Y78" s="40"/>
      <c r="Z78" s="4"/>
      <c r="AA78" s="4"/>
      <c r="AB78" s="4"/>
      <c r="AC78" s="4"/>
      <c r="AD78" s="24" t="s">
        <v>137</v>
      </c>
      <c r="AE78" s="25"/>
      <c r="AF78" s="26"/>
      <c r="AG78" s="38" t="s">
        <v>112</v>
      </c>
      <c r="AH78" s="39"/>
      <c r="AI78" s="40"/>
      <c r="AJ78" s="4"/>
      <c r="AK78" s="4"/>
      <c r="AL78" s="4"/>
      <c r="AM78" s="4"/>
      <c r="AN78" s="24" t="s">
        <v>137</v>
      </c>
      <c r="AO78" s="25"/>
      <c r="AP78" s="26"/>
      <c r="AQ78" s="38" t="s">
        <v>112</v>
      </c>
      <c r="AR78" s="39"/>
      <c r="AS78" s="40"/>
      <c r="AT78" s="4"/>
      <c r="AU78" s="4"/>
      <c r="AV78" s="4"/>
      <c r="AW78" s="4"/>
      <c r="AX78" s="24" t="s">
        <v>48</v>
      </c>
      <c r="AY78" s="25"/>
      <c r="AZ78" s="26"/>
      <c r="BA78" s="38">
        <v>493</v>
      </c>
      <c r="BB78" s="39"/>
      <c r="BC78" s="40"/>
      <c r="BD78" s="4"/>
      <c r="BE78" s="4"/>
      <c r="BF78" s="4"/>
      <c r="BG78" s="4"/>
      <c r="BI78" s="64"/>
      <c r="BJ78" s="16"/>
      <c r="BK78" s="17"/>
      <c r="BL78" s="16"/>
      <c r="BR78" s="123" t="s">
        <v>7</v>
      </c>
      <c r="BS78" s="124"/>
      <c r="BT78" s="124"/>
      <c r="BU78" s="124"/>
      <c r="BV78" s="125"/>
      <c r="BW78" s="126"/>
      <c r="CA78" s="8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79" s="118"/>
      <c r="C79" s="1"/>
      <c r="D79" s="119"/>
      <c r="E79" s="120" t="s">
        <v>16</v>
      </c>
      <c r="F79" s="120" t="s">
        <v>17</v>
      </c>
      <c r="G79" s="13">
        <f>SUM(N80,X80,AH80,AR80,BB80,BL80)</f>
        <v>750</v>
      </c>
      <c r="H79" s="2"/>
      <c r="I79" s="2"/>
      <c r="J79" s="114" t="s">
        <v>142</v>
      </c>
      <c r="K79" s="115"/>
      <c r="L79" s="115"/>
      <c r="M79" s="115"/>
      <c r="N79" s="116"/>
      <c r="O79" s="117"/>
      <c r="P79" s="4"/>
      <c r="Q79" s="4"/>
      <c r="R79" s="4"/>
      <c r="S79" s="4"/>
      <c r="T79" s="94" t="s">
        <v>59</v>
      </c>
      <c r="U79" s="95"/>
      <c r="V79" s="95"/>
      <c r="W79" s="95"/>
      <c r="X79" s="96"/>
      <c r="Y79" s="97"/>
      <c r="Z79" s="4"/>
      <c r="AA79" s="4"/>
      <c r="AB79" s="4"/>
      <c r="AC79" s="4"/>
      <c r="AD79" s="76" t="s">
        <v>140</v>
      </c>
      <c r="AE79" s="77"/>
      <c r="AF79" s="77"/>
      <c r="AG79" s="77"/>
      <c r="AH79" s="77"/>
      <c r="AI79" s="78"/>
      <c r="AJ79" s="4"/>
      <c r="AK79" s="4"/>
      <c r="AL79" s="4"/>
      <c r="AM79" s="4"/>
      <c r="AN79" s="76" t="s">
        <v>143</v>
      </c>
      <c r="AO79" s="77"/>
      <c r="AP79" s="77"/>
      <c r="AQ79" s="77"/>
      <c r="AR79" s="77"/>
      <c r="AS79" s="78"/>
      <c r="AT79" s="4"/>
      <c r="AU79" s="4"/>
      <c r="AV79" s="4"/>
      <c r="AW79" s="4"/>
      <c r="AX79" s="87" t="s">
        <v>63</v>
      </c>
      <c r="AY79" s="88"/>
      <c r="AZ79" s="88"/>
      <c r="BA79" s="88"/>
      <c r="BB79" s="88"/>
      <c r="BC79" s="89"/>
      <c r="BD79" s="4"/>
      <c r="BE79" s="4"/>
      <c r="BF79" s="4"/>
      <c r="BG79" s="4"/>
      <c r="BI79" s="64"/>
      <c r="BJ79" s="16"/>
      <c r="BK79" s="17"/>
      <c r="BL79" s="16"/>
      <c r="BR79" s="127" t="s">
        <v>8</v>
      </c>
      <c r="BS79" s="128"/>
      <c r="BT79" s="128"/>
      <c r="BU79" s="128"/>
      <c r="BV79" s="129"/>
      <c r="BW79" s="130"/>
      <c r="CA79" s="8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ht="15" customHeight="1" x14ac:dyDescent="0.3">
      <c r="B80" s="118"/>
      <c r="C80" s="1"/>
      <c r="D80" s="119"/>
      <c r="E80" s="120"/>
      <c r="F80" s="120"/>
      <c r="G80" s="105"/>
      <c r="H80" s="121"/>
      <c r="I80" s="122"/>
      <c r="J80" s="110">
        <v>2</v>
      </c>
      <c r="K80" s="111"/>
      <c r="L80" s="108">
        <v>2</v>
      </c>
      <c r="M80" s="111"/>
      <c r="N80" s="108">
        <v>90</v>
      </c>
      <c r="O80" s="109"/>
      <c r="P80" s="4"/>
      <c r="Q80" s="4"/>
      <c r="R80" s="4"/>
      <c r="S80" s="4"/>
      <c r="T80" s="98">
        <v>3</v>
      </c>
      <c r="U80" s="99"/>
      <c r="V80" s="100">
        <v>6</v>
      </c>
      <c r="W80" s="99"/>
      <c r="X80" s="100">
        <v>180</v>
      </c>
      <c r="Y80" s="101"/>
      <c r="Z80" s="4"/>
      <c r="AA80" s="4"/>
      <c r="AB80" s="4"/>
      <c r="AC80" s="4"/>
      <c r="AD80" s="79">
        <v>3</v>
      </c>
      <c r="AE80" s="80"/>
      <c r="AF80" s="81">
        <v>6</v>
      </c>
      <c r="AG80" s="80"/>
      <c r="AH80" s="81">
        <v>180</v>
      </c>
      <c r="AI80" s="82"/>
      <c r="AJ80" s="4"/>
      <c r="AK80" s="4"/>
      <c r="AL80" s="4"/>
      <c r="AM80" s="4"/>
      <c r="AN80" s="79">
        <v>3</v>
      </c>
      <c r="AO80" s="80"/>
      <c r="AP80" s="81">
        <v>6</v>
      </c>
      <c r="AQ80" s="80"/>
      <c r="AR80" s="81">
        <v>180</v>
      </c>
      <c r="AS80" s="82"/>
      <c r="AT80" s="4"/>
      <c r="AU80" s="4"/>
      <c r="AV80" s="4"/>
      <c r="AW80" s="4"/>
      <c r="AX80" s="45">
        <v>3</v>
      </c>
      <c r="AY80" s="46"/>
      <c r="AZ80" s="47">
        <v>2</v>
      </c>
      <c r="BA80" s="46"/>
      <c r="BB80" s="47">
        <v>120</v>
      </c>
      <c r="BC80" s="48"/>
      <c r="BD80" s="4"/>
      <c r="BE80" s="4"/>
      <c r="BF80" s="4"/>
      <c r="BG80" s="4"/>
      <c r="BI80" s="64"/>
      <c r="BJ80" s="16"/>
      <c r="BK80" s="17"/>
      <c r="BL80" s="16"/>
      <c r="BR80" s="66" t="s">
        <v>9</v>
      </c>
      <c r="BS80" s="67"/>
      <c r="BT80" s="131" t="s">
        <v>18</v>
      </c>
      <c r="BU80" s="67"/>
      <c r="BV80" s="131" t="s">
        <v>10</v>
      </c>
      <c r="BW80" s="132"/>
      <c r="CA80" s="8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2:135" ht="15" thickBot="1" x14ac:dyDescent="0.35">
      <c r="B81" s="118"/>
      <c r="C81" s="1"/>
      <c r="D81" s="119"/>
      <c r="E81" s="11">
        <f>SUM(J80,T80,AD80,AN80,AX80)</f>
        <v>14</v>
      </c>
      <c r="F81" s="11">
        <f>SUM(J81:BC81)</f>
        <v>22</v>
      </c>
      <c r="G81" s="105"/>
      <c r="H81" s="2"/>
      <c r="I81" s="2"/>
      <c r="J81" s="112">
        <v>2</v>
      </c>
      <c r="K81" s="113"/>
      <c r="L81" s="106">
        <v>0</v>
      </c>
      <c r="M81" s="113"/>
      <c r="N81" s="106">
        <v>0</v>
      </c>
      <c r="O81" s="107"/>
      <c r="P81" s="4"/>
      <c r="Q81" s="4"/>
      <c r="R81" s="4"/>
      <c r="S81" s="4"/>
      <c r="T81" s="72">
        <v>3</v>
      </c>
      <c r="U81" s="73"/>
      <c r="V81" s="68">
        <v>3</v>
      </c>
      <c r="W81" s="73"/>
      <c r="X81" s="68">
        <v>0</v>
      </c>
      <c r="Y81" s="69"/>
      <c r="Z81" s="4"/>
      <c r="AA81" s="4"/>
      <c r="AB81" s="4"/>
      <c r="AC81" s="4"/>
      <c r="AD81" s="83">
        <v>3</v>
      </c>
      <c r="AE81" s="84"/>
      <c r="AF81" s="85">
        <v>3</v>
      </c>
      <c r="AG81" s="84"/>
      <c r="AH81" s="85">
        <v>0</v>
      </c>
      <c r="AI81" s="86"/>
      <c r="AJ81" s="4"/>
      <c r="AK81" s="4"/>
      <c r="AL81" s="4"/>
      <c r="AM81" s="4"/>
      <c r="AN81" s="83">
        <v>3</v>
      </c>
      <c r="AO81" s="84"/>
      <c r="AP81" s="85">
        <v>3</v>
      </c>
      <c r="AQ81" s="84"/>
      <c r="AR81" s="85">
        <v>0</v>
      </c>
      <c r="AS81" s="86"/>
      <c r="AT81" s="4"/>
      <c r="AU81" s="4"/>
      <c r="AV81" s="4"/>
      <c r="AW81" s="4"/>
      <c r="AX81" s="49">
        <v>2</v>
      </c>
      <c r="AY81" s="50"/>
      <c r="AZ81" s="51">
        <v>0</v>
      </c>
      <c r="BA81" s="50"/>
      <c r="BB81" s="51">
        <v>0</v>
      </c>
      <c r="BC81" s="52"/>
      <c r="BD81" s="4"/>
      <c r="BE81" s="4"/>
      <c r="BF81" s="4"/>
      <c r="BG81" s="4"/>
      <c r="BI81" s="64"/>
      <c r="BJ81" s="16"/>
      <c r="BK81" s="17"/>
      <c r="BL81" s="16"/>
      <c r="BR81" s="133" t="s">
        <v>11</v>
      </c>
      <c r="BS81" s="134"/>
      <c r="BT81" s="135" t="s">
        <v>12</v>
      </c>
      <c r="BU81" s="134"/>
      <c r="BV81" s="135" t="s">
        <v>13</v>
      </c>
      <c r="BW81" s="136"/>
      <c r="CA81" s="8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2:135" ht="10.050000000000001" customHeight="1" x14ac:dyDescent="0.3">
      <c r="B82" s="118"/>
      <c r="C82" s="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I82" s="64"/>
      <c r="BL82" s="16"/>
      <c r="CA82" s="8"/>
    </row>
    <row r="83" spans="2:135" ht="10.050000000000001" customHeight="1" x14ac:dyDescent="0.3">
      <c r="B83" s="118"/>
      <c r="C83" s="3"/>
      <c r="BI83" s="64"/>
      <c r="BL83" s="16"/>
      <c r="CA83" s="8"/>
    </row>
    <row r="84" spans="2:135" ht="10.050000000000001" customHeight="1" x14ac:dyDescent="0.3">
      <c r="B84" s="118"/>
      <c r="C84" s="3"/>
      <c r="BI84" s="64"/>
      <c r="BJ84" s="90"/>
      <c r="BL84" s="15"/>
      <c r="BN84" s="18"/>
      <c r="BO84" s="18"/>
      <c r="BP84" s="18"/>
      <c r="BQ84" s="18"/>
      <c r="BS84" s="60"/>
      <c r="BU84" s="75" t="s">
        <v>30</v>
      </c>
      <c r="BW84" s="61"/>
      <c r="CA84" s="8"/>
    </row>
    <row r="85" spans="2:135" ht="10.050000000000001" customHeight="1" thickBot="1" x14ac:dyDescent="0.35">
      <c r="B85" s="118"/>
      <c r="C85" s="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I85" s="64"/>
      <c r="BJ85" s="90"/>
      <c r="BL85" s="74" t="s">
        <v>22</v>
      </c>
      <c r="BN85" s="18"/>
      <c r="BO85" s="18"/>
      <c r="BP85" s="18"/>
      <c r="BQ85" s="18"/>
      <c r="BS85" s="60"/>
      <c r="BU85" s="75"/>
      <c r="BW85" s="61"/>
      <c r="CA85" s="8"/>
    </row>
    <row r="86" spans="2:135" ht="15" customHeight="1" x14ac:dyDescent="0.3">
      <c r="B86" s="118"/>
      <c r="C86" s="1"/>
      <c r="D86" s="119" t="s">
        <v>6</v>
      </c>
      <c r="E86" s="11"/>
      <c r="F86" s="11"/>
      <c r="G86" s="2"/>
      <c r="H86" s="2"/>
      <c r="I86" s="2"/>
      <c r="J86" s="24" t="s">
        <v>144</v>
      </c>
      <c r="K86" s="25"/>
      <c r="L86" s="26"/>
      <c r="M86" s="38" t="s">
        <v>111</v>
      </c>
      <c r="N86" s="39"/>
      <c r="O86" s="40"/>
      <c r="P86" s="4"/>
      <c r="Q86" s="4"/>
      <c r="R86" s="4"/>
      <c r="S86" s="4"/>
      <c r="T86" s="24" t="s">
        <v>48</v>
      </c>
      <c r="U86" s="25"/>
      <c r="V86" s="26"/>
      <c r="W86" s="38">
        <v>424</v>
      </c>
      <c r="X86" s="39"/>
      <c r="Y86" s="40"/>
      <c r="Z86" s="4"/>
      <c r="AA86" s="4"/>
      <c r="AB86" s="4"/>
      <c r="AC86" s="4"/>
      <c r="AD86" s="24" t="s">
        <v>137</v>
      </c>
      <c r="AE86" s="25"/>
      <c r="AF86" s="26"/>
      <c r="AG86" s="38" t="s">
        <v>112</v>
      </c>
      <c r="AH86" s="39"/>
      <c r="AI86" s="40"/>
      <c r="AJ86" s="4"/>
      <c r="AK86" s="4"/>
      <c r="AL86" s="4"/>
      <c r="AM86" s="4"/>
      <c r="AN86" s="24" t="s">
        <v>137</v>
      </c>
      <c r="AO86" s="25"/>
      <c r="AP86" s="26"/>
      <c r="AQ86" s="38" t="s">
        <v>112</v>
      </c>
      <c r="AR86" s="39"/>
      <c r="AS86" s="40"/>
      <c r="AT86" s="4"/>
      <c r="AU86" s="4"/>
      <c r="AV86" s="4"/>
      <c r="AW86" s="4"/>
      <c r="AX86" s="24" t="s">
        <v>48</v>
      </c>
      <c r="AY86" s="25"/>
      <c r="AZ86" s="26"/>
      <c r="BA86" s="38">
        <v>494</v>
      </c>
      <c r="BB86" s="39"/>
      <c r="BC86" s="40"/>
      <c r="BD86" s="4"/>
      <c r="BE86" s="4"/>
      <c r="BF86" s="4"/>
      <c r="BG86" s="4"/>
      <c r="BI86" s="64"/>
      <c r="BJ86" s="90" t="s">
        <v>31</v>
      </c>
      <c r="BK86" s="7"/>
      <c r="BL86" s="74"/>
      <c r="BM86" s="7"/>
      <c r="BN86" s="62" t="s">
        <v>14</v>
      </c>
      <c r="BO86" s="62"/>
      <c r="BP86" s="62"/>
      <c r="BQ86" s="62"/>
      <c r="BR86" s="7"/>
      <c r="BS86" s="60" t="s">
        <v>46</v>
      </c>
      <c r="BT86" s="7"/>
      <c r="BU86" s="75"/>
      <c r="BV86" s="7"/>
      <c r="BW86" s="61" t="s">
        <v>62</v>
      </c>
      <c r="CA86" s="8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2:135" ht="48.75" customHeight="1" x14ac:dyDescent="0.3">
      <c r="B87" s="118"/>
      <c r="C87" s="1"/>
      <c r="D87" s="119"/>
      <c r="E87" s="120" t="s">
        <v>16</v>
      </c>
      <c r="F87" s="120" t="s">
        <v>17</v>
      </c>
      <c r="G87" s="13">
        <f>SUM(N88,X88,AH88,AR88,BB88,BL88)</f>
        <v>750</v>
      </c>
      <c r="H87" s="2"/>
      <c r="I87" s="2"/>
      <c r="J87" s="114" t="s">
        <v>106</v>
      </c>
      <c r="K87" s="115"/>
      <c r="L87" s="115"/>
      <c r="M87" s="115"/>
      <c r="N87" s="116"/>
      <c r="O87" s="117"/>
      <c r="P87" s="4"/>
      <c r="Q87" s="4"/>
      <c r="R87" s="4"/>
      <c r="S87" s="4"/>
      <c r="T87" s="94" t="s">
        <v>60</v>
      </c>
      <c r="U87" s="95"/>
      <c r="V87" s="95"/>
      <c r="W87" s="95"/>
      <c r="X87" s="96"/>
      <c r="Y87" s="97"/>
      <c r="Z87" s="4"/>
      <c r="AA87" s="4"/>
      <c r="AB87" s="4"/>
      <c r="AC87" s="4"/>
      <c r="AD87" s="76" t="s">
        <v>145</v>
      </c>
      <c r="AE87" s="77"/>
      <c r="AF87" s="77"/>
      <c r="AG87" s="77"/>
      <c r="AH87" s="77"/>
      <c r="AI87" s="78"/>
      <c r="AJ87" s="4"/>
      <c r="AK87" s="4"/>
      <c r="AL87" s="4"/>
      <c r="AM87" s="4"/>
      <c r="AN87" s="76" t="s">
        <v>146</v>
      </c>
      <c r="AO87" s="77"/>
      <c r="AP87" s="77"/>
      <c r="AQ87" s="77"/>
      <c r="AR87" s="77"/>
      <c r="AS87" s="78"/>
      <c r="AT87" s="4"/>
      <c r="AU87" s="4"/>
      <c r="AV87" s="4"/>
      <c r="AW87" s="4"/>
      <c r="AX87" s="87" t="s">
        <v>64</v>
      </c>
      <c r="AY87" s="88"/>
      <c r="AZ87" s="88"/>
      <c r="BA87" s="88"/>
      <c r="BB87" s="88"/>
      <c r="BC87" s="89"/>
      <c r="BD87" s="4"/>
      <c r="BE87" s="4"/>
      <c r="BF87" s="4"/>
      <c r="BG87" s="4"/>
      <c r="BI87" s="64"/>
      <c r="BJ87" s="90"/>
      <c r="BK87" s="7"/>
      <c r="BL87" s="74"/>
      <c r="BM87" s="7"/>
      <c r="BN87" s="62"/>
      <c r="BO87" s="62"/>
      <c r="BP87" s="62"/>
      <c r="BQ87" s="62"/>
      <c r="BR87" s="7"/>
      <c r="BS87" s="60"/>
      <c r="BT87" s="7"/>
      <c r="BU87" s="75"/>
      <c r="BV87" s="7"/>
      <c r="BW87" s="61"/>
      <c r="CA87" s="8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2:135" x14ac:dyDescent="0.3">
      <c r="B88" s="118"/>
      <c r="C88" s="1"/>
      <c r="D88" s="119"/>
      <c r="E88" s="120"/>
      <c r="F88" s="120"/>
      <c r="G88" s="105"/>
      <c r="H88" s="121"/>
      <c r="I88" s="122"/>
      <c r="J88" s="110">
        <v>2</v>
      </c>
      <c r="K88" s="111"/>
      <c r="L88" s="108">
        <v>2</v>
      </c>
      <c r="M88" s="111"/>
      <c r="N88" s="108">
        <v>90</v>
      </c>
      <c r="O88" s="109"/>
      <c r="P88" s="4"/>
      <c r="Q88" s="4"/>
      <c r="R88" s="4"/>
      <c r="S88" s="4"/>
      <c r="T88" s="98">
        <v>3</v>
      </c>
      <c r="U88" s="99"/>
      <c r="V88" s="100">
        <v>6</v>
      </c>
      <c r="W88" s="99"/>
      <c r="X88" s="100">
        <v>180</v>
      </c>
      <c r="Y88" s="101"/>
      <c r="Z88" s="4"/>
      <c r="AA88" s="4"/>
      <c r="AB88" s="4"/>
      <c r="AC88" s="4"/>
      <c r="AD88" s="79">
        <v>3</v>
      </c>
      <c r="AE88" s="80"/>
      <c r="AF88" s="81">
        <v>6</v>
      </c>
      <c r="AG88" s="80"/>
      <c r="AH88" s="81">
        <v>180</v>
      </c>
      <c r="AI88" s="82"/>
      <c r="AJ88" s="4"/>
      <c r="AK88" s="4"/>
      <c r="AL88" s="4"/>
      <c r="AM88" s="4"/>
      <c r="AN88" s="79">
        <v>3</v>
      </c>
      <c r="AO88" s="80"/>
      <c r="AP88" s="81">
        <v>6</v>
      </c>
      <c r="AQ88" s="80"/>
      <c r="AR88" s="81">
        <v>180</v>
      </c>
      <c r="AS88" s="82"/>
      <c r="AT88" s="4"/>
      <c r="AU88" s="4"/>
      <c r="AV88" s="4"/>
      <c r="AW88" s="4"/>
      <c r="AX88" s="45">
        <v>3</v>
      </c>
      <c r="AY88" s="46"/>
      <c r="AZ88" s="47">
        <v>6</v>
      </c>
      <c r="BA88" s="46"/>
      <c r="BB88" s="47">
        <v>120</v>
      </c>
      <c r="BC88" s="48"/>
      <c r="BD88" s="4"/>
      <c r="BE88" s="4"/>
      <c r="BF88" s="4"/>
      <c r="BG88" s="4"/>
      <c r="BI88" s="64"/>
      <c r="BJ88" s="90"/>
      <c r="BK88" s="7"/>
      <c r="BL88" s="74"/>
      <c r="BM88" s="7"/>
      <c r="BN88" s="62"/>
      <c r="BO88" s="62"/>
      <c r="BP88" s="62"/>
      <c r="BQ88" s="62"/>
      <c r="BR88" s="7"/>
      <c r="BS88" s="60"/>
      <c r="BT88" s="7"/>
      <c r="BU88" s="75"/>
      <c r="BV88" s="7"/>
      <c r="BW88" s="61"/>
      <c r="CA88" s="8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2:135" ht="15" thickBot="1" x14ac:dyDescent="0.35">
      <c r="B89" s="118"/>
      <c r="C89" s="1"/>
      <c r="D89" s="119"/>
      <c r="E89" s="11">
        <f>SUM(J88,T88,AD88,AN88,AX88)</f>
        <v>14</v>
      </c>
      <c r="F89" s="11">
        <f>SUM(J89:BC89)</f>
        <v>22</v>
      </c>
      <c r="G89" s="105"/>
      <c r="H89" s="2"/>
      <c r="I89" s="2"/>
      <c r="J89" s="112">
        <v>2</v>
      </c>
      <c r="K89" s="113"/>
      <c r="L89" s="106">
        <v>0</v>
      </c>
      <c r="M89" s="113"/>
      <c r="N89" s="106">
        <v>0</v>
      </c>
      <c r="O89" s="107"/>
      <c r="P89" s="4"/>
      <c r="Q89" s="4"/>
      <c r="R89" s="4"/>
      <c r="S89" s="4"/>
      <c r="T89" s="72">
        <v>3</v>
      </c>
      <c r="U89" s="73"/>
      <c r="V89" s="68">
        <v>3</v>
      </c>
      <c r="W89" s="73"/>
      <c r="X89" s="68">
        <v>0</v>
      </c>
      <c r="Y89" s="69"/>
      <c r="Z89" s="4"/>
      <c r="AA89" s="4"/>
      <c r="AB89" s="4"/>
      <c r="AC89" s="4"/>
      <c r="AD89" s="83">
        <v>3</v>
      </c>
      <c r="AE89" s="84"/>
      <c r="AF89" s="85">
        <v>3</v>
      </c>
      <c r="AG89" s="84"/>
      <c r="AH89" s="85">
        <v>0</v>
      </c>
      <c r="AI89" s="86"/>
      <c r="AJ89" s="4"/>
      <c r="AK89" s="4"/>
      <c r="AL89" s="4"/>
      <c r="AM89" s="4"/>
      <c r="AN89" s="83">
        <v>3</v>
      </c>
      <c r="AO89" s="84"/>
      <c r="AP89" s="85">
        <v>3</v>
      </c>
      <c r="AQ89" s="84"/>
      <c r="AR89" s="85">
        <v>0</v>
      </c>
      <c r="AS89" s="86"/>
      <c r="AT89" s="4"/>
      <c r="AU89" s="4"/>
      <c r="AV89" s="4"/>
      <c r="AW89" s="4"/>
      <c r="AX89" s="49">
        <v>2</v>
      </c>
      <c r="AY89" s="50"/>
      <c r="AZ89" s="51">
        <v>0</v>
      </c>
      <c r="BA89" s="50"/>
      <c r="BB89" s="51">
        <v>0</v>
      </c>
      <c r="BC89" s="52"/>
      <c r="BD89" s="4"/>
      <c r="BE89" s="4"/>
      <c r="BF89" s="4"/>
      <c r="BG89" s="4"/>
      <c r="BI89" s="64"/>
      <c r="BJ89" s="90"/>
      <c r="BK89" s="7"/>
      <c r="BL89" s="74"/>
      <c r="BM89" s="7"/>
      <c r="BN89" s="62"/>
      <c r="BO89" s="62"/>
      <c r="BP89" s="62"/>
      <c r="BQ89" s="62"/>
      <c r="BR89" s="7"/>
      <c r="BS89" s="60"/>
      <c r="BT89" s="7"/>
      <c r="BU89" s="75"/>
      <c r="BV89" s="7"/>
      <c r="BW89" s="61"/>
      <c r="CA89" s="8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2:135" ht="10.050000000000001" customHeight="1" thickBot="1" x14ac:dyDescent="0.35">
      <c r="B90" s="118"/>
      <c r="C90" s="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I90" s="65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10"/>
    </row>
    <row r="91" spans="2:135" ht="10.050000000000001" customHeight="1" thickTop="1" x14ac:dyDescent="0.3"/>
    <row r="92" spans="2:135" ht="10.050000000000001" customHeight="1" x14ac:dyDescent="0.3"/>
    <row r="93" spans="2:135" ht="10.050000000000001" customHeight="1" x14ac:dyDescent="0.3"/>
    <row r="100" ht="48.75" customHeight="1" x14ac:dyDescent="0.3"/>
  </sheetData>
  <mergeCells count="774">
    <mergeCell ref="G88:G89"/>
    <mergeCell ref="E61:E62"/>
    <mergeCell ref="F61:F62"/>
    <mergeCell ref="H62:I62"/>
    <mergeCell ref="E69:E70"/>
    <mergeCell ref="F69:F70"/>
    <mergeCell ref="H70:I70"/>
    <mergeCell ref="G62:G63"/>
    <mergeCell ref="G70:G71"/>
    <mergeCell ref="BR81:BS81"/>
    <mergeCell ref="BT81:BU81"/>
    <mergeCell ref="BV81:BW81"/>
    <mergeCell ref="E33:E34"/>
    <mergeCell ref="F33:F34"/>
    <mergeCell ref="H34:I34"/>
    <mergeCell ref="E43:E44"/>
    <mergeCell ref="F43:F44"/>
    <mergeCell ref="H44:I44"/>
    <mergeCell ref="G44:G45"/>
    <mergeCell ref="G34:G35"/>
    <mergeCell ref="G80:G81"/>
    <mergeCell ref="H80:I80"/>
    <mergeCell ref="H52:I52"/>
    <mergeCell ref="AX81:AY81"/>
    <mergeCell ref="AX68:AZ68"/>
    <mergeCell ref="AP63:AQ63"/>
    <mergeCell ref="AR63:AS63"/>
    <mergeCell ref="AZ81:BA81"/>
    <mergeCell ref="AX44:AY44"/>
    <mergeCell ref="AZ44:BA44"/>
    <mergeCell ref="BB44:BC44"/>
    <mergeCell ref="BB81:BC81"/>
    <mergeCell ref="AX69:BC69"/>
    <mergeCell ref="E15:E16"/>
    <mergeCell ref="F15:F16"/>
    <mergeCell ref="H16:I16"/>
    <mergeCell ref="E25:E26"/>
    <mergeCell ref="F25:F26"/>
    <mergeCell ref="AN68:AP68"/>
    <mergeCell ref="AQ68:AS68"/>
    <mergeCell ref="BT80:BU80"/>
    <mergeCell ref="BV80:BW80"/>
    <mergeCell ref="BH16:BI16"/>
    <mergeCell ref="BJ16:BK16"/>
    <mergeCell ref="BL16:BM16"/>
    <mergeCell ref="BH17:BI17"/>
    <mergeCell ref="BJ17:BK17"/>
    <mergeCell ref="BL17:BM17"/>
    <mergeCell ref="BL34:BM34"/>
    <mergeCell ref="BL26:BM26"/>
    <mergeCell ref="BH27:BI27"/>
    <mergeCell ref="BH33:BM33"/>
    <mergeCell ref="BH34:BI34"/>
    <mergeCell ref="BJ34:BK34"/>
    <mergeCell ref="BH24:BJ24"/>
    <mergeCell ref="BK24:BM24"/>
    <mergeCell ref="BH32:BJ32"/>
    <mergeCell ref="D68:D71"/>
    <mergeCell ref="D78:D81"/>
    <mergeCell ref="AR34:AS34"/>
    <mergeCell ref="AN35:AO35"/>
    <mergeCell ref="AP35:AQ35"/>
    <mergeCell ref="AR35:AS35"/>
    <mergeCell ref="AN25:AS25"/>
    <mergeCell ref="AN26:AO26"/>
    <mergeCell ref="AP26:AQ26"/>
    <mergeCell ref="AR26:AS26"/>
    <mergeCell ref="AN27:AO27"/>
    <mergeCell ref="AP27:AQ27"/>
    <mergeCell ref="AR27:AS27"/>
    <mergeCell ref="AN79:AS79"/>
    <mergeCell ref="AN80:AO80"/>
    <mergeCell ref="AD53:AE53"/>
    <mergeCell ref="AF53:AG53"/>
    <mergeCell ref="AH53:AI53"/>
    <mergeCell ref="AD78:AF78"/>
    <mergeCell ref="AG78:AI78"/>
    <mergeCell ref="AD69:AI69"/>
    <mergeCell ref="AD70:AE70"/>
    <mergeCell ref="AF70:AG70"/>
    <mergeCell ref="AH70:AI70"/>
    <mergeCell ref="DP86:DU86"/>
    <mergeCell ref="DZ86:EE86"/>
    <mergeCell ref="DP87:DU87"/>
    <mergeCell ref="DZ87:EE87"/>
    <mergeCell ref="DP81:DQ81"/>
    <mergeCell ref="DR81:DS81"/>
    <mergeCell ref="DT81:DU81"/>
    <mergeCell ref="DZ81:EA81"/>
    <mergeCell ref="EB81:EC81"/>
    <mergeCell ref="ED81:EE81"/>
    <mergeCell ref="DP89:DQ89"/>
    <mergeCell ref="DR89:DS89"/>
    <mergeCell ref="DT89:DU89"/>
    <mergeCell ref="DZ89:EA89"/>
    <mergeCell ref="EB89:EC89"/>
    <mergeCell ref="ED89:EE89"/>
    <mergeCell ref="DP88:DQ88"/>
    <mergeCell ref="DR88:DS88"/>
    <mergeCell ref="DT88:DU88"/>
    <mergeCell ref="DZ88:EA88"/>
    <mergeCell ref="EB88:EC88"/>
    <mergeCell ref="ED88:EE88"/>
    <mergeCell ref="DR80:DS80"/>
    <mergeCell ref="DT80:DU80"/>
    <mergeCell ref="DZ80:EA80"/>
    <mergeCell ref="EB80:EC80"/>
    <mergeCell ref="ED80:EE80"/>
    <mergeCell ref="DP78:DU78"/>
    <mergeCell ref="DZ78:EE78"/>
    <mergeCell ref="DP79:DU79"/>
    <mergeCell ref="DZ79:EE79"/>
    <mergeCell ref="DP80:DQ80"/>
    <mergeCell ref="DP71:DQ71"/>
    <mergeCell ref="DR71:DS71"/>
    <mergeCell ref="DT71:DU71"/>
    <mergeCell ref="DZ71:EA71"/>
    <mergeCell ref="EB71:EC71"/>
    <mergeCell ref="ED71:EE71"/>
    <mergeCell ref="DP70:DQ70"/>
    <mergeCell ref="DR70:DS70"/>
    <mergeCell ref="DT70:DU70"/>
    <mergeCell ref="DZ70:EA70"/>
    <mergeCell ref="EB70:EC70"/>
    <mergeCell ref="ED70:EE70"/>
    <mergeCell ref="DP68:DU68"/>
    <mergeCell ref="DZ68:EE68"/>
    <mergeCell ref="DP69:DU69"/>
    <mergeCell ref="DZ69:EE69"/>
    <mergeCell ref="DP63:DQ63"/>
    <mergeCell ref="DR63:DS63"/>
    <mergeCell ref="DT63:DU63"/>
    <mergeCell ref="DZ63:EA63"/>
    <mergeCell ref="EB63:EC63"/>
    <mergeCell ref="ED63:EE63"/>
    <mergeCell ref="DP62:DQ62"/>
    <mergeCell ref="DR62:DS62"/>
    <mergeCell ref="DT62:DU62"/>
    <mergeCell ref="DZ62:EA62"/>
    <mergeCell ref="EB62:EC62"/>
    <mergeCell ref="ED62:EE62"/>
    <mergeCell ref="DP60:DU60"/>
    <mergeCell ref="DZ60:EE60"/>
    <mergeCell ref="DP61:DU61"/>
    <mergeCell ref="DZ61:EE61"/>
    <mergeCell ref="DP53:DQ53"/>
    <mergeCell ref="DR53:DS53"/>
    <mergeCell ref="DT53:DU53"/>
    <mergeCell ref="DZ53:EA53"/>
    <mergeCell ref="EB53:EC53"/>
    <mergeCell ref="ED53:EE53"/>
    <mergeCell ref="DP52:DQ52"/>
    <mergeCell ref="DR52:DS52"/>
    <mergeCell ref="DT52:DU52"/>
    <mergeCell ref="DZ52:EA52"/>
    <mergeCell ref="EB52:EC52"/>
    <mergeCell ref="ED52:EE52"/>
    <mergeCell ref="DP50:DU50"/>
    <mergeCell ref="DZ50:EE50"/>
    <mergeCell ref="DP51:DU51"/>
    <mergeCell ref="DZ51:EE51"/>
    <mergeCell ref="DP45:DQ45"/>
    <mergeCell ref="DR45:DS45"/>
    <mergeCell ref="DT45:DU45"/>
    <mergeCell ref="DZ45:EA45"/>
    <mergeCell ref="EB45:EC45"/>
    <mergeCell ref="ED45:EE45"/>
    <mergeCell ref="DP44:DQ44"/>
    <mergeCell ref="DR44:DS44"/>
    <mergeCell ref="DT44:DU44"/>
    <mergeCell ref="DZ44:EA44"/>
    <mergeCell ref="EB44:EC44"/>
    <mergeCell ref="ED44:EE44"/>
    <mergeCell ref="DP42:DU42"/>
    <mergeCell ref="DZ42:EE42"/>
    <mergeCell ref="DP43:DU43"/>
    <mergeCell ref="DZ43:EE43"/>
    <mergeCell ref="DP35:DQ35"/>
    <mergeCell ref="DR35:DS35"/>
    <mergeCell ref="DT35:DU35"/>
    <mergeCell ref="DZ35:EA35"/>
    <mergeCell ref="EB35:EC35"/>
    <mergeCell ref="ED35:EE35"/>
    <mergeCell ref="DP34:DQ34"/>
    <mergeCell ref="DR34:DS34"/>
    <mergeCell ref="DT34:DU34"/>
    <mergeCell ref="DZ34:EA34"/>
    <mergeCell ref="EB34:EC34"/>
    <mergeCell ref="ED34:EE34"/>
    <mergeCell ref="DP32:DU32"/>
    <mergeCell ref="DZ32:EE32"/>
    <mergeCell ref="DP33:DU33"/>
    <mergeCell ref="DZ33:EE33"/>
    <mergeCell ref="DP27:DQ27"/>
    <mergeCell ref="DR27:DS27"/>
    <mergeCell ref="DT27:DU27"/>
    <mergeCell ref="DZ27:EA27"/>
    <mergeCell ref="EB27:EC27"/>
    <mergeCell ref="ED27:EE27"/>
    <mergeCell ref="DP26:DQ26"/>
    <mergeCell ref="DR26:DS26"/>
    <mergeCell ref="DT26:DU26"/>
    <mergeCell ref="DZ26:EA26"/>
    <mergeCell ref="EB26:EC26"/>
    <mergeCell ref="ED26:EE26"/>
    <mergeCell ref="ED17:EE17"/>
    <mergeCell ref="DP24:DU24"/>
    <mergeCell ref="DZ24:EE24"/>
    <mergeCell ref="DP25:DU25"/>
    <mergeCell ref="DZ25:EE25"/>
    <mergeCell ref="DP17:DQ17"/>
    <mergeCell ref="DR17:DS17"/>
    <mergeCell ref="DT17:DU17"/>
    <mergeCell ref="DZ17:EA17"/>
    <mergeCell ref="EB17:EC17"/>
    <mergeCell ref="DR16:DS16"/>
    <mergeCell ref="DT16:DU16"/>
    <mergeCell ref="DZ16:EA16"/>
    <mergeCell ref="EB16:EC16"/>
    <mergeCell ref="ED16:EE16"/>
    <mergeCell ref="DP15:DU15"/>
    <mergeCell ref="DZ15:EE15"/>
    <mergeCell ref="DP16:DQ16"/>
    <mergeCell ref="DR9:DS9"/>
    <mergeCell ref="DT9:DU9"/>
    <mergeCell ref="DZ9:EA9"/>
    <mergeCell ref="EB9:EC9"/>
    <mergeCell ref="ED9:EE9"/>
    <mergeCell ref="DP14:DU14"/>
    <mergeCell ref="DZ14:EE14"/>
    <mergeCell ref="DZ8:EA8"/>
    <mergeCell ref="EB8:EC8"/>
    <mergeCell ref="ED8:EE8"/>
    <mergeCell ref="DP9:DQ9"/>
    <mergeCell ref="DP8:DQ8"/>
    <mergeCell ref="DR8:DS8"/>
    <mergeCell ref="DT8:DU8"/>
    <mergeCell ref="DP6:DU6"/>
    <mergeCell ref="DZ6:EE6"/>
    <mergeCell ref="DP7:DU7"/>
    <mergeCell ref="DZ7:EE7"/>
    <mergeCell ref="B41:B54"/>
    <mergeCell ref="B59:B72"/>
    <mergeCell ref="B77:B90"/>
    <mergeCell ref="BR78:BW78"/>
    <mergeCell ref="BR79:BW79"/>
    <mergeCell ref="D42:D45"/>
    <mergeCell ref="D50:D53"/>
    <mergeCell ref="BS86:BS89"/>
    <mergeCell ref="BW86:BW89"/>
    <mergeCell ref="E79:E80"/>
    <mergeCell ref="F79:F80"/>
    <mergeCell ref="E87:E88"/>
    <mergeCell ref="F87:F88"/>
    <mergeCell ref="H88:I88"/>
    <mergeCell ref="F51:F52"/>
    <mergeCell ref="D86:D89"/>
    <mergeCell ref="E51:E52"/>
    <mergeCell ref="BH51:BM51"/>
    <mergeCell ref="BH52:BI52"/>
    <mergeCell ref="BJ52:BK52"/>
    <mergeCell ref="BL52:BM52"/>
    <mergeCell ref="BH53:BI53"/>
    <mergeCell ref="G52:G53"/>
    <mergeCell ref="D60:D63"/>
    <mergeCell ref="B5:B18"/>
    <mergeCell ref="B23:B36"/>
    <mergeCell ref="AR17:AS17"/>
    <mergeCell ref="D6:D9"/>
    <mergeCell ref="D14:D17"/>
    <mergeCell ref="D24:D27"/>
    <mergeCell ref="D32:D35"/>
    <mergeCell ref="AN33:AS33"/>
    <mergeCell ref="AN34:AO34"/>
    <mergeCell ref="AP34:AQ34"/>
    <mergeCell ref="AN16:AO16"/>
    <mergeCell ref="AP16:AQ16"/>
    <mergeCell ref="AR16:AS16"/>
    <mergeCell ref="AN17:AO17"/>
    <mergeCell ref="AP17:AQ17"/>
    <mergeCell ref="E7:E8"/>
    <mergeCell ref="F7:F8"/>
    <mergeCell ref="H26:I26"/>
    <mergeCell ref="H8:I8"/>
    <mergeCell ref="G26:G27"/>
    <mergeCell ref="AD35:AE35"/>
    <mergeCell ref="AF35:AG35"/>
    <mergeCell ref="AH35:AI35"/>
    <mergeCell ref="AN15:AS15"/>
    <mergeCell ref="BL8:BM8"/>
    <mergeCell ref="BH9:BI9"/>
    <mergeCell ref="BJ9:BK9"/>
    <mergeCell ref="BL9:BM9"/>
    <mergeCell ref="BJ53:BK53"/>
    <mergeCell ref="BL53:BM53"/>
    <mergeCell ref="BH43:BM43"/>
    <mergeCell ref="BH44:BI44"/>
    <mergeCell ref="BJ44:BK44"/>
    <mergeCell ref="BL44:BM44"/>
    <mergeCell ref="BH45:BI45"/>
    <mergeCell ref="BJ45:BK45"/>
    <mergeCell ref="BL45:BM45"/>
    <mergeCell ref="BH25:BM25"/>
    <mergeCell ref="BH26:BI26"/>
    <mergeCell ref="BJ26:BK26"/>
    <mergeCell ref="BH35:BI35"/>
    <mergeCell ref="BJ35:BK35"/>
    <mergeCell ref="BL35:BM35"/>
    <mergeCell ref="BL27:BM27"/>
    <mergeCell ref="BH15:BM15"/>
    <mergeCell ref="AX7:BC7"/>
    <mergeCell ref="AX8:AY8"/>
    <mergeCell ref="AZ8:BA8"/>
    <mergeCell ref="BB8:BC8"/>
    <mergeCell ref="AX9:AY9"/>
    <mergeCell ref="AZ9:BA9"/>
    <mergeCell ref="BB9:BC9"/>
    <mergeCell ref="AX43:BC43"/>
    <mergeCell ref="AX34:AY34"/>
    <mergeCell ref="AZ34:BA34"/>
    <mergeCell ref="BB34:BC34"/>
    <mergeCell ref="AX35:AY35"/>
    <mergeCell ref="AZ35:BA35"/>
    <mergeCell ref="BB35:BC35"/>
    <mergeCell ref="AX33:BC33"/>
    <mergeCell ref="AX24:AZ24"/>
    <mergeCell ref="BA24:BC24"/>
    <mergeCell ref="BA32:BC32"/>
    <mergeCell ref="AX25:BC25"/>
    <mergeCell ref="AX26:AY26"/>
    <mergeCell ref="AZ26:BA26"/>
    <mergeCell ref="BB26:BC26"/>
    <mergeCell ref="AX27:AY27"/>
    <mergeCell ref="AZ27:BA27"/>
    <mergeCell ref="AZ88:BA88"/>
    <mergeCell ref="BB88:BC88"/>
    <mergeCell ref="AX89:AY89"/>
    <mergeCell ref="AZ89:BA89"/>
    <mergeCell ref="BB89:BC89"/>
    <mergeCell ref="AX70:AY70"/>
    <mergeCell ref="AZ70:BA70"/>
    <mergeCell ref="BB70:BC70"/>
    <mergeCell ref="AX71:AY71"/>
    <mergeCell ref="AZ71:BA71"/>
    <mergeCell ref="BB71:BC71"/>
    <mergeCell ref="AX78:AZ78"/>
    <mergeCell ref="BA78:BC78"/>
    <mergeCell ref="AX79:BC79"/>
    <mergeCell ref="AD89:AE89"/>
    <mergeCell ref="AF89:AG89"/>
    <mergeCell ref="AH89:AI89"/>
    <mergeCell ref="AD79:AI79"/>
    <mergeCell ref="AD80:AE80"/>
    <mergeCell ref="AF80:AG80"/>
    <mergeCell ref="AH80:AI80"/>
    <mergeCell ref="AD81:AE81"/>
    <mergeCell ref="AF81:AG81"/>
    <mergeCell ref="AH81:AI81"/>
    <mergeCell ref="AD86:AF86"/>
    <mergeCell ref="AG86:AI86"/>
    <mergeCell ref="AD87:AI87"/>
    <mergeCell ref="AD88:AE88"/>
    <mergeCell ref="AF88:AG88"/>
    <mergeCell ref="AH88:AI88"/>
    <mergeCell ref="AD71:AE71"/>
    <mergeCell ref="AF71:AG71"/>
    <mergeCell ref="AH71:AI71"/>
    <mergeCell ref="AD61:AI61"/>
    <mergeCell ref="AD62:AE62"/>
    <mergeCell ref="AF62:AG62"/>
    <mergeCell ref="AH62:AI62"/>
    <mergeCell ref="AD63:AE63"/>
    <mergeCell ref="AF63:AG63"/>
    <mergeCell ref="AD68:AF68"/>
    <mergeCell ref="AG68:AI68"/>
    <mergeCell ref="AH63:AI63"/>
    <mergeCell ref="AD42:AF42"/>
    <mergeCell ref="AG42:AI42"/>
    <mergeCell ref="AD51:AI51"/>
    <mergeCell ref="AD52:AE52"/>
    <mergeCell ref="AF52:AG52"/>
    <mergeCell ref="AH52:AI52"/>
    <mergeCell ref="AD50:AF50"/>
    <mergeCell ref="AG50:AI50"/>
    <mergeCell ref="AD43:AI43"/>
    <mergeCell ref="AD44:AE44"/>
    <mergeCell ref="AF44:AG44"/>
    <mergeCell ref="AH44:AI44"/>
    <mergeCell ref="AD45:AE45"/>
    <mergeCell ref="AF45:AG45"/>
    <mergeCell ref="AH45:AI45"/>
    <mergeCell ref="AD15:AI15"/>
    <mergeCell ref="AD16:AE16"/>
    <mergeCell ref="AF16:AG16"/>
    <mergeCell ref="AH16:AI16"/>
    <mergeCell ref="AD17:AE17"/>
    <mergeCell ref="AF17:AG17"/>
    <mergeCell ref="AH17:AI17"/>
    <mergeCell ref="AD24:AF24"/>
    <mergeCell ref="AG24:AI24"/>
    <mergeCell ref="J86:L86"/>
    <mergeCell ref="M86:O86"/>
    <mergeCell ref="T86:V86"/>
    <mergeCell ref="W86:Y86"/>
    <mergeCell ref="AD7:AI7"/>
    <mergeCell ref="AD8:AE8"/>
    <mergeCell ref="AF8:AG8"/>
    <mergeCell ref="AH8:AI8"/>
    <mergeCell ref="AD9:AE9"/>
    <mergeCell ref="AF9:AG9"/>
    <mergeCell ref="AH9:AI9"/>
    <mergeCell ref="T7:Y7"/>
    <mergeCell ref="T8:U8"/>
    <mergeCell ref="V8:W8"/>
    <mergeCell ref="X8:Y8"/>
    <mergeCell ref="T9:U9"/>
    <mergeCell ref="V9:W9"/>
    <mergeCell ref="X9:Y9"/>
    <mergeCell ref="AD25:AI25"/>
    <mergeCell ref="AD26:AE26"/>
    <mergeCell ref="AF26:AG26"/>
    <mergeCell ref="AH26:AI26"/>
    <mergeCell ref="AD27:AE27"/>
    <mergeCell ref="AF27:AG27"/>
    <mergeCell ref="J89:K89"/>
    <mergeCell ref="L89:M89"/>
    <mergeCell ref="N89:O89"/>
    <mergeCell ref="T89:U89"/>
    <mergeCell ref="V89:W89"/>
    <mergeCell ref="X89:Y89"/>
    <mergeCell ref="J87:O87"/>
    <mergeCell ref="T87:Y87"/>
    <mergeCell ref="J88:K88"/>
    <mergeCell ref="L88:M88"/>
    <mergeCell ref="N88:O88"/>
    <mergeCell ref="T88:U88"/>
    <mergeCell ref="V88:W88"/>
    <mergeCell ref="X88:Y88"/>
    <mergeCell ref="J68:L68"/>
    <mergeCell ref="M68:O68"/>
    <mergeCell ref="T68:V68"/>
    <mergeCell ref="W68:Y68"/>
    <mergeCell ref="J81:K81"/>
    <mergeCell ref="L81:M81"/>
    <mergeCell ref="N81:O81"/>
    <mergeCell ref="T81:U81"/>
    <mergeCell ref="V81:W81"/>
    <mergeCell ref="X81:Y81"/>
    <mergeCell ref="J79:O79"/>
    <mergeCell ref="T79:Y79"/>
    <mergeCell ref="J80:K80"/>
    <mergeCell ref="L80:M80"/>
    <mergeCell ref="N80:O80"/>
    <mergeCell ref="T80:U80"/>
    <mergeCell ref="V80:W80"/>
    <mergeCell ref="X80:Y80"/>
    <mergeCell ref="J78:L78"/>
    <mergeCell ref="M78:O78"/>
    <mergeCell ref="T78:V78"/>
    <mergeCell ref="W78:Y78"/>
    <mergeCell ref="J71:K71"/>
    <mergeCell ref="L71:M71"/>
    <mergeCell ref="N71:O71"/>
    <mergeCell ref="T71:U71"/>
    <mergeCell ref="V71:W71"/>
    <mergeCell ref="X71:Y71"/>
    <mergeCell ref="J69:O69"/>
    <mergeCell ref="T69:Y69"/>
    <mergeCell ref="J70:K70"/>
    <mergeCell ref="L70:M70"/>
    <mergeCell ref="N70:O70"/>
    <mergeCell ref="T70:U70"/>
    <mergeCell ref="V70:W70"/>
    <mergeCell ref="X70:Y70"/>
    <mergeCell ref="J50:L50"/>
    <mergeCell ref="M50:O50"/>
    <mergeCell ref="T50:V50"/>
    <mergeCell ref="W50:Y50"/>
    <mergeCell ref="J63:K63"/>
    <mergeCell ref="L63:M63"/>
    <mergeCell ref="N63:O63"/>
    <mergeCell ref="T63:U63"/>
    <mergeCell ref="V63:W63"/>
    <mergeCell ref="X63:Y63"/>
    <mergeCell ref="J61:O61"/>
    <mergeCell ref="T61:Y61"/>
    <mergeCell ref="J62:K62"/>
    <mergeCell ref="L62:M62"/>
    <mergeCell ref="N62:O62"/>
    <mergeCell ref="T62:U62"/>
    <mergeCell ref="V62:W62"/>
    <mergeCell ref="X62:Y62"/>
    <mergeCell ref="J53:K53"/>
    <mergeCell ref="L53:M53"/>
    <mergeCell ref="N53:O53"/>
    <mergeCell ref="T53:U53"/>
    <mergeCell ref="V53:W53"/>
    <mergeCell ref="X53:Y53"/>
    <mergeCell ref="J51:O51"/>
    <mergeCell ref="T51:Y51"/>
    <mergeCell ref="J52:K52"/>
    <mergeCell ref="L52:M52"/>
    <mergeCell ref="N52:O52"/>
    <mergeCell ref="T52:U52"/>
    <mergeCell ref="V52:W52"/>
    <mergeCell ref="X52:Y52"/>
    <mergeCell ref="J33:O33"/>
    <mergeCell ref="J34:K34"/>
    <mergeCell ref="L34:M34"/>
    <mergeCell ref="N34:O34"/>
    <mergeCell ref="J35:K35"/>
    <mergeCell ref="L35:M35"/>
    <mergeCell ref="N35:O35"/>
    <mergeCell ref="J45:K45"/>
    <mergeCell ref="L45:M45"/>
    <mergeCell ref="N45:O45"/>
    <mergeCell ref="J43:O43"/>
    <mergeCell ref="J44:K44"/>
    <mergeCell ref="L44:M44"/>
    <mergeCell ref="N44:O44"/>
    <mergeCell ref="J42:L42"/>
    <mergeCell ref="M42:O42"/>
    <mergeCell ref="L26:M26"/>
    <mergeCell ref="N26:O26"/>
    <mergeCell ref="J27:K27"/>
    <mergeCell ref="L27:M27"/>
    <mergeCell ref="N27:O27"/>
    <mergeCell ref="J24:L24"/>
    <mergeCell ref="M24:O24"/>
    <mergeCell ref="T24:V24"/>
    <mergeCell ref="W24:Y24"/>
    <mergeCell ref="J25:O25"/>
    <mergeCell ref="J26:K26"/>
    <mergeCell ref="T25:Y25"/>
    <mergeCell ref="T26:U26"/>
    <mergeCell ref="V26:W26"/>
    <mergeCell ref="X26:Y26"/>
    <mergeCell ref="T27:U27"/>
    <mergeCell ref="V27:W27"/>
    <mergeCell ref="X27:Y27"/>
    <mergeCell ref="L16:M16"/>
    <mergeCell ref="N16:O16"/>
    <mergeCell ref="J17:K17"/>
    <mergeCell ref="L17:M17"/>
    <mergeCell ref="J7:O7"/>
    <mergeCell ref="J15:O15"/>
    <mergeCell ref="T15:Y15"/>
    <mergeCell ref="J8:K8"/>
    <mergeCell ref="J9:K9"/>
    <mergeCell ref="L8:M8"/>
    <mergeCell ref="L9:M9"/>
    <mergeCell ref="T16:U16"/>
    <mergeCell ref="V16:W16"/>
    <mergeCell ref="X16:Y16"/>
    <mergeCell ref="B2:CA2"/>
    <mergeCell ref="G8:G9"/>
    <mergeCell ref="G16:G17"/>
    <mergeCell ref="N17:O17"/>
    <mergeCell ref="AN7:AS7"/>
    <mergeCell ref="AN8:AO8"/>
    <mergeCell ref="AP8:AQ8"/>
    <mergeCell ref="AR8:AS8"/>
    <mergeCell ref="AN9:AO9"/>
    <mergeCell ref="AP9:AQ9"/>
    <mergeCell ref="AR9:AS9"/>
    <mergeCell ref="AX15:BC15"/>
    <mergeCell ref="AX16:AY16"/>
    <mergeCell ref="AZ16:BA16"/>
    <mergeCell ref="BB16:BC16"/>
    <mergeCell ref="AX17:AY17"/>
    <mergeCell ref="AZ17:BA17"/>
    <mergeCell ref="BB17:BC17"/>
    <mergeCell ref="T17:U17"/>
    <mergeCell ref="V17:W17"/>
    <mergeCell ref="X17:Y17"/>
    <mergeCell ref="N8:O8"/>
    <mergeCell ref="N9:O9"/>
    <mergeCell ref="J16:K16"/>
    <mergeCell ref="BA6:BC6"/>
    <mergeCell ref="BH6:BJ6"/>
    <mergeCell ref="BK6:BM6"/>
    <mergeCell ref="J14:L14"/>
    <mergeCell ref="M14:O14"/>
    <mergeCell ref="T14:V14"/>
    <mergeCell ref="W14:Y14"/>
    <mergeCell ref="AD14:AF14"/>
    <mergeCell ref="AG14:AI14"/>
    <mergeCell ref="AN14:AP14"/>
    <mergeCell ref="AQ14:AS14"/>
    <mergeCell ref="AX14:AZ14"/>
    <mergeCell ref="BA14:BC14"/>
    <mergeCell ref="BH14:BJ14"/>
    <mergeCell ref="BK14:BM14"/>
    <mergeCell ref="J6:L6"/>
    <mergeCell ref="M6:O6"/>
    <mergeCell ref="T6:V6"/>
    <mergeCell ref="W6:Y6"/>
    <mergeCell ref="AD6:AF6"/>
    <mergeCell ref="AG6:AI6"/>
    <mergeCell ref="AN6:AP6"/>
    <mergeCell ref="AQ6:AS6"/>
    <mergeCell ref="AX6:AZ6"/>
    <mergeCell ref="J32:L32"/>
    <mergeCell ref="M32:O32"/>
    <mergeCell ref="T32:V32"/>
    <mergeCell ref="W32:Y32"/>
    <mergeCell ref="AD32:AF32"/>
    <mergeCell ref="AG32:AI32"/>
    <mergeCell ref="AN32:AP32"/>
    <mergeCell ref="AQ32:AS32"/>
    <mergeCell ref="AX32:AZ32"/>
    <mergeCell ref="BB27:BC27"/>
    <mergeCell ref="BJ27:BK27"/>
    <mergeCell ref="AN24:AP24"/>
    <mergeCell ref="AQ24:AS24"/>
    <mergeCell ref="T33:Y33"/>
    <mergeCell ref="T34:U34"/>
    <mergeCell ref="V34:W34"/>
    <mergeCell ref="X34:Y34"/>
    <mergeCell ref="AH27:AI27"/>
    <mergeCell ref="AD33:AI33"/>
    <mergeCell ref="AD34:AE34"/>
    <mergeCell ref="AF34:AG34"/>
    <mergeCell ref="AH34:AI34"/>
    <mergeCell ref="BK32:BM32"/>
    <mergeCell ref="T35:U35"/>
    <mergeCell ref="V35:W35"/>
    <mergeCell ref="X35:Y35"/>
    <mergeCell ref="T45:U45"/>
    <mergeCell ref="V45:W45"/>
    <mergeCell ref="X45:Y45"/>
    <mergeCell ref="T43:Y43"/>
    <mergeCell ref="T44:U44"/>
    <mergeCell ref="V44:W44"/>
    <mergeCell ref="X44:Y44"/>
    <mergeCell ref="T42:V42"/>
    <mergeCell ref="W42:Y42"/>
    <mergeCell ref="J60:L60"/>
    <mergeCell ref="M60:O60"/>
    <mergeCell ref="T60:V60"/>
    <mergeCell ref="W60:Y60"/>
    <mergeCell ref="AD60:AF60"/>
    <mergeCell ref="AG60:AI60"/>
    <mergeCell ref="AN60:AP60"/>
    <mergeCell ref="AQ60:AS60"/>
    <mergeCell ref="AX60:AZ60"/>
    <mergeCell ref="BA42:BC42"/>
    <mergeCell ref="BH42:BJ42"/>
    <mergeCell ref="BK42:BM42"/>
    <mergeCell ref="BA60:BC60"/>
    <mergeCell ref="AX61:BC61"/>
    <mergeCell ref="AX62:AY62"/>
    <mergeCell ref="AX45:AY45"/>
    <mergeCell ref="AZ45:BA45"/>
    <mergeCell ref="BB45:BC45"/>
    <mergeCell ref="BH50:BJ50"/>
    <mergeCell ref="BK50:BM50"/>
    <mergeCell ref="BH60:BJ60"/>
    <mergeCell ref="BK60:BM60"/>
    <mergeCell ref="BH61:BM61"/>
    <mergeCell ref="BH62:BI62"/>
    <mergeCell ref="BJ62:BK62"/>
    <mergeCell ref="BL62:BM62"/>
    <mergeCell ref="BJ84:BJ85"/>
    <mergeCell ref="AR71:AS71"/>
    <mergeCell ref="AN78:AP78"/>
    <mergeCell ref="AQ78:AS78"/>
    <mergeCell ref="AN42:AP42"/>
    <mergeCell ref="AQ42:AS42"/>
    <mergeCell ref="AX50:AZ50"/>
    <mergeCell ref="BA50:BC50"/>
    <mergeCell ref="AN50:AP50"/>
    <mergeCell ref="AQ50:AS50"/>
    <mergeCell ref="AZ62:BA62"/>
    <mergeCell ref="BB62:BC62"/>
    <mergeCell ref="AX63:AY63"/>
    <mergeCell ref="AZ63:BA63"/>
    <mergeCell ref="BB63:BC63"/>
    <mergeCell ref="AX51:BC51"/>
    <mergeCell ref="AX52:AY52"/>
    <mergeCell ref="AZ52:BA52"/>
    <mergeCell ref="BB52:BC52"/>
    <mergeCell ref="AX53:AY53"/>
    <mergeCell ref="AZ53:BA53"/>
    <mergeCell ref="AP53:AQ53"/>
    <mergeCell ref="AN43:AS43"/>
    <mergeCell ref="AX42:AZ42"/>
    <mergeCell ref="AN81:AO81"/>
    <mergeCell ref="AP81:AQ81"/>
    <mergeCell ref="AR81:AS81"/>
    <mergeCell ref="AN69:AS69"/>
    <mergeCell ref="AN70:AO70"/>
    <mergeCell ref="AP70:AQ70"/>
    <mergeCell ref="AR70:AS70"/>
    <mergeCell ref="AN71:AO71"/>
    <mergeCell ref="AP71:AQ71"/>
    <mergeCell ref="BA68:BC68"/>
    <mergeCell ref="AN44:AO44"/>
    <mergeCell ref="AP44:AQ44"/>
    <mergeCell ref="AR44:AS44"/>
    <mergeCell ref="AN45:AO45"/>
    <mergeCell ref="AP45:AQ45"/>
    <mergeCell ref="AR45:AS45"/>
    <mergeCell ref="AP80:AQ80"/>
    <mergeCell ref="AR80:AS80"/>
    <mergeCell ref="AN61:AS61"/>
    <mergeCell ref="AN62:AO62"/>
    <mergeCell ref="AP62:AQ62"/>
    <mergeCell ref="AR62:AS62"/>
    <mergeCell ref="AN51:AS51"/>
    <mergeCell ref="AN52:AO52"/>
    <mergeCell ref="AP52:AQ52"/>
    <mergeCell ref="AR52:AS52"/>
    <mergeCell ref="AN53:AO53"/>
    <mergeCell ref="AX80:AY80"/>
    <mergeCell ref="AZ80:BA80"/>
    <mergeCell ref="BB80:BC80"/>
    <mergeCell ref="BS84:BS85"/>
    <mergeCell ref="BW84:BW85"/>
    <mergeCell ref="BN86:BQ89"/>
    <mergeCell ref="BI77:BI90"/>
    <mergeCell ref="BR80:BS80"/>
    <mergeCell ref="BB53:BC53"/>
    <mergeCell ref="AR53:AS53"/>
    <mergeCell ref="AN63:AO63"/>
    <mergeCell ref="BL85:BL89"/>
    <mergeCell ref="BU84:BU89"/>
    <mergeCell ref="AN86:AP86"/>
    <mergeCell ref="AQ86:AS86"/>
    <mergeCell ref="AN87:AS87"/>
    <mergeCell ref="AN88:AO88"/>
    <mergeCell ref="AP88:AQ88"/>
    <mergeCell ref="AR88:AS88"/>
    <mergeCell ref="AN89:AO89"/>
    <mergeCell ref="AP89:AQ89"/>
    <mergeCell ref="AR89:AS89"/>
    <mergeCell ref="AX86:AZ86"/>
    <mergeCell ref="BA86:BC86"/>
    <mergeCell ref="AX87:BC87"/>
    <mergeCell ref="AX88:AY88"/>
    <mergeCell ref="BJ86:BJ89"/>
    <mergeCell ref="BH68:BJ68"/>
    <mergeCell ref="BK68:BM68"/>
    <mergeCell ref="BH69:BM69"/>
    <mergeCell ref="BH70:BI70"/>
    <mergeCell ref="BJ70:BK70"/>
    <mergeCell ref="BL70:BM70"/>
    <mergeCell ref="BH71:BI71"/>
    <mergeCell ref="BJ71:BK71"/>
    <mergeCell ref="BL71:BM71"/>
    <mergeCell ref="BH63:BI63"/>
    <mergeCell ref="BJ63:BK63"/>
    <mergeCell ref="BL63:BM63"/>
    <mergeCell ref="BR6:BT6"/>
    <mergeCell ref="BU6:BW6"/>
    <mergeCell ref="BR7:BW7"/>
    <mergeCell ref="BR8:BS8"/>
    <mergeCell ref="BT8:BU8"/>
    <mergeCell ref="BV8:BW8"/>
    <mergeCell ref="BR9:BS9"/>
    <mergeCell ref="BT9:BU9"/>
    <mergeCell ref="BV9:BW9"/>
    <mergeCell ref="BR50:BT50"/>
    <mergeCell ref="BU50:BW50"/>
    <mergeCell ref="BR51:BW51"/>
    <mergeCell ref="BR52:BS52"/>
    <mergeCell ref="BT52:BU52"/>
    <mergeCell ref="BV52:BW52"/>
    <mergeCell ref="BR53:BS53"/>
    <mergeCell ref="BT53:BU53"/>
    <mergeCell ref="BV53:BW53"/>
    <mergeCell ref="BH7:BM7"/>
    <mergeCell ref="BH8:BI8"/>
    <mergeCell ref="BJ8:BK8"/>
  </mergeCells>
  <printOptions horizontalCentered="1"/>
  <pageMargins left="0.2" right="0.2" top="0.25" bottom="0.25" header="0.05" footer="0.05"/>
  <pageSetup paperSize="256" scale="53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E100"/>
  <sheetViews>
    <sheetView zoomScaleNormal="100" workbookViewId="0">
      <selection activeCell="B2" sqref="B2:CA2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170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5" spans="2:135" ht="10.050000000000001" customHeight="1" thickBot="1" x14ac:dyDescent="0.35">
      <c r="B5" s="118" t="s">
        <v>0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121</v>
      </c>
      <c r="K6" s="25"/>
      <c r="L6" s="26"/>
      <c r="M6" s="38" t="s">
        <v>109</v>
      </c>
      <c r="N6" s="39"/>
      <c r="O6" s="40"/>
      <c r="P6" s="4"/>
      <c r="Q6" s="4"/>
      <c r="R6" s="4"/>
      <c r="S6" s="4"/>
      <c r="T6" s="24" t="s">
        <v>119</v>
      </c>
      <c r="U6" s="25"/>
      <c r="V6" s="26"/>
      <c r="W6" s="38" t="s">
        <v>109</v>
      </c>
      <c r="X6" s="39"/>
      <c r="Y6" s="40"/>
      <c r="Z6" s="4"/>
      <c r="AA6" s="4"/>
      <c r="AB6" s="4"/>
      <c r="AC6" s="4"/>
      <c r="AD6" s="24" t="s">
        <v>114</v>
      </c>
      <c r="AE6" s="25"/>
      <c r="AF6" s="26"/>
      <c r="AG6" s="38">
        <v>111</v>
      </c>
      <c r="AH6" s="39"/>
      <c r="AI6" s="40"/>
      <c r="AJ6" s="4"/>
      <c r="AK6" s="4"/>
      <c r="AL6" s="4"/>
      <c r="AM6" s="4"/>
      <c r="AN6" s="24" t="s">
        <v>90</v>
      </c>
      <c r="AO6" s="25"/>
      <c r="AP6" s="26"/>
      <c r="AQ6" s="27" t="s">
        <v>116</v>
      </c>
      <c r="AR6" s="28"/>
      <c r="AS6" s="29"/>
      <c r="AT6" s="4"/>
      <c r="AU6" s="4"/>
      <c r="AV6" s="4"/>
      <c r="AW6" s="4"/>
      <c r="AX6" s="24" t="s">
        <v>114</v>
      </c>
      <c r="AY6" s="25"/>
      <c r="AZ6" s="26"/>
      <c r="BA6" s="27" t="s">
        <v>115</v>
      </c>
      <c r="BB6" s="28"/>
      <c r="BC6" s="29"/>
      <c r="BD6" s="4"/>
      <c r="BE6" s="4"/>
      <c r="BF6" s="4"/>
      <c r="BG6" s="4"/>
      <c r="BH6" s="24" t="s">
        <v>19</v>
      </c>
      <c r="BI6" s="25"/>
      <c r="BJ6" s="26"/>
      <c r="BK6" s="27" t="s">
        <v>33</v>
      </c>
      <c r="BL6" s="28"/>
      <c r="BM6" s="29"/>
      <c r="BN6" s="4"/>
      <c r="BO6" s="4"/>
      <c r="BP6" s="4"/>
      <c r="BQ6" s="4"/>
      <c r="BR6" s="24" t="s">
        <v>162</v>
      </c>
      <c r="BS6" s="25"/>
      <c r="BT6" s="26"/>
      <c r="BU6" s="27" t="s">
        <v>169</v>
      </c>
      <c r="BV6" s="28"/>
      <c r="BW6" s="29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SUM(N8,X8,AH8,AR8,BB8,BL8,BV8)</f>
        <v>945</v>
      </c>
      <c r="H7" s="2"/>
      <c r="I7" s="2"/>
      <c r="J7" s="114" t="s">
        <v>21</v>
      </c>
      <c r="K7" s="115"/>
      <c r="L7" s="115"/>
      <c r="M7" s="115"/>
      <c r="N7" s="116"/>
      <c r="O7" s="117"/>
      <c r="P7" s="4"/>
      <c r="Q7" s="4"/>
      <c r="R7" s="4"/>
      <c r="S7" s="4"/>
      <c r="T7" s="114" t="s">
        <v>120</v>
      </c>
      <c r="U7" s="115"/>
      <c r="V7" s="115"/>
      <c r="W7" s="115"/>
      <c r="X7" s="116"/>
      <c r="Y7" s="117"/>
      <c r="Z7" s="4"/>
      <c r="AA7" s="4"/>
      <c r="AB7" s="4"/>
      <c r="AC7" s="4"/>
      <c r="AD7" s="30" t="s">
        <v>161</v>
      </c>
      <c r="AE7" s="31"/>
      <c r="AF7" s="31"/>
      <c r="AG7" s="31"/>
      <c r="AH7" s="32"/>
      <c r="AI7" s="33"/>
      <c r="AJ7" s="4"/>
      <c r="AK7" s="4"/>
      <c r="AL7" s="4"/>
      <c r="AM7" s="4"/>
      <c r="AN7" s="30" t="s">
        <v>118</v>
      </c>
      <c r="AO7" s="31"/>
      <c r="AP7" s="31"/>
      <c r="AQ7" s="31"/>
      <c r="AR7" s="32"/>
      <c r="AS7" s="33"/>
      <c r="AT7" s="4"/>
      <c r="AU7" s="4"/>
      <c r="AV7" s="4"/>
      <c r="AW7" s="4"/>
      <c r="AX7" s="30" t="s">
        <v>23</v>
      </c>
      <c r="AY7" s="31"/>
      <c r="AZ7" s="31"/>
      <c r="BA7" s="31"/>
      <c r="BB7" s="32"/>
      <c r="BC7" s="33"/>
      <c r="BD7" s="4"/>
      <c r="BE7" s="4"/>
      <c r="BF7" s="4"/>
      <c r="BG7" s="4"/>
      <c r="BH7" s="53" t="s">
        <v>32</v>
      </c>
      <c r="BI7" s="54"/>
      <c r="BJ7" s="54"/>
      <c r="BK7" s="54"/>
      <c r="BL7" s="55"/>
      <c r="BM7" s="56"/>
      <c r="BN7" s="4"/>
      <c r="BO7" s="4"/>
      <c r="BP7" s="4"/>
      <c r="BQ7" s="4"/>
      <c r="BR7" s="30" t="s">
        <v>163</v>
      </c>
      <c r="BS7" s="31"/>
      <c r="BT7" s="31"/>
      <c r="BU7" s="31"/>
      <c r="BV7" s="32"/>
      <c r="BW7" s="33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110">
        <v>2</v>
      </c>
      <c r="K8" s="111"/>
      <c r="L8" s="108">
        <v>2</v>
      </c>
      <c r="M8" s="111"/>
      <c r="N8" s="108">
        <v>90</v>
      </c>
      <c r="O8" s="109"/>
      <c r="P8" s="4"/>
      <c r="Q8" s="4"/>
      <c r="R8" s="4"/>
      <c r="S8" s="4"/>
      <c r="T8" s="110">
        <v>2</v>
      </c>
      <c r="U8" s="111"/>
      <c r="V8" s="108">
        <v>2</v>
      </c>
      <c r="W8" s="111"/>
      <c r="X8" s="108">
        <v>90</v>
      </c>
      <c r="Y8" s="109"/>
      <c r="Z8" s="4"/>
      <c r="AA8" s="4"/>
      <c r="AB8" s="4"/>
      <c r="AC8" s="4"/>
      <c r="AD8" s="34">
        <v>3</v>
      </c>
      <c r="AE8" s="35"/>
      <c r="AF8" s="36">
        <v>4</v>
      </c>
      <c r="AG8" s="35"/>
      <c r="AH8" s="36">
        <v>150</v>
      </c>
      <c r="AI8" s="37"/>
      <c r="AJ8" s="4"/>
      <c r="AK8" s="4"/>
      <c r="AL8" s="4"/>
      <c r="AM8" s="4"/>
      <c r="AN8" s="34">
        <v>3</v>
      </c>
      <c r="AO8" s="35"/>
      <c r="AP8" s="36">
        <v>4</v>
      </c>
      <c r="AQ8" s="35"/>
      <c r="AR8" s="36">
        <v>150</v>
      </c>
      <c r="AS8" s="37"/>
      <c r="AT8" s="4"/>
      <c r="AU8" s="4"/>
      <c r="AV8" s="4"/>
      <c r="AW8" s="4"/>
      <c r="AX8" s="34">
        <v>3</v>
      </c>
      <c r="AY8" s="35"/>
      <c r="AZ8" s="36">
        <v>4</v>
      </c>
      <c r="BA8" s="35"/>
      <c r="BB8" s="36">
        <v>150</v>
      </c>
      <c r="BC8" s="37"/>
      <c r="BD8" s="4"/>
      <c r="BE8" s="4"/>
      <c r="BF8" s="4"/>
      <c r="BG8" s="4"/>
      <c r="BH8" s="57">
        <v>3</v>
      </c>
      <c r="BI8" s="58"/>
      <c r="BJ8" s="59">
        <v>6</v>
      </c>
      <c r="BK8" s="58"/>
      <c r="BL8" s="59">
        <v>180</v>
      </c>
      <c r="BM8" s="91"/>
      <c r="BN8" s="4"/>
      <c r="BO8" s="4"/>
      <c r="BP8" s="4"/>
      <c r="BQ8" s="4"/>
      <c r="BR8" s="34">
        <v>2</v>
      </c>
      <c r="BS8" s="35"/>
      <c r="BT8" s="36">
        <v>5</v>
      </c>
      <c r="BU8" s="35"/>
      <c r="BV8" s="36">
        <v>135</v>
      </c>
      <c r="BW8" s="37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SUM(J8,T8,AD8,AN8,AX8,BH8,BR8)</f>
        <v>18</v>
      </c>
      <c r="F9" s="11">
        <f>SUM(J9:BW9)</f>
        <v>27</v>
      </c>
      <c r="G9" s="105"/>
      <c r="H9" s="2"/>
      <c r="I9" s="2"/>
      <c r="J9" s="112">
        <v>2</v>
      </c>
      <c r="K9" s="113"/>
      <c r="L9" s="106">
        <v>0</v>
      </c>
      <c r="M9" s="113"/>
      <c r="N9" s="106">
        <v>0</v>
      </c>
      <c r="O9" s="107"/>
      <c r="P9" s="4"/>
      <c r="Q9" s="4"/>
      <c r="R9" s="4"/>
      <c r="S9" s="4"/>
      <c r="T9" s="112">
        <v>2</v>
      </c>
      <c r="U9" s="113"/>
      <c r="V9" s="106">
        <v>0</v>
      </c>
      <c r="W9" s="113"/>
      <c r="X9" s="106">
        <v>0</v>
      </c>
      <c r="Y9" s="107"/>
      <c r="Z9" s="4"/>
      <c r="AA9" s="4"/>
      <c r="AB9" s="4"/>
      <c r="AC9" s="4"/>
      <c r="AD9" s="20">
        <v>3</v>
      </c>
      <c r="AE9" s="21"/>
      <c r="AF9" s="22">
        <v>1</v>
      </c>
      <c r="AG9" s="21"/>
      <c r="AH9" s="22">
        <v>0</v>
      </c>
      <c r="AI9" s="23"/>
      <c r="AJ9" s="4"/>
      <c r="AK9" s="4"/>
      <c r="AL9" s="4"/>
      <c r="AM9" s="4"/>
      <c r="AN9" s="20">
        <v>2</v>
      </c>
      <c r="AO9" s="21"/>
      <c r="AP9" s="22">
        <v>2</v>
      </c>
      <c r="AQ9" s="21"/>
      <c r="AR9" s="22">
        <v>0</v>
      </c>
      <c r="AS9" s="23"/>
      <c r="AT9" s="4"/>
      <c r="AU9" s="4"/>
      <c r="AV9" s="4"/>
      <c r="AW9" s="4"/>
      <c r="AX9" s="20">
        <v>2</v>
      </c>
      <c r="AY9" s="21"/>
      <c r="AZ9" s="22">
        <v>2</v>
      </c>
      <c r="BA9" s="21"/>
      <c r="BB9" s="22">
        <v>0</v>
      </c>
      <c r="BC9" s="23"/>
      <c r="BD9" s="4"/>
      <c r="BE9" s="4"/>
      <c r="BF9" s="4"/>
      <c r="BG9" s="4"/>
      <c r="BH9" s="92">
        <v>3</v>
      </c>
      <c r="BI9" s="93"/>
      <c r="BJ9" s="70">
        <v>3</v>
      </c>
      <c r="BK9" s="93"/>
      <c r="BL9" s="70">
        <v>0</v>
      </c>
      <c r="BM9" s="71"/>
      <c r="BN9" s="4"/>
      <c r="BO9" s="4"/>
      <c r="BP9" s="4"/>
      <c r="BQ9" s="4"/>
      <c r="BR9" s="20">
        <v>1</v>
      </c>
      <c r="BS9" s="21"/>
      <c r="BT9" s="22">
        <v>2</v>
      </c>
      <c r="BU9" s="21"/>
      <c r="BV9" s="22">
        <v>2</v>
      </c>
      <c r="BW9" s="23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122</v>
      </c>
      <c r="K14" s="25"/>
      <c r="L14" s="26"/>
      <c r="M14" s="38" t="s">
        <v>109</v>
      </c>
      <c r="N14" s="39"/>
      <c r="O14" s="40"/>
      <c r="P14" s="4"/>
      <c r="Q14" s="4"/>
      <c r="R14" s="4"/>
      <c r="S14" s="4"/>
      <c r="T14" s="24" t="s">
        <v>114</v>
      </c>
      <c r="U14" s="25"/>
      <c r="V14" s="26"/>
      <c r="W14" s="38">
        <v>114</v>
      </c>
      <c r="X14" s="39"/>
      <c r="Y14" s="40"/>
      <c r="Z14" s="4"/>
      <c r="AA14" s="4"/>
      <c r="AB14" s="4"/>
      <c r="AC14" s="4"/>
      <c r="AD14" s="24" t="s">
        <v>114</v>
      </c>
      <c r="AE14" s="25"/>
      <c r="AF14" s="26"/>
      <c r="AG14" s="38">
        <v>131</v>
      </c>
      <c r="AH14" s="39"/>
      <c r="AI14" s="40"/>
      <c r="AJ14" s="4"/>
      <c r="AK14" s="4"/>
      <c r="AL14" s="4"/>
      <c r="AM14" s="4"/>
      <c r="AN14" s="24" t="s">
        <v>90</v>
      </c>
      <c r="AO14" s="25"/>
      <c r="AP14" s="26"/>
      <c r="AQ14" s="27" t="s">
        <v>164</v>
      </c>
      <c r="AR14" s="28"/>
      <c r="AS14" s="29"/>
      <c r="AT14" s="4"/>
      <c r="AU14" s="4"/>
      <c r="AV14" s="4"/>
      <c r="AW14" s="4"/>
      <c r="AX14" s="24" t="s">
        <v>19</v>
      </c>
      <c r="AY14" s="25"/>
      <c r="AZ14" s="26"/>
      <c r="BA14" s="38">
        <v>113</v>
      </c>
      <c r="BB14" s="39"/>
      <c r="BC14" s="40"/>
      <c r="BD14" s="4"/>
      <c r="BE14" s="4"/>
      <c r="BF14" s="4"/>
      <c r="BG14" s="4"/>
      <c r="BH14" s="24" t="s">
        <v>19</v>
      </c>
      <c r="BI14" s="25"/>
      <c r="BJ14" s="26"/>
      <c r="BK14" s="27" t="s">
        <v>35</v>
      </c>
      <c r="BL14" s="28"/>
      <c r="BM14" s="29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900</v>
      </c>
      <c r="H15" s="2"/>
      <c r="I15" s="2"/>
      <c r="J15" s="114" t="s">
        <v>123</v>
      </c>
      <c r="K15" s="115"/>
      <c r="L15" s="115"/>
      <c r="M15" s="115"/>
      <c r="N15" s="116"/>
      <c r="O15" s="117"/>
      <c r="P15" s="4"/>
      <c r="Q15" s="4"/>
      <c r="R15" s="4"/>
      <c r="S15" s="4"/>
      <c r="T15" s="30" t="s">
        <v>117</v>
      </c>
      <c r="U15" s="31"/>
      <c r="V15" s="31"/>
      <c r="W15" s="31"/>
      <c r="X15" s="32"/>
      <c r="Y15" s="33"/>
      <c r="Z15" s="4"/>
      <c r="AA15" s="4"/>
      <c r="AB15" s="4"/>
      <c r="AC15" s="4"/>
      <c r="AD15" s="30" t="s">
        <v>124</v>
      </c>
      <c r="AE15" s="31"/>
      <c r="AF15" s="31"/>
      <c r="AG15" s="31"/>
      <c r="AH15" s="32"/>
      <c r="AI15" s="33"/>
      <c r="AJ15" s="4"/>
      <c r="AK15" s="4"/>
      <c r="AL15" s="4"/>
      <c r="AM15" s="4"/>
      <c r="AN15" s="30" t="s">
        <v>165</v>
      </c>
      <c r="AO15" s="31"/>
      <c r="AP15" s="31"/>
      <c r="AQ15" s="31"/>
      <c r="AR15" s="32"/>
      <c r="AS15" s="33"/>
      <c r="AT15" s="4"/>
      <c r="AU15" s="4"/>
      <c r="AV15" s="4"/>
      <c r="AW15" s="4"/>
      <c r="AX15" s="30" t="s">
        <v>24</v>
      </c>
      <c r="AY15" s="31"/>
      <c r="AZ15" s="31"/>
      <c r="BA15" s="31"/>
      <c r="BB15" s="32"/>
      <c r="BC15" s="33"/>
      <c r="BD15" s="4"/>
      <c r="BE15" s="4"/>
      <c r="BF15" s="4"/>
      <c r="BG15" s="4"/>
      <c r="BH15" s="53" t="s">
        <v>34</v>
      </c>
      <c r="BI15" s="54"/>
      <c r="BJ15" s="54"/>
      <c r="BK15" s="54"/>
      <c r="BL15" s="55"/>
      <c r="BM15" s="56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110">
        <v>2</v>
      </c>
      <c r="K16" s="111"/>
      <c r="L16" s="108">
        <v>2</v>
      </c>
      <c r="M16" s="111"/>
      <c r="N16" s="108">
        <v>90</v>
      </c>
      <c r="O16" s="109"/>
      <c r="P16" s="4"/>
      <c r="Q16" s="4"/>
      <c r="R16" s="4"/>
      <c r="S16" s="4"/>
      <c r="T16" s="34">
        <v>4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2</v>
      </c>
      <c r="AE16" s="35"/>
      <c r="AF16" s="36">
        <v>3</v>
      </c>
      <c r="AG16" s="35"/>
      <c r="AH16" s="36">
        <v>105</v>
      </c>
      <c r="AI16" s="37"/>
      <c r="AJ16" s="4"/>
      <c r="AK16" s="4"/>
      <c r="AL16" s="4"/>
      <c r="AM16" s="4"/>
      <c r="AN16" s="34">
        <v>3</v>
      </c>
      <c r="AO16" s="35"/>
      <c r="AP16" s="36">
        <v>4</v>
      </c>
      <c r="AQ16" s="35"/>
      <c r="AR16" s="36">
        <v>150</v>
      </c>
      <c r="AS16" s="37"/>
      <c r="AT16" s="4"/>
      <c r="AU16" s="4"/>
      <c r="AV16" s="4"/>
      <c r="AW16" s="4"/>
      <c r="AX16" s="34">
        <v>3</v>
      </c>
      <c r="AY16" s="35"/>
      <c r="AZ16" s="36">
        <v>6</v>
      </c>
      <c r="BA16" s="35"/>
      <c r="BB16" s="36">
        <v>180</v>
      </c>
      <c r="BC16" s="37"/>
      <c r="BD16" s="4"/>
      <c r="BE16" s="4"/>
      <c r="BF16" s="4"/>
      <c r="BG16" s="4"/>
      <c r="BH16" s="57">
        <v>3</v>
      </c>
      <c r="BI16" s="58"/>
      <c r="BJ16" s="59">
        <v>6</v>
      </c>
      <c r="BK16" s="58"/>
      <c r="BL16" s="59">
        <v>180</v>
      </c>
      <c r="BM16" s="91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SUM(J16,T16,AD16,AN16,AX16,BH16,BR16)</f>
        <v>17</v>
      </c>
      <c r="F17" s="11">
        <f>SUM(J17:BW17)</f>
        <v>26</v>
      </c>
      <c r="G17" s="105"/>
      <c r="H17" s="2"/>
      <c r="I17" s="2"/>
      <c r="J17" s="112">
        <v>2</v>
      </c>
      <c r="K17" s="113"/>
      <c r="L17" s="106">
        <v>0</v>
      </c>
      <c r="M17" s="113"/>
      <c r="N17" s="106">
        <v>0</v>
      </c>
      <c r="O17" s="107"/>
      <c r="P17" s="4"/>
      <c r="Q17" s="4"/>
      <c r="R17" s="4"/>
      <c r="S17" s="4"/>
      <c r="T17" s="20">
        <v>3</v>
      </c>
      <c r="U17" s="21"/>
      <c r="V17" s="22">
        <v>2</v>
      </c>
      <c r="W17" s="21"/>
      <c r="X17" s="22">
        <v>0</v>
      </c>
      <c r="Y17" s="23"/>
      <c r="Z17" s="4"/>
      <c r="AA17" s="4"/>
      <c r="AB17" s="4"/>
      <c r="AC17" s="4"/>
      <c r="AD17" s="20">
        <v>1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20">
        <v>2</v>
      </c>
      <c r="AO17" s="21"/>
      <c r="AP17" s="22">
        <v>2</v>
      </c>
      <c r="AQ17" s="21"/>
      <c r="AR17" s="22">
        <v>0</v>
      </c>
      <c r="AS17" s="23"/>
      <c r="AT17" s="4"/>
      <c r="AU17" s="4"/>
      <c r="AV17" s="4"/>
      <c r="AW17" s="4"/>
      <c r="AX17" s="20">
        <v>1</v>
      </c>
      <c r="AY17" s="21"/>
      <c r="AZ17" s="22">
        <v>3</v>
      </c>
      <c r="BA17" s="21"/>
      <c r="BB17" s="22">
        <v>2</v>
      </c>
      <c r="BC17" s="23"/>
      <c r="BD17" s="4"/>
      <c r="BE17" s="4"/>
      <c r="BF17" s="4"/>
      <c r="BG17" s="4"/>
      <c r="BH17" s="92">
        <v>3</v>
      </c>
      <c r="BI17" s="93"/>
      <c r="BJ17" s="70">
        <v>3</v>
      </c>
      <c r="BK17" s="93"/>
      <c r="BL17" s="70">
        <v>0</v>
      </c>
      <c r="BM17" s="71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4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127</v>
      </c>
      <c r="K24" s="25"/>
      <c r="L24" s="26"/>
      <c r="M24" s="38" t="s">
        <v>110</v>
      </c>
      <c r="N24" s="39"/>
      <c r="O24" s="40"/>
      <c r="P24" s="4"/>
      <c r="Q24" s="4"/>
      <c r="R24" s="4"/>
      <c r="S24" s="4"/>
      <c r="T24" s="24" t="s">
        <v>114</v>
      </c>
      <c r="U24" s="25"/>
      <c r="V24" s="26"/>
      <c r="W24" s="38">
        <v>313</v>
      </c>
      <c r="X24" s="39"/>
      <c r="Y24" s="40"/>
      <c r="Z24" s="4"/>
      <c r="AA24" s="4"/>
      <c r="AB24" s="4"/>
      <c r="AC24" s="4"/>
      <c r="AD24" s="24" t="s">
        <v>25</v>
      </c>
      <c r="AE24" s="25"/>
      <c r="AF24" s="26"/>
      <c r="AG24" s="38">
        <v>115</v>
      </c>
      <c r="AH24" s="39"/>
      <c r="AI24" s="40"/>
      <c r="AJ24" s="4"/>
      <c r="AK24" s="4"/>
      <c r="AL24" s="4"/>
      <c r="AM24" s="4"/>
      <c r="AN24" s="24" t="s">
        <v>19</v>
      </c>
      <c r="AO24" s="25"/>
      <c r="AP24" s="26"/>
      <c r="AQ24" s="38">
        <v>111</v>
      </c>
      <c r="AR24" s="102"/>
      <c r="AS24" s="103"/>
      <c r="AT24" s="4"/>
      <c r="AU24" s="4"/>
      <c r="AV24" s="4"/>
      <c r="AW24" s="4"/>
      <c r="AX24" s="24" t="s">
        <v>19</v>
      </c>
      <c r="AY24" s="25"/>
      <c r="AZ24" s="26"/>
      <c r="BA24" s="38">
        <v>131</v>
      </c>
      <c r="BB24" s="102"/>
      <c r="BC24" s="103"/>
      <c r="BD24" s="4"/>
      <c r="BE24" s="4"/>
      <c r="BF24" s="4"/>
      <c r="BG24" s="4"/>
      <c r="BH24" s="24" t="s">
        <v>48</v>
      </c>
      <c r="BI24" s="25"/>
      <c r="BJ24" s="26"/>
      <c r="BK24" s="38">
        <v>111</v>
      </c>
      <c r="BL24" s="39"/>
      <c r="BM24" s="40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57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SUM(N26,X26,AH26,AR26,BB26,BL26)</f>
        <v>1005</v>
      </c>
      <c r="H25" s="2"/>
      <c r="I25" s="2"/>
      <c r="J25" s="114" t="s">
        <v>128</v>
      </c>
      <c r="K25" s="115"/>
      <c r="L25" s="115"/>
      <c r="M25" s="115"/>
      <c r="N25" s="116"/>
      <c r="O25" s="117"/>
      <c r="P25" s="4"/>
      <c r="Q25" s="4"/>
      <c r="R25" s="4"/>
      <c r="S25" s="4"/>
      <c r="T25" s="30" t="s">
        <v>125</v>
      </c>
      <c r="U25" s="31"/>
      <c r="V25" s="31"/>
      <c r="W25" s="31"/>
      <c r="X25" s="32"/>
      <c r="Y25" s="33"/>
      <c r="Z25" s="4"/>
      <c r="AA25" s="4"/>
      <c r="AB25" s="4"/>
      <c r="AC25" s="4"/>
      <c r="AD25" s="30" t="s">
        <v>166</v>
      </c>
      <c r="AE25" s="31"/>
      <c r="AF25" s="31"/>
      <c r="AG25" s="31"/>
      <c r="AH25" s="32"/>
      <c r="AI25" s="33"/>
      <c r="AJ25" s="4"/>
      <c r="AK25" s="4"/>
      <c r="AL25" s="4"/>
      <c r="AM25" s="4"/>
      <c r="AN25" s="53" t="s">
        <v>36</v>
      </c>
      <c r="AO25" s="54"/>
      <c r="AP25" s="54"/>
      <c r="AQ25" s="54"/>
      <c r="AR25" s="55"/>
      <c r="AS25" s="56"/>
      <c r="AT25" s="4"/>
      <c r="AU25" s="4"/>
      <c r="AV25" s="4"/>
      <c r="AW25" s="4"/>
      <c r="AX25" s="53" t="s">
        <v>37</v>
      </c>
      <c r="AY25" s="54"/>
      <c r="AZ25" s="54"/>
      <c r="BA25" s="54"/>
      <c r="BB25" s="55"/>
      <c r="BC25" s="56"/>
      <c r="BD25" s="4"/>
      <c r="BE25" s="4"/>
      <c r="BF25" s="4"/>
      <c r="BG25" s="4"/>
      <c r="BH25" s="146" t="s">
        <v>47</v>
      </c>
      <c r="BI25" s="147"/>
      <c r="BJ25" s="147"/>
      <c r="BK25" s="147"/>
      <c r="BL25" s="148"/>
      <c r="BM25" s="149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110">
        <v>2</v>
      </c>
      <c r="K26" s="111"/>
      <c r="L26" s="108">
        <v>2</v>
      </c>
      <c r="M26" s="111"/>
      <c r="N26" s="108">
        <v>90</v>
      </c>
      <c r="O26" s="109"/>
      <c r="P26" s="4"/>
      <c r="Q26" s="4"/>
      <c r="R26" s="4"/>
      <c r="S26" s="4"/>
      <c r="T26" s="34">
        <v>4</v>
      </c>
      <c r="U26" s="35"/>
      <c r="V26" s="36">
        <v>5</v>
      </c>
      <c r="W26" s="35"/>
      <c r="X26" s="36">
        <v>195</v>
      </c>
      <c r="Y26" s="37"/>
      <c r="Z26" s="4"/>
      <c r="AA26" s="4"/>
      <c r="AB26" s="4"/>
      <c r="AC26" s="4"/>
      <c r="AD26" s="34">
        <v>3</v>
      </c>
      <c r="AE26" s="35"/>
      <c r="AF26" s="36">
        <v>5</v>
      </c>
      <c r="AG26" s="35"/>
      <c r="AH26" s="36">
        <v>165</v>
      </c>
      <c r="AI26" s="37"/>
      <c r="AJ26" s="4"/>
      <c r="AK26" s="4"/>
      <c r="AL26" s="4"/>
      <c r="AM26" s="4"/>
      <c r="AN26" s="57">
        <v>3</v>
      </c>
      <c r="AO26" s="58"/>
      <c r="AP26" s="59">
        <v>6</v>
      </c>
      <c r="AQ26" s="58"/>
      <c r="AR26" s="59">
        <v>180</v>
      </c>
      <c r="AS26" s="91"/>
      <c r="AT26" s="4"/>
      <c r="AU26" s="4"/>
      <c r="AV26" s="4"/>
      <c r="AW26" s="4"/>
      <c r="AX26" s="57">
        <v>3</v>
      </c>
      <c r="AY26" s="58"/>
      <c r="AZ26" s="59">
        <v>7</v>
      </c>
      <c r="BA26" s="58"/>
      <c r="BB26" s="59">
        <v>195</v>
      </c>
      <c r="BC26" s="91"/>
      <c r="BD26" s="4"/>
      <c r="BE26" s="4"/>
      <c r="BF26" s="4"/>
      <c r="BG26" s="4"/>
      <c r="BH26" s="138">
        <v>3</v>
      </c>
      <c r="BI26" s="139"/>
      <c r="BJ26" s="140">
        <v>6</v>
      </c>
      <c r="BK26" s="139"/>
      <c r="BL26" s="140">
        <v>180</v>
      </c>
      <c r="BM26" s="141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thickBot="1" x14ac:dyDescent="0.35">
      <c r="B27" s="118"/>
      <c r="C27" s="1"/>
      <c r="D27" s="119"/>
      <c r="E27" s="11">
        <f>SUM(J26,T26,AD26,AN26,AX26,BH26,BR26)</f>
        <v>18</v>
      </c>
      <c r="F27" s="11">
        <f>SUM(J27:BW27)</f>
        <v>31</v>
      </c>
      <c r="G27" s="105"/>
      <c r="H27" s="2"/>
      <c r="I27" s="2"/>
      <c r="J27" s="112">
        <v>2</v>
      </c>
      <c r="K27" s="113"/>
      <c r="L27" s="106">
        <v>0</v>
      </c>
      <c r="M27" s="113"/>
      <c r="N27" s="106">
        <v>0</v>
      </c>
      <c r="O27" s="107"/>
      <c r="P27" s="4"/>
      <c r="Q27" s="4"/>
      <c r="R27" s="4"/>
      <c r="S27" s="4"/>
      <c r="T27" s="20">
        <v>3</v>
      </c>
      <c r="U27" s="21"/>
      <c r="V27" s="22">
        <v>2</v>
      </c>
      <c r="W27" s="21"/>
      <c r="X27" s="22">
        <v>0</v>
      </c>
      <c r="Y27" s="23"/>
      <c r="Z27" s="4"/>
      <c r="AA27" s="4"/>
      <c r="AB27" s="4"/>
      <c r="AC27" s="4"/>
      <c r="AD27" s="20">
        <v>2</v>
      </c>
      <c r="AE27" s="21"/>
      <c r="AF27" s="22">
        <v>2</v>
      </c>
      <c r="AG27" s="21"/>
      <c r="AH27" s="22">
        <v>1</v>
      </c>
      <c r="AI27" s="23"/>
      <c r="AJ27" s="4"/>
      <c r="AK27" s="4"/>
      <c r="AL27" s="4"/>
      <c r="AM27" s="4"/>
      <c r="AN27" s="92">
        <v>3</v>
      </c>
      <c r="AO27" s="93"/>
      <c r="AP27" s="70">
        <v>3</v>
      </c>
      <c r="AQ27" s="93"/>
      <c r="AR27" s="70">
        <v>0</v>
      </c>
      <c r="AS27" s="71"/>
      <c r="AT27" s="4"/>
      <c r="AU27" s="4"/>
      <c r="AV27" s="4"/>
      <c r="AW27" s="4"/>
      <c r="AX27" s="92">
        <v>3</v>
      </c>
      <c r="AY27" s="93"/>
      <c r="AZ27" s="70">
        <v>2</v>
      </c>
      <c r="BA27" s="93"/>
      <c r="BB27" s="70">
        <v>2</v>
      </c>
      <c r="BC27" s="71"/>
      <c r="BD27" s="4"/>
      <c r="BE27" s="4"/>
      <c r="BF27" s="4"/>
      <c r="BG27" s="4"/>
      <c r="BH27" s="142">
        <v>3</v>
      </c>
      <c r="BI27" s="143"/>
      <c r="BJ27" s="144">
        <v>3</v>
      </c>
      <c r="BK27" s="143"/>
      <c r="BL27" s="144">
        <v>0</v>
      </c>
      <c r="BM27" s="145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129</v>
      </c>
      <c r="K32" s="25"/>
      <c r="L32" s="26"/>
      <c r="M32" s="38" t="s">
        <v>110</v>
      </c>
      <c r="N32" s="39"/>
      <c r="O32" s="40"/>
      <c r="P32" s="4"/>
      <c r="Q32" s="4"/>
      <c r="R32" s="4"/>
      <c r="S32" s="4"/>
      <c r="T32" s="24" t="s">
        <v>19</v>
      </c>
      <c r="U32" s="25"/>
      <c r="V32" s="26"/>
      <c r="W32" s="38">
        <v>315</v>
      </c>
      <c r="X32" s="39"/>
      <c r="Y32" s="40"/>
      <c r="Z32" s="4"/>
      <c r="AA32" s="4"/>
      <c r="AB32" s="4"/>
      <c r="AC32" s="4"/>
      <c r="AD32" s="24" t="s">
        <v>25</v>
      </c>
      <c r="AE32" s="25"/>
      <c r="AF32" s="26"/>
      <c r="AG32" s="38">
        <v>432</v>
      </c>
      <c r="AH32" s="39"/>
      <c r="AI32" s="40"/>
      <c r="AJ32" s="4"/>
      <c r="AK32" s="4"/>
      <c r="AL32" s="4"/>
      <c r="AM32" s="4"/>
      <c r="AN32" s="24" t="s">
        <v>19</v>
      </c>
      <c r="AO32" s="25"/>
      <c r="AP32" s="26"/>
      <c r="AQ32" s="38">
        <v>112</v>
      </c>
      <c r="AR32" s="102"/>
      <c r="AS32" s="103"/>
      <c r="AT32" s="4"/>
      <c r="AU32" s="4"/>
      <c r="AV32" s="4"/>
      <c r="AW32" s="4"/>
      <c r="AX32" s="24" t="s">
        <v>19</v>
      </c>
      <c r="AY32" s="25"/>
      <c r="AZ32" s="26"/>
      <c r="BA32" s="38">
        <v>132</v>
      </c>
      <c r="BB32" s="102"/>
      <c r="BC32" s="103"/>
      <c r="BD32" s="4"/>
      <c r="BE32" s="4"/>
      <c r="BF32" s="4"/>
      <c r="BG32" s="4"/>
      <c r="BH32" s="24" t="s">
        <v>48</v>
      </c>
      <c r="BI32" s="25"/>
      <c r="BJ32" s="26"/>
      <c r="BK32" s="38">
        <v>121</v>
      </c>
      <c r="BL32" s="39"/>
      <c r="BM32" s="40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915</v>
      </c>
      <c r="H33" s="2"/>
      <c r="I33" s="2"/>
      <c r="J33" s="114" t="s">
        <v>130</v>
      </c>
      <c r="K33" s="115"/>
      <c r="L33" s="115"/>
      <c r="M33" s="115"/>
      <c r="N33" s="116"/>
      <c r="O33" s="117"/>
      <c r="P33" s="4"/>
      <c r="Q33" s="4"/>
      <c r="R33" s="4"/>
      <c r="S33" s="4"/>
      <c r="T33" s="30" t="s">
        <v>26</v>
      </c>
      <c r="U33" s="31"/>
      <c r="V33" s="31"/>
      <c r="W33" s="31"/>
      <c r="X33" s="32"/>
      <c r="Y33" s="33"/>
      <c r="Z33" s="4"/>
      <c r="AA33" s="4"/>
      <c r="AB33" s="4"/>
      <c r="AC33" s="4"/>
      <c r="AD33" s="30" t="s">
        <v>27</v>
      </c>
      <c r="AE33" s="31"/>
      <c r="AF33" s="31"/>
      <c r="AG33" s="31"/>
      <c r="AH33" s="32"/>
      <c r="AI33" s="33"/>
      <c r="AJ33" s="4"/>
      <c r="AK33" s="4"/>
      <c r="AL33" s="4"/>
      <c r="AM33" s="4"/>
      <c r="AN33" s="53" t="s">
        <v>38</v>
      </c>
      <c r="AO33" s="54"/>
      <c r="AP33" s="54"/>
      <c r="AQ33" s="54"/>
      <c r="AR33" s="55"/>
      <c r="AS33" s="56"/>
      <c r="AT33" s="4"/>
      <c r="AU33" s="4"/>
      <c r="AV33" s="4"/>
      <c r="AW33" s="4"/>
      <c r="AX33" s="53" t="s">
        <v>39</v>
      </c>
      <c r="AY33" s="54"/>
      <c r="AZ33" s="54"/>
      <c r="BA33" s="54"/>
      <c r="BB33" s="55"/>
      <c r="BC33" s="56"/>
      <c r="BD33" s="4"/>
      <c r="BE33" s="4"/>
      <c r="BF33" s="4"/>
      <c r="BG33" s="4"/>
      <c r="BH33" s="146" t="s">
        <v>49</v>
      </c>
      <c r="BI33" s="147"/>
      <c r="BJ33" s="147"/>
      <c r="BK33" s="147"/>
      <c r="BL33" s="148"/>
      <c r="BM33" s="149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110">
        <v>2</v>
      </c>
      <c r="K34" s="111"/>
      <c r="L34" s="108">
        <v>2</v>
      </c>
      <c r="M34" s="111"/>
      <c r="N34" s="108">
        <v>90</v>
      </c>
      <c r="O34" s="109"/>
      <c r="P34" s="4"/>
      <c r="Q34" s="4"/>
      <c r="R34" s="4"/>
      <c r="S34" s="4"/>
      <c r="T34" s="34">
        <v>3</v>
      </c>
      <c r="U34" s="35"/>
      <c r="V34" s="36">
        <v>4</v>
      </c>
      <c r="W34" s="35"/>
      <c r="X34" s="36">
        <v>150</v>
      </c>
      <c r="Y34" s="37"/>
      <c r="Z34" s="4"/>
      <c r="AA34" s="4"/>
      <c r="AB34" s="4"/>
      <c r="AC34" s="4"/>
      <c r="AD34" s="34">
        <v>3</v>
      </c>
      <c r="AE34" s="35"/>
      <c r="AF34" s="36">
        <v>4</v>
      </c>
      <c r="AG34" s="35"/>
      <c r="AH34" s="36">
        <v>150</v>
      </c>
      <c r="AI34" s="37"/>
      <c r="AJ34" s="4"/>
      <c r="AK34" s="4"/>
      <c r="AL34" s="4"/>
      <c r="AM34" s="4"/>
      <c r="AN34" s="57">
        <v>3</v>
      </c>
      <c r="AO34" s="58"/>
      <c r="AP34" s="59">
        <v>6</v>
      </c>
      <c r="AQ34" s="58"/>
      <c r="AR34" s="59">
        <v>180</v>
      </c>
      <c r="AS34" s="91"/>
      <c r="AT34" s="4"/>
      <c r="AU34" s="4"/>
      <c r="AV34" s="4"/>
      <c r="AW34" s="4"/>
      <c r="AX34" s="57">
        <v>3</v>
      </c>
      <c r="AY34" s="58"/>
      <c r="AZ34" s="59">
        <v>5</v>
      </c>
      <c r="BA34" s="58"/>
      <c r="BB34" s="59">
        <v>165</v>
      </c>
      <c r="BC34" s="91"/>
      <c r="BD34" s="4"/>
      <c r="BE34" s="4"/>
      <c r="BF34" s="4"/>
      <c r="BG34" s="4"/>
      <c r="BH34" s="138">
        <v>3</v>
      </c>
      <c r="BI34" s="139"/>
      <c r="BJ34" s="140">
        <v>6</v>
      </c>
      <c r="BK34" s="139"/>
      <c r="BL34" s="140">
        <v>180</v>
      </c>
      <c r="BM34" s="141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SUM(J34,T34,AD34,AN34,AX34,BH34,BR34)</f>
        <v>17</v>
      </c>
      <c r="F35" s="11">
        <f>SUM(J35:BM35)</f>
        <v>27</v>
      </c>
      <c r="G35" s="105"/>
      <c r="H35" s="2"/>
      <c r="I35" s="2"/>
      <c r="J35" s="112">
        <v>2</v>
      </c>
      <c r="K35" s="113"/>
      <c r="L35" s="106">
        <v>0</v>
      </c>
      <c r="M35" s="113"/>
      <c r="N35" s="106">
        <v>0</v>
      </c>
      <c r="O35" s="107"/>
      <c r="P35" s="4"/>
      <c r="Q35" s="4"/>
      <c r="R35" s="4"/>
      <c r="S35" s="4"/>
      <c r="T35" s="20">
        <v>2</v>
      </c>
      <c r="U35" s="21"/>
      <c r="V35" s="22">
        <v>0</v>
      </c>
      <c r="W35" s="21"/>
      <c r="X35" s="22">
        <v>2</v>
      </c>
      <c r="Y35" s="23"/>
      <c r="Z35" s="4"/>
      <c r="AA35" s="4"/>
      <c r="AB35" s="4"/>
      <c r="AC35" s="4"/>
      <c r="AD35" s="20">
        <v>2</v>
      </c>
      <c r="AE35" s="21"/>
      <c r="AF35" s="22">
        <v>1</v>
      </c>
      <c r="AG35" s="21"/>
      <c r="AH35" s="22">
        <v>1</v>
      </c>
      <c r="AI35" s="23"/>
      <c r="AJ35" s="4"/>
      <c r="AK35" s="4"/>
      <c r="AL35" s="4"/>
      <c r="AM35" s="4"/>
      <c r="AN35" s="92">
        <v>3</v>
      </c>
      <c r="AO35" s="93"/>
      <c r="AP35" s="70">
        <v>3</v>
      </c>
      <c r="AQ35" s="93"/>
      <c r="AR35" s="70">
        <v>0</v>
      </c>
      <c r="AS35" s="71"/>
      <c r="AT35" s="4"/>
      <c r="AU35" s="4"/>
      <c r="AV35" s="4"/>
      <c r="AW35" s="4"/>
      <c r="AX35" s="92">
        <v>3</v>
      </c>
      <c r="AY35" s="93"/>
      <c r="AZ35" s="70">
        <v>2</v>
      </c>
      <c r="BA35" s="93"/>
      <c r="BB35" s="70">
        <v>0</v>
      </c>
      <c r="BC35" s="71"/>
      <c r="BD35" s="4"/>
      <c r="BE35" s="4"/>
      <c r="BF35" s="4"/>
      <c r="BG35" s="4"/>
      <c r="BH35" s="142">
        <v>3</v>
      </c>
      <c r="BI35" s="143"/>
      <c r="BJ35" s="144">
        <v>3</v>
      </c>
      <c r="BK35" s="143"/>
      <c r="BL35" s="144">
        <v>0</v>
      </c>
      <c r="BM35" s="145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3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131</v>
      </c>
      <c r="K42" s="25"/>
      <c r="L42" s="26"/>
      <c r="M42" s="38" t="s">
        <v>110</v>
      </c>
      <c r="N42" s="39"/>
      <c r="O42" s="40"/>
      <c r="P42" s="4"/>
      <c r="Q42" s="4"/>
      <c r="R42" s="4"/>
      <c r="S42" s="4"/>
      <c r="T42" s="24" t="s">
        <v>19</v>
      </c>
      <c r="U42" s="25"/>
      <c r="V42" s="26"/>
      <c r="W42" s="38">
        <v>233</v>
      </c>
      <c r="X42" s="102"/>
      <c r="Y42" s="103"/>
      <c r="Z42" s="4"/>
      <c r="AA42" s="4"/>
      <c r="AB42" s="4"/>
      <c r="AC42" s="4"/>
      <c r="AD42" s="24" t="s">
        <v>19</v>
      </c>
      <c r="AE42" s="25"/>
      <c r="AF42" s="26"/>
      <c r="AG42" s="38">
        <v>261</v>
      </c>
      <c r="AH42" s="102"/>
      <c r="AI42" s="103"/>
      <c r="AJ42" s="4"/>
      <c r="AK42" s="4"/>
      <c r="AL42" s="4"/>
      <c r="AM42" s="4"/>
      <c r="AN42" s="24" t="s">
        <v>48</v>
      </c>
      <c r="AO42" s="25"/>
      <c r="AP42" s="26"/>
      <c r="AQ42" s="38">
        <v>231</v>
      </c>
      <c r="AR42" s="39"/>
      <c r="AS42" s="40"/>
      <c r="AT42" s="4"/>
      <c r="AU42" s="4"/>
      <c r="AV42" s="4"/>
      <c r="AW42" s="4"/>
      <c r="AX42" s="24" t="s">
        <v>19</v>
      </c>
      <c r="AY42" s="25"/>
      <c r="AZ42" s="26"/>
      <c r="BA42" s="38">
        <v>281</v>
      </c>
      <c r="BB42" s="102"/>
      <c r="BC42" s="103"/>
      <c r="BD42" s="4"/>
      <c r="BE42" s="4"/>
      <c r="BF42" s="4"/>
      <c r="BG42" s="4"/>
      <c r="BH42" s="24" t="s">
        <v>19</v>
      </c>
      <c r="BI42" s="25"/>
      <c r="BJ42" s="26"/>
      <c r="BK42" s="38">
        <v>211</v>
      </c>
      <c r="BL42" s="102"/>
      <c r="BM42" s="103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945</v>
      </c>
      <c r="H43" s="2"/>
      <c r="I43" s="2"/>
      <c r="J43" s="114" t="s">
        <v>20</v>
      </c>
      <c r="K43" s="115"/>
      <c r="L43" s="115"/>
      <c r="M43" s="115"/>
      <c r="N43" s="116"/>
      <c r="O43" s="117"/>
      <c r="P43" s="4"/>
      <c r="Q43" s="4"/>
      <c r="R43" s="4"/>
      <c r="S43" s="4"/>
      <c r="T43" s="53" t="s">
        <v>40</v>
      </c>
      <c r="U43" s="54"/>
      <c r="V43" s="54"/>
      <c r="W43" s="54"/>
      <c r="X43" s="55"/>
      <c r="Y43" s="56"/>
      <c r="Z43" s="4"/>
      <c r="AA43" s="4"/>
      <c r="AB43" s="4"/>
      <c r="AC43" s="4"/>
      <c r="AD43" s="53" t="s">
        <v>41</v>
      </c>
      <c r="AE43" s="54"/>
      <c r="AF43" s="54"/>
      <c r="AG43" s="54"/>
      <c r="AH43" s="55"/>
      <c r="AI43" s="56"/>
      <c r="AJ43" s="4"/>
      <c r="AK43" s="4"/>
      <c r="AL43" s="4"/>
      <c r="AM43" s="4"/>
      <c r="AN43" s="146" t="s">
        <v>50</v>
      </c>
      <c r="AO43" s="147"/>
      <c r="AP43" s="147"/>
      <c r="AQ43" s="147"/>
      <c r="AR43" s="148"/>
      <c r="AS43" s="149"/>
      <c r="AT43" s="4"/>
      <c r="AU43" s="4"/>
      <c r="AV43" s="4"/>
      <c r="AW43" s="4"/>
      <c r="AX43" s="94" t="s">
        <v>42</v>
      </c>
      <c r="AY43" s="95"/>
      <c r="AZ43" s="95"/>
      <c r="BA43" s="95"/>
      <c r="BB43" s="96"/>
      <c r="BC43" s="97"/>
      <c r="BD43" s="4"/>
      <c r="BE43" s="4"/>
      <c r="BF43" s="4"/>
      <c r="BG43" s="4"/>
      <c r="BH43" s="94" t="s">
        <v>66</v>
      </c>
      <c r="BI43" s="95"/>
      <c r="BJ43" s="95"/>
      <c r="BK43" s="95"/>
      <c r="BL43" s="96"/>
      <c r="BM43" s="97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110">
        <v>2</v>
      </c>
      <c r="K44" s="111"/>
      <c r="L44" s="108">
        <v>2</v>
      </c>
      <c r="M44" s="111"/>
      <c r="N44" s="108">
        <v>90</v>
      </c>
      <c r="O44" s="109"/>
      <c r="P44" s="4"/>
      <c r="Q44" s="4"/>
      <c r="R44" s="4"/>
      <c r="S44" s="4"/>
      <c r="T44" s="57">
        <v>3</v>
      </c>
      <c r="U44" s="58"/>
      <c r="V44" s="59">
        <v>5</v>
      </c>
      <c r="W44" s="58"/>
      <c r="X44" s="59">
        <v>165</v>
      </c>
      <c r="Y44" s="91"/>
      <c r="Z44" s="4"/>
      <c r="AA44" s="4"/>
      <c r="AB44" s="4"/>
      <c r="AC44" s="4"/>
      <c r="AD44" s="57">
        <v>3</v>
      </c>
      <c r="AE44" s="58"/>
      <c r="AF44" s="59">
        <v>5</v>
      </c>
      <c r="AG44" s="58"/>
      <c r="AH44" s="59">
        <v>165</v>
      </c>
      <c r="AI44" s="91"/>
      <c r="AJ44" s="4"/>
      <c r="AK44" s="4"/>
      <c r="AL44" s="4"/>
      <c r="AM44" s="4"/>
      <c r="AN44" s="138">
        <v>3</v>
      </c>
      <c r="AO44" s="139"/>
      <c r="AP44" s="140">
        <v>6</v>
      </c>
      <c r="AQ44" s="139"/>
      <c r="AR44" s="140">
        <v>180</v>
      </c>
      <c r="AS44" s="141"/>
      <c r="AT44" s="4"/>
      <c r="AU44" s="4"/>
      <c r="AV44" s="4"/>
      <c r="AW44" s="4"/>
      <c r="AX44" s="98">
        <v>3</v>
      </c>
      <c r="AY44" s="99"/>
      <c r="AZ44" s="100">
        <v>6</v>
      </c>
      <c r="BA44" s="99"/>
      <c r="BB44" s="100">
        <v>180</v>
      </c>
      <c r="BC44" s="101"/>
      <c r="BD44" s="4"/>
      <c r="BE44" s="4"/>
      <c r="BF44" s="4"/>
      <c r="BG44" s="4"/>
      <c r="BH44" s="98">
        <v>3</v>
      </c>
      <c r="BI44" s="99"/>
      <c r="BJ44" s="100">
        <v>5</v>
      </c>
      <c r="BK44" s="99"/>
      <c r="BL44" s="100">
        <v>165</v>
      </c>
      <c r="BM44" s="101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17</v>
      </c>
      <c r="F45" s="11">
        <f>SUM(J45:BM45)</f>
        <v>29</v>
      </c>
      <c r="G45" s="105"/>
      <c r="H45" s="2"/>
      <c r="I45" s="2"/>
      <c r="J45" s="112">
        <v>2</v>
      </c>
      <c r="K45" s="113"/>
      <c r="L45" s="106">
        <v>0</v>
      </c>
      <c r="M45" s="113"/>
      <c r="N45" s="106">
        <v>0</v>
      </c>
      <c r="O45" s="107"/>
      <c r="P45" s="4"/>
      <c r="Q45" s="4"/>
      <c r="R45" s="4"/>
      <c r="S45" s="4"/>
      <c r="T45" s="92">
        <v>3</v>
      </c>
      <c r="U45" s="93"/>
      <c r="V45" s="70">
        <v>2</v>
      </c>
      <c r="W45" s="93"/>
      <c r="X45" s="70">
        <v>0</v>
      </c>
      <c r="Y45" s="71"/>
      <c r="Z45" s="4"/>
      <c r="AA45" s="4"/>
      <c r="AB45" s="4"/>
      <c r="AC45" s="4"/>
      <c r="AD45" s="92">
        <v>3</v>
      </c>
      <c r="AE45" s="93"/>
      <c r="AF45" s="70">
        <v>2</v>
      </c>
      <c r="AG45" s="93"/>
      <c r="AH45" s="70">
        <v>0</v>
      </c>
      <c r="AI45" s="71"/>
      <c r="AJ45" s="4"/>
      <c r="AK45" s="4"/>
      <c r="AL45" s="4"/>
      <c r="AM45" s="4"/>
      <c r="AN45" s="142">
        <v>3</v>
      </c>
      <c r="AO45" s="143"/>
      <c r="AP45" s="144">
        <v>3</v>
      </c>
      <c r="AQ45" s="143"/>
      <c r="AR45" s="144">
        <v>0</v>
      </c>
      <c r="AS45" s="145"/>
      <c r="AT45" s="4"/>
      <c r="AU45" s="4"/>
      <c r="AV45" s="4"/>
      <c r="AW45" s="4"/>
      <c r="AX45" s="72">
        <v>3</v>
      </c>
      <c r="AY45" s="73"/>
      <c r="AZ45" s="68">
        <v>3</v>
      </c>
      <c r="BA45" s="73"/>
      <c r="BB45" s="68">
        <v>0</v>
      </c>
      <c r="BC45" s="69"/>
      <c r="BD45" s="4"/>
      <c r="BE45" s="4"/>
      <c r="BF45" s="4"/>
      <c r="BG45" s="4"/>
      <c r="BH45" s="72">
        <v>3</v>
      </c>
      <c r="BI45" s="73"/>
      <c r="BJ45" s="68">
        <v>2</v>
      </c>
      <c r="BK45" s="73"/>
      <c r="BL45" s="68">
        <v>0</v>
      </c>
      <c r="BM45" s="69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133</v>
      </c>
      <c r="K50" s="25"/>
      <c r="L50" s="26"/>
      <c r="M50" s="38" t="s">
        <v>110</v>
      </c>
      <c r="N50" s="39"/>
      <c r="O50" s="40"/>
      <c r="P50" s="4"/>
      <c r="Q50" s="4"/>
      <c r="R50" s="4"/>
      <c r="S50" s="4"/>
      <c r="T50" s="24" t="s">
        <v>19</v>
      </c>
      <c r="U50" s="25"/>
      <c r="V50" s="26"/>
      <c r="W50" s="38">
        <v>221</v>
      </c>
      <c r="X50" s="102"/>
      <c r="Y50" s="103"/>
      <c r="Z50" s="4"/>
      <c r="AA50" s="4"/>
      <c r="AB50" s="4"/>
      <c r="AC50" s="4"/>
      <c r="AD50" s="24" t="s">
        <v>19</v>
      </c>
      <c r="AE50" s="25"/>
      <c r="AF50" s="26"/>
      <c r="AG50" s="38">
        <v>251</v>
      </c>
      <c r="AH50" s="102"/>
      <c r="AI50" s="103"/>
      <c r="AJ50" s="4"/>
      <c r="AK50" s="4"/>
      <c r="AL50" s="4"/>
      <c r="AM50" s="4"/>
      <c r="AN50" s="24" t="s">
        <v>19</v>
      </c>
      <c r="AO50" s="25"/>
      <c r="AP50" s="26"/>
      <c r="AQ50" s="38">
        <v>272</v>
      </c>
      <c r="AR50" s="102"/>
      <c r="AS50" s="103"/>
      <c r="AT50" s="4"/>
      <c r="AU50" s="4"/>
      <c r="AV50" s="4"/>
      <c r="AW50" s="4"/>
      <c r="AX50" s="24" t="s">
        <v>19</v>
      </c>
      <c r="AY50" s="25"/>
      <c r="AZ50" s="26"/>
      <c r="BA50" s="38">
        <v>273</v>
      </c>
      <c r="BB50" s="102"/>
      <c r="BC50" s="103"/>
      <c r="BD50" s="4"/>
      <c r="BE50" s="4"/>
      <c r="BF50" s="4"/>
      <c r="BG50" s="4"/>
      <c r="BH50" s="24" t="s">
        <v>19</v>
      </c>
      <c r="BI50" s="25"/>
      <c r="BJ50" s="26"/>
      <c r="BK50" s="38">
        <v>242</v>
      </c>
      <c r="BL50" s="102"/>
      <c r="BM50" s="103"/>
      <c r="BN50" s="4"/>
      <c r="BO50" s="4"/>
      <c r="BP50" s="4"/>
      <c r="BQ50" s="4"/>
      <c r="BR50" s="24" t="s">
        <v>19</v>
      </c>
      <c r="BS50" s="25"/>
      <c r="BT50" s="26"/>
      <c r="BU50" s="38">
        <v>291</v>
      </c>
      <c r="BV50" s="39"/>
      <c r="BW50" s="40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SUM(N52,X52,AH52,AR52,BB52,BL52,BV52)</f>
        <v>990</v>
      </c>
      <c r="H51" s="2"/>
      <c r="I51" s="2"/>
      <c r="J51" s="114" t="s">
        <v>132</v>
      </c>
      <c r="K51" s="115"/>
      <c r="L51" s="115"/>
      <c r="M51" s="115"/>
      <c r="N51" s="116"/>
      <c r="O51" s="117"/>
      <c r="P51" s="4"/>
      <c r="Q51" s="4"/>
      <c r="R51" s="4"/>
      <c r="S51" s="4"/>
      <c r="T51" s="53" t="s">
        <v>43</v>
      </c>
      <c r="U51" s="54"/>
      <c r="V51" s="54"/>
      <c r="W51" s="54"/>
      <c r="X51" s="55"/>
      <c r="Y51" s="56"/>
      <c r="Z51" s="4"/>
      <c r="AA51" s="4"/>
      <c r="AB51" s="4"/>
      <c r="AC51" s="4"/>
      <c r="AD51" s="53" t="s">
        <v>67</v>
      </c>
      <c r="AE51" s="54"/>
      <c r="AF51" s="54"/>
      <c r="AG51" s="54"/>
      <c r="AH51" s="55"/>
      <c r="AI51" s="56"/>
      <c r="AJ51" s="4"/>
      <c r="AK51" s="4"/>
      <c r="AL51" s="4"/>
      <c r="AM51" s="4"/>
      <c r="AN51" s="53" t="s">
        <v>45</v>
      </c>
      <c r="AO51" s="54"/>
      <c r="AP51" s="54"/>
      <c r="AQ51" s="54"/>
      <c r="AR51" s="55"/>
      <c r="AS51" s="56"/>
      <c r="AT51" s="4"/>
      <c r="AU51" s="4"/>
      <c r="AV51" s="4"/>
      <c r="AW51" s="4"/>
      <c r="AX51" s="94" t="s">
        <v>68</v>
      </c>
      <c r="AY51" s="95"/>
      <c r="AZ51" s="95"/>
      <c r="BA51" s="95"/>
      <c r="BB51" s="96"/>
      <c r="BC51" s="97"/>
      <c r="BD51" s="4"/>
      <c r="BE51" s="4"/>
      <c r="BF51" s="4"/>
      <c r="BG51" s="4"/>
      <c r="BH51" s="94" t="s">
        <v>69</v>
      </c>
      <c r="BI51" s="95"/>
      <c r="BJ51" s="95"/>
      <c r="BK51" s="95"/>
      <c r="BL51" s="96"/>
      <c r="BM51" s="97"/>
      <c r="BN51" s="4"/>
      <c r="BO51" s="4"/>
      <c r="BP51" s="4"/>
      <c r="BQ51" s="4"/>
      <c r="BR51" s="41" t="s">
        <v>152</v>
      </c>
      <c r="BS51" s="42"/>
      <c r="BT51" s="42"/>
      <c r="BU51" s="42"/>
      <c r="BV51" s="43"/>
      <c r="BW51" s="4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110">
        <v>2</v>
      </c>
      <c r="K52" s="111"/>
      <c r="L52" s="108">
        <v>2</v>
      </c>
      <c r="M52" s="111"/>
      <c r="N52" s="108">
        <v>90</v>
      </c>
      <c r="O52" s="109"/>
      <c r="P52" s="4"/>
      <c r="Q52" s="4"/>
      <c r="R52" s="4"/>
      <c r="S52" s="4"/>
      <c r="T52" s="57">
        <v>3</v>
      </c>
      <c r="U52" s="58"/>
      <c r="V52" s="59">
        <v>6</v>
      </c>
      <c r="W52" s="58"/>
      <c r="X52" s="59">
        <v>180</v>
      </c>
      <c r="Y52" s="91"/>
      <c r="Z52" s="4"/>
      <c r="AA52" s="4"/>
      <c r="AB52" s="4"/>
      <c r="AC52" s="4"/>
      <c r="AD52" s="57">
        <v>3</v>
      </c>
      <c r="AE52" s="58"/>
      <c r="AF52" s="59">
        <v>6</v>
      </c>
      <c r="AG52" s="58"/>
      <c r="AH52" s="59">
        <v>180</v>
      </c>
      <c r="AI52" s="91"/>
      <c r="AJ52" s="4"/>
      <c r="AK52" s="4"/>
      <c r="AL52" s="4"/>
      <c r="AM52" s="4"/>
      <c r="AN52" s="57">
        <v>3</v>
      </c>
      <c r="AO52" s="58"/>
      <c r="AP52" s="59">
        <v>6</v>
      </c>
      <c r="AQ52" s="58"/>
      <c r="AR52" s="59">
        <v>180</v>
      </c>
      <c r="AS52" s="91"/>
      <c r="AT52" s="4"/>
      <c r="AU52" s="4"/>
      <c r="AV52" s="4"/>
      <c r="AW52" s="4"/>
      <c r="AX52" s="98">
        <v>3</v>
      </c>
      <c r="AY52" s="99"/>
      <c r="AZ52" s="100">
        <v>4</v>
      </c>
      <c r="BA52" s="99"/>
      <c r="BB52" s="100">
        <v>150</v>
      </c>
      <c r="BC52" s="101"/>
      <c r="BD52" s="4"/>
      <c r="BE52" s="4"/>
      <c r="BF52" s="4"/>
      <c r="BG52" s="4"/>
      <c r="BH52" s="98">
        <v>3</v>
      </c>
      <c r="BI52" s="99"/>
      <c r="BJ52" s="100">
        <v>6</v>
      </c>
      <c r="BK52" s="99"/>
      <c r="BL52" s="100">
        <v>180</v>
      </c>
      <c r="BM52" s="101"/>
      <c r="BN52" s="4"/>
      <c r="BO52" s="4"/>
      <c r="BP52" s="4"/>
      <c r="BQ52" s="4"/>
      <c r="BR52" s="45">
        <v>1</v>
      </c>
      <c r="BS52" s="46"/>
      <c r="BT52" s="47">
        <v>2</v>
      </c>
      <c r="BU52" s="46"/>
      <c r="BV52" s="47">
        <v>30</v>
      </c>
      <c r="BW52" s="48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J52+T52+AD52+AN52+AX52+BH52+BR52</f>
        <v>18</v>
      </c>
      <c r="F53" s="11">
        <f>SUM(J53:BW53)</f>
        <v>32</v>
      </c>
      <c r="G53" s="105"/>
      <c r="H53" s="2"/>
      <c r="I53" s="2"/>
      <c r="J53" s="112">
        <v>2</v>
      </c>
      <c r="K53" s="113"/>
      <c r="L53" s="106">
        <v>0</v>
      </c>
      <c r="M53" s="113"/>
      <c r="N53" s="106">
        <v>0</v>
      </c>
      <c r="O53" s="107"/>
      <c r="P53" s="4"/>
      <c r="Q53" s="4"/>
      <c r="R53" s="4"/>
      <c r="S53" s="4"/>
      <c r="T53" s="92">
        <v>3</v>
      </c>
      <c r="U53" s="93"/>
      <c r="V53" s="70">
        <v>3</v>
      </c>
      <c r="W53" s="93"/>
      <c r="X53" s="70">
        <v>0</v>
      </c>
      <c r="Y53" s="71"/>
      <c r="Z53" s="4"/>
      <c r="AA53" s="4"/>
      <c r="AB53" s="4"/>
      <c r="AC53" s="4"/>
      <c r="AD53" s="92">
        <v>3</v>
      </c>
      <c r="AE53" s="93"/>
      <c r="AF53" s="70">
        <v>3</v>
      </c>
      <c r="AG53" s="93"/>
      <c r="AH53" s="70">
        <v>0</v>
      </c>
      <c r="AI53" s="71"/>
      <c r="AJ53" s="4"/>
      <c r="AK53" s="4"/>
      <c r="AL53" s="4"/>
      <c r="AM53" s="4"/>
      <c r="AN53" s="92">
        <v>3</v>
      </c>
      <c r="AO53" s="93"/>
      <c r="AP53" s="70">
        <v>3</v>
      </c>
      <c r="AQ53" s="93"/>
      <c r="AR53" s="70">
        <v>0</v>
      </c>
      <c r="AS53" s="71"/>
      <c r="AT53" s="4"/>
      <c r="AU53" s="4"/>
      <c r="AV53" s="4"/>
      <c r="AW53" s="4"/>
      <c r="AX53" s="72">
        <v>2</v>
      </c>
      <c r="AY53" s="73"/>
      <c r="AZ53" s="68">
        <v>1</v>
      </c>
      <c r="BA53" s="73"/>
      <c r="BB53" s="68">
        <v>1</v>
      </c>
      <c r="BC53" s="69"/>
      <c r="BD53" s="4"/>
      <c r="BE53" s="4"/>
      <c r="BF53" s="4"/>
      <c r="BG53" s="4"/>
      <c r="BH53" s="72">
        <v>3</v>
      </c>
      <c r="BI53" s="73"/>
      <c r="BJ53" s="68">
        <v>3</v>
      </c>
      <c r="BK53" s="73"/>
      <c r="BL53" s="68">
        <v>0</v>
      </c>
      <c r="BM53" s="69"/>
      <c r="BN53" s="4"/>
      <c r="BO53" s="4"/>
      <c r="BP53" s="4"/>
      <c r="BQ53" s="4"/>
      <c r="BR53" s="49">
        <v>2</v>
      </c>
      <c r="BS53" s="50"/>
      <c r="BT53" s="51">
        <v>0</v>
      </c>
      <c r="BU53" s="50"/>
      <c r="BV53" s="51">
        <v>0</v>
      </c>
      <c r="BW53" s="52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2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135</v>
      </c>
      <c r="K60" s="25"/>
      <c r="L60" s="26"/>
      <c r="M60" s="38" t="s">
        <v>111</v>
      </c>
      <c r="N60" s="39"/>
      <c r="O60" s="40"/>
      <c r="P60" s="4"/>
      <c r="Q60" s="4"/>
      <c r="R60" s="4"/>
      <c r="S60" s="4"/>
      <c r="T60" s="24" t="s">
        <v>136</v>
      </c>
      <c r="U60" s="25"/>
      <c r="V60" s="26"/>
      <c r="W60" s="38" t="s">
        <v>110</v>
      </c>
      <c r="X60" s="39"/>
      <c r="Y60" s="40"/>
      <c r="Z60" s="4"/>
      <c r="AA60" s="4"/>
      <c r="AB60" s="4"/>
      <c r="AC60" s="4"/>
      <c r="AD60" s="24" t="s">
        <v>19</v>
      </c>
      <c r="AE60" s="25"/>
      <c r="AF60" s="26"/>
      <c r="AG60" s="38">
        <v>376</v>
      </c>
      <c r="AH60" s="102"/>
      <c r="AI60" s="103"/>
      <c r="AJ60" s="4"/>
      <c r="AK60" s="4"/>
      <c r="AL60" s="4"/>
      <c r="AM60" s="4"/>
      <c r="AN60" s="24" t="s">
        <v>19</v>
      </c>
      <c r="AO60" s="25"/>
      <c r="AP60" s="26"/>
      <c r="AQ60" s="38">
        <v>344</v>
      </c>
      <c r="AR60" s="102"/>
      <c r="AS60" s="103"/>
      <c r="AT60" s="4"/>
      <c r="AU60" s="4"/>
      <c r="AV60" s="4"/>
      <c r="AW60" s="4"/>
      <c r="AX60" s="24" t="s">
        <v>137</v>
      </c>
      <c r="AY60" s="25"/>
      <c r="AZ60" s="26"/>
      <c r="BA60" s="38" t="s">
        <v>111</v>
      </c>
      <c r="BB60" s="39"/>
      <c r="BC60" s="40"/>
      <c r="BD60" s="4"/>
      <c r="BE60" s="4"/>
      <c r="BF60" s="4"/>
      <c r="BG60" s="4"/>
      <c r="BH60" s="24" t="s">
        <v>167</v>
      </c>
      <c r="BI60" s="25"/>
      <c r="BJ60" s="26"/>
      <c r="BK60" s="38">
        <v>215</v>
      </c>
      <c r="BL60" s="39"/>
      <c r="BM60" s="40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885</v>
      </c>
      <c r="H61" s="2"/>
      <c r="I61" s="2"/>
      <c r="J61" s="114" t="s">
        <v>134</v>
      </c>
      <c r="K61" s="115"/>
      <c r="L61" s="115"/>
      <c r="M61" s="115"/>
      <c r="N61" s="116"/>
      <c r="O61" s="117"/>
      <c r="P61" s="4"/>
      <c r="Q61" s="4"/>
      <c r="R61" s="4"/>
      <c r="S61" s="4"/>
      <c r="T61" s="30" t="s">
        <v>28</v>
      </c>
      <c r="U61" s="31"/>
      <c r="V61" s="31"/>
      <c r="W61" s="31"/>
      <c r="X61" s="32"/>
      <c r="Y61" s="33"/>
      <c r="Z61" s="4"/>
      <c r="AA61" s="4"/>
      <c r="AB61" s="4"/>
      <c r="AC61" s="4"/>
      <c r="AD61" s="94" t="s">
        <v>70</v>
      </c>
      <c r="AE61" s="95"/>
      <c r="AF61" s="95"/>
      <c r="AG61" s="95"/>
      <c r="AH61" s="96"/>
      <c r="AI61" s="97"/>
      <c r="AJ61" s="4"/>
      <c r="AK61" s="4"/>
      <c r="AL61" s="4"/>
      <c r="AM61" s="4"/>
      <c r="AN61" s="94" t="s">
        <v>71</v>
      </c>
      <c r="AO61" s="95"/>
      <c r="AP61" s="95"/>
      <c r="AQ61" s="95"/>
      <c r="AR61" s="96"/>
      <c r="AS61" s="97"/>
      <c r="AT61" s="4"/>
      <c r="AU61" s="4"/>
      <c r="AV61" s="4"/>
      <c r="AW61" s="4"/>
      <c r="AX61" s="76" t="s">
        <v>138</v>
      </c>
      <c r="AY61" s="77"/>
      <c r="AZ61" s="77"/>
      <c r="BA61" s="77"/>
      <c r="BB61" s="77"/>
      <c r="BC61" s="78"/>
      <c r="BD61" s="4"/>
      <c r="BE61" s="4"/>
      <c r="BF61" s="4"/>
      <c r="BG61" s="4"/>
      <c r="BH61" s="30" t="s">
        <v>168</v>
      </c>
      <c r="BI61" s="31"/>
      <c r="BJ61" s="31"/>
      <c r="BK61" s="31"/>
      <c r="BL61" s="32"/>
      <c r="BM61" s="33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110">
        <v>2</v>
      </c>
      <c r="K62" s="111"/>
      <c r="L62" s="108">
        <v>2</v>
      </c>
      <c r="M62" s="111"/>
      <c r="N62" s="108">
        <v>90</v>
      </c>
      <c r="O62" s="109"/>
      <c r="P62" s="4"/>
      <c r="Q62" s="4"/>
      <c r="R62" s="4"/>
      <c r="S62" s="4"/>
      <c r="T62" s="34">
        <v>3</v>
      </c>
      <c r="U62" s="35"/>
      <c r="V62" s="36">
        <v>4</v>
      </c>
      <c r="W62" s="35"/>
      <c r="X62" s="36">
        <v>150</v>
      </c>
      <c r="Y62" s="37"/>
      <c r="Z62" s="4"/>
      <c r="AA62" s="4"/>
      <c r="AB62" s="4"/>
      <c r="AC62" s="4"/>
      <c r="AD62" s="98">
        <v>3</v>
      </c>
      <c r="AE62" s="99"/>
      <c r="AF62" s="100">
        <v>6</v>
      </c>
      <c r="AG62" s="99"/>
      <c r="AH62" s="100">
        <v>180</v>
      </c>
      <c r="AI62" s="101"/>
      <c r="AJ62" s="4"/>
      <c r="AK62" s="4"/>
      <c r="AL62" s="4"/>
      <c r="AM62" s="4"/>
      <c r="AN62" s="98">
        <v>3</v>
      </c>
      <c r="AO62" s="99"/>
      <c r="AP62" s="100">
        <v>6</v>
      </c>
      <c r="AQ62" s="99"/>
      <c r="AR62" s="100">
        <v>180</v>
      </c>
      <c r="AS62" s="101"/>
      <c r="AT62" s="4"/>
      <c r="AU62" s="4"/>
      <c r="AV62" s="4"/>
      <c r="AW62" s="4"/>
      <c r="AX62" s="79">
        <v>3</v>
      </c>
      <c r="AY62" s="80"/>
      <c r="AZ62" s="81">
        <v>6</v>
      </c>
      <c r="BA62" s="80"/>
      <c r="BB62" s="81">
        <v>180</v>
      </c>
      <c r="BC62" s="82"/>
      <c r="BD62" s="4"/>
      <c r="BE62" s="4"/>
      <c r="BF62" s="4"/>
      <c r="BG62" s="4"/>
      <c r="BH62" s="34">
        <v>2</v>
      </c>
      <c r="BI62" s="35"/>
      <c r="BJ62" s="36">
        <v>4</v>
      </c>
      <c r="BK62" s="35"/>
      <c r="BL62" s="36">
        <v>105</v>
      </c>
      <c r="BM62" s="37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16</v>
      </c>
      <c r="F63" s="11">
        <f>SUM(J63:BM63)</f>
        <v>28</v>
      </c>
      <c r="G63" s="105"/>
      <c r="H63" s="2"/>
      <c r="I63" s="2"/>
      <c r="J63" s="112">
        <v>2</v>
      </c>
      <c r="K63" s="113"/>
      <c r="L63" s="106">
        <v>0</v>
      </c>
      <c r="M63" s="113"/>
      <c r="N63" s="106">
        <v>0</v>
      </c>
      <c r="O63" s="107"/>
      <c r="P63" s="4"/>
      <c r="Q63" s="4"/>
      <c r="R63" s="4"/>
      <c r="S63" s="4"/>
      <c r="T63" s="20">
        <v>2</v>
      </c>
      <c r="U63" s="21"/>
      <c r="V63" s="22">
        <v>2</v>
      </c>
      <c r="W63" s="21"/>
      <c r="X63" s="22">
        <v>0</v>
      </c>
      <c r="Y63" s="23"/>
      <c r="Z63" s="4"/>
      <c r="AA63" s="4"/>
      <c r="AB63" s="4"/>
      <c r="AC63" s="4"/>
      <c r="AD63" s="72">
        <v>3</v>
      </c>
      <c r="AE63" s="73"/>
      <c r="AF63" s="68">
        <v>2</v>
      </c>
      <c r="AG63" s="73"/>
      <c r="AH63" s="68">
        <v>1</v>
      </c>
      <c r="AI63" s="69"/>
      <c r="AJ63" s="4"/>
      <c r="AK63" s="4"/>
      <c r="AL63" s="4"/>
      <c r="AM63" s="4"/>
      <c r="AN63" s="72">
        <v>3</v>
      </c>
      <c r="AO63" s="73"/>
      <c r="AP63" s="68">
        <v>3</v>
      </c>
      <c r="AQ63" s="73"/>
      <c r="AR63" s="68">
        <v>0</v>
      </c>
      <c r="AS63" s="69"/>
      <c r="AT63" s="4"/>
      <c r="AU63" s="4"/>
      <c r="AV63" s="4"/>
      <c r="AW63" s="4"/>
      <c r="AX63" s="83">
        <v>3</v>
      </c>
      <c r="AY63" s="84"/>
      <c r="AZ63" s="85">
        <v>3</v>
      </c>
      <c r="BA63" s="84"/>
      <c r="BB63" s="85">
        <v>0</v>
      </c>
      <c r="BC63" s="86"/>
      <c r="BD63" s="4"/>
      <c r="BE63" s="4"/>
      <c r="BF63" s="4"/>
      <c r="BG63" s="4"/>
      <c r="BH63" s="20">
        <v>2</v>
      </c>
      <c r="BI63" s="21"/>
      <c r="BJ63" s="22">
        <v>1</v>
      </c>
      <c r="BK63" s="21"/>
      <c r="BL63" s="22">
        <v>1</v>
      </c>
      <c r="BM63" s="23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136</v>
      </c>
      <c r="K68" s="25"/>
      <c r="L68" s="26"/>
      <c r="M68" s="38" t="s">
        <v>110</v>
      </c>
      <c r="N68" s="39"/>
      <c r="O68" s="40"/>
      <c r="P68" s="4"/>
      <c r="Q68" s="4"/>
      <c r="R68" s="4"/>
      <c r="S68" s="4"/>
      <c r="T68" s="24" t="s">
        <v>19</v>
      </c>
      <c r="U68" s="25"/>
      <c r="V68" s="26"/>
      <c r="W68" s="38">
        <v>363</v>
      </c>
      <c r="X68" s="102"/>
      <c r="Y68" s="103"/>
      <c r="Z68" s="4"/>
      <c r="AA68" s="4"/>
      <c r="AB68" s="4"/>
      <c r="AC68" s="4"/>
      <c r="AD68" s="24" t="s">
        <v>19</v>
      </c>
      <c r="AE68" s="25"/>
      <c r="AF68" s="26"/>
      <c r="AG68" s="38">
        <v>322</v>
      </c>
      <c r="AH68" s="102"/>
      <c r="AI68" s="103"/>
      <c r="AJ68" s="4"/>
      <c r="AK68" s="4"/>
      <c r="AL68" s="4"/>
      <c r="AM68" s="4"/>
      <c r="AN68" s="24" t="s">
        <v>137</v>
      </c>
      <c r="AO68" s="25"/>
      <c r="AP68" s="26"/>
      <c r="AQ68" s="38" t="s">
        <v>111</v>
      </c>
      <c r="AR68" s="39"/>
      <c r="AS68" s="40"/>
      <c r="AT68" s="4"/>
      <c r="AU68" s="4"/>
      <c r="AV68" s="4"/>
      <c r="AW68" s="4"/>
      <c r="AX68" s="24" t="s">
        <v>137</v>
      </c>
      <c r="AY68" s="25"/>
      <c r="AZ68" s="26"/>
      <c r="BA68" s="38" t="s">
        <v>111</v>
      </c>
      <c r="BB68" s="39"/>
      <c r="BC68" s="40"/>
      <c r="BD68" s="4"/>
      <c r="BE68" s="4"/>
      <c r="BF68" s="4"/>
      <c r="BG68" s="4"/>
      <c r="BH68" s="24" t="s">
        <v>19</v>
      </c>
      <c r="BI68" s="25"/>
      <c r="BJ68" s="26"/>
      <c r="BK68" s="38">
        <v>392</v>
      </c>
      <c r="BL68" s="39"/>
      <c r="BM68" s="40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900</v>
      </c>
      <c r="H69" s="2"/>
      <c r="I69" s="2"/>
      <c r="J69" s="30" t="s">
        <v>29</v>
      </c>
      <c r="K69" s="31"/>
      <c r="L69" s="31"/>
      <c r="M69" s="31"/>
      <c r="N69" s="32"/>
      <c r="O69" s="33"/>
      <c r="P69" s="4"/>
      <c r="Q69" s="4"/>
      <c r="R69" s="4"/>
      <c r="S69" s="4"/>
      <c r="T69" s="53" t="s">
        <v>72</v>
      </c>
      <c r="U69" s="54"/>
      <c r="V69" s="54"/>
      <c r="W69" s="54"/>
      <c r="X69" s="55"/>
      <c r="Y69" s="56"/>
      <c r="Z69" s="4"/>
      <c r="AA69" s="4"/>
      <c r="AB69" s="4"/>
      <c r="AC69" s="4"/>
      <c r="AD69" s="94" t="s">
        <v>73</v>
      </c>
      <c r="AE69" s="95"/>
      <c r="AF69" s="95"/>
      <c r="AG69" s="95"/>
      <c r="AH69" s="96"/>
      <c r="AI69" s="97"/>
      <c r="AJ69" s="4"/>
      <c r="AK69" s="4"/>
      <c r="AL69" s="4"/>
      <c r="AM69" s="4"/>
      <c r="AN69" s="76" t="s">
        <v>139</v>
      </c>
      <c r="AO69" s="77"/>
      <c r="AP69" s="77"/>
      <c r="AQ69" s="77"/>
      <c r="AR69" s="77"/>
      <c r="AS69" s="78"/>
      <c r="AT69" s="4"/>
      <c r="AU69" s="4"/>
      <c r="AV69" s="4"/>
      <c r="AW69" s="4"/>
      <c r="AX69" s="76" t="s">
        <v>140</v>
      </c>
      <c r="AY69" s="77"/>
      <c r="AZ69" s="77"/>
      <c r="BA69" s="77"/>
      <c r="BB69" s="77"/>
      <c r="BC69" s="78"/>
      <c r="BD69" s="4"/>
      <c r="BE69" s="4"/>
      <c r="BF69" s="4"/>
      <c r="BG69" s="4"/>
      <c r="BH69" s="41" t="s">
        <v>153</v>
      </c>
      <c r="BI69" s="42"/>
      <c r="BJ69" s="42"/>
      <c r="BK69" s="42"/>
      <c r="BL69" s="43"/>
      <c r="BM69" s="4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34">
        <v>3</v>
      </c>
      <c r="K70" s="35"/>
      <c r="L70" s="36">
        <v>4</v>
      </c>
      <c r="M70" s="35"/>
      <c r="N70" s="36">
        <v>150</v>
      </c>
      <c r="O70" s="37"/>
      <c r="P70" s="4"/>
      <c r="Q70" s="4"/>
      <c r="R70" s="4"/>
      <c r="S70" s="4"/>
      <c r="T70" s="57">
        <v>3</v>
      </c>
      <c r="U70" s="58"/>
      <c r="V70" s="59">
        <v>6</v>
      </c>
      <c r="W70" s="58"/>
      <c r="X70" s="59">
        <v>180</v>
      </c>
      <c r="Y70" s="91"/>
      <c r="Z70" s="4"/>
      <c r="AA70" s="4"/>
      <c r="AB70" s="4"/>
      <c r="AC70" s="4"/>
      <c r="AD70" s="98">
        <v>3</v>
      </c>
      <c r="AE70" s="99"/>
      <c r="AF70" s="100">
        <v>6</v>
      </c>
      <c r="AG70" s="99"/>
      <c r="AH70" s="100">
        <v>180</v>
      </c>
      <c r="AI70" s="101"/>
      <c r="AJ70" s="4"/>
      <c r="AK70" s="4"/>
      <c r="AL70" s="4"/>
      <c r="AM70" s="4"/>
      <c r="AN70" s="79">
        <v>3</v>
      </c>
      <c r="AO70" s="80"/>
      <c r="AP70" s="81">
        <v>6</v>
      </c>
      <c r="AQ70" s="80"/>
      <c r="AR70" s="81">
        <v>180</v>
      </c>
      <c r="AS70" s="82"/>
      <c r="AT70" s="4"/>
      <c r="AU70" s="4"/>
      <c r="AV70" s="4"/>
      <c r="AW70" s="4"/>
      <c r="AX70" s="79">
        <v>3</v>
      </c>
      <c r="AY70" s="80"/>
      <c r="AZ70" s="81">
        <v>6</v>
      </c>
      <c r="BA70" s="80"/>
      <c r="BB70" s="81">
        <v>180</v>
      </c>
      <c r="BC70" s="82"/>
      <c r="BD70" s="4"/>
      <c r="BE70" s="4"/>
      <c r="BF70" s="4"/>
      <c r="BG70" s="4"/>
      <c r="BH70" s="45">
        <v>1</v>
      </c>
      <c r="BI70" s="46"/>
      <c r="BJ70" s="47">
        <v>2</v>
      </c>
      <c r="BK70" s="46"/>
      <c r="BL70" s="47">
        <v>30</v>
      </c>
      <c r="BM70" s="48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SUM(J70,T70,AD70,AN70,AX70,BH70)</f>
        <v>16</v>
      </c>
      <c r="F71" s="11">
        <f>SUM(J71:BM71)</f>
        <v>30</v>
      </c>
      <c r="G71" s="105"/>
      <c r="H71" s="2"/>
      <c r="I71" s="2"/>
      <c r="J71" s="20">
        <v>2</v>
      </c>
      <c r="K71" s="21"/>
      <c r="L71" s="22">
        <v>2</v>
      </c>
      <c r="M71" s="21"/>
      <c r="N71" s="22">
        <v>0</v>
      </c>
      <c r="O71" s="23"/>
      <c r="P71" s="4"/>
      <c r="Q71" s="4"/>
      <c r="R71" s="4"/>
      <c r="S71" s="4"/>
      <c r="T71" s="92">
        <v>3</v>
      </c>
      <c r="U71" s="93"/>
      <c r="V71" s="70">
        <v>3</v>
      </c>
      <c r="W71" s="93"/>
      <c r="X71" s="70">
        <v>0</v>
      </c>
      <c r="Y71" s="71"/>
      <c r="Z71" s="4"/>
      <c r="AA71" s="4"/>
      <c r="AB71" s="4"/>
      <c r="AC71" s="4"/>
      <c r="AD71" s="72">
        <v>3</v>
      </c>
      <c r="AE71" s="73"/>
      <c r="AF71" s="68">
        <v>3</v>
      </c>
      <c r="AG71" s="73"/>
      <c r="AH71" s="68">
        <v>0</v>
      </c>
      <c r="AI71" s="69"/>
      <c r="AJ71" s="4"/>
      <c r="AK71" s="4"/>
      <c r="AL71" s="4"/>
      <c r="AM71" s="4"/>
      <c r="AN71" s="83">
        <v>3</v>
      </c>
      <c r="AO71" s="84"/>
      <c r="AP71" s="85">
        <v>3</v>
      </c>
      <c r="AQ71" s="84"/>
      <c r="AR71" s="85">
        <v>0</v>
      </c>
      <c r="AS71" s="86"/>
      <c r="AT71" s="4"/>
      <c r="AU71" s="4"/>
      <c r="AV71" s="4"/>
      <c r="AW71" s="4"/>
      <c r="AX71" s="83">
        <v>3</v>
      </c>
      <c r="AY71" s="84"/>
      <c r="AZ71" s="85">
        <v>3</v>
      </c>
      <c r="BA71" s="84"/>
      <c r="BB71" s="85">
        <v>0</v>
      </c>
      <c r="BC71" s="86"/>
      <c r="BD71" s="4"/>
      <c r="BE71" s="4"/>
      <c r="BF71" s="4"/>
      <c r="BG71" s="4"/>
      <c r="BH71" s="49">
        <v>2</v>
      </c>
      <c r="BI71" s="50"/>
      <c r="BJ71" s="51">
        <v>0</v>
      </c>
      <c r="BK71" s="50"/>
      <c r="BL71" s="51">
        <v>0</v>
      </c>
      <c r="BM71" s="52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thickBot="1" x14ac:dyDescent="0.35"/>
    <row r="77" spans="2:135" ht="10.050000000000001" customHeight="1" thickTop="1" thickBot="1" x14ac:dyDescent="0.35">
      <c r="B77" s="118" t="s">
        <v>1</v>
      </c>
      <c r="C77" s="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I77" s="63" t="s">
        <v>15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6"/>
    </row>
    <row r="78" spans="2:135" ht="15" customHeight="1" x14ac:dyDescent="0.3">
      <c r="B78" s="118"/>
      <c r="C78" s="1"/>
      <c r="D78" s="119" t="s">
        <v>5</v>
      </c>
      <c r="E78" s="11"/>
      <c r="F78" s="11"/>
      <c r="G78" s="2"/>
      <c r="H78" s="2"/>
      <c r="I78" s="2"/>
      <c r="J78" s="24" t="s">
        <v>141</v>
      </c>
      <c r="K78" s="25"/>
      <c r="L78" s="26"/>
      <c r="M78" s="38" t="s">
        <v>111</v>
      </c>
      <c r="N78" s="39"/>
      <c r="O78" s="40"/>
      <c r="P78" s="4"/>
      <c r="Q78" s="4"/>
      <c r="R78" s="4"/>
      <c r="S78" s="4"/>
      <c r="T78" s="24" t="s">
        <v>19</v>
      </c>
      <c r="U78" s="25"/>
      <c r="V78" s="26"/>
      <c r="W78" s="38">
        <v>464</v>
      </c>
      <c r="X78" s="102"/>
      <c r="Y78" s="103"/>
      <c r="Z78" s="4"/>
      <c r="AA78" s="4"/>
      <c r="AB78" s="4"/>
      <c r="AC78" s="4"/>
      <c r="AD78" s="24" t="s">
        <v>19</v>
      </c>
      <c r="AE78" s="25"/>
      <c r="AF78" s="26"/>
      <c r="AG78" s="38">
        <v>477</v>
      </c>
      <c r="AH78" s="102"/>
      <c r="AI78" s="103"/>
      <c r="AJ78" s="4"/>
      <c r="AK78" s="4"/>
      <c r="AL78" s="4"/>
      <c r="AM78" s="4"/>
      <c r="AN78" s="24" t="s">
        <v>137</v>
      </c>
      <c r="AO78" s="25"/>
      <c r="AP78" s="26"/>
      <c r="AQ78" s="38" t="s">
        <v>112</v>
      </c>
      <c r="AR78" s="39"/>
      <c r="AS78" s="40"/>
      <c r="AT78" s="4"/>
      <c r="AU78" s="4"/>
      <c r="AV78" s="4"/>
      <c r="AW78" s="4"/>
      <c r="AX78" s="24" t="s">
        <v>19</v>
      </c>
      <c r="AY78" s="25"/>
      <c r="AZ78" s="26"/>
      <c r="BA78" s="38">
        <v>493</v>
      </c>
      <c r="BB78" s="39"/>
      <c r="BC78" s="40"/>
      <c r="BD78" s="4"/>
      <c r="BE78" s="4"/>
      <c r="BF78" s="4"/>
      <c r="BG78" s="4"/>
      <c r="BI78" s="64"/>
      <c r="BJ78" s="137" t="s">
        <v>65</v>
      </c>
      <c r="BK78" s="17"/>
      <c r="BL78" s="16"/>
      <c r="BR78" s="123" t="s">
        <v>7</v>
      </c>
      <c r="BS78" s="124"/>
      <c r="BT78" s="124"/>
      <c r="BU78" s="124"/>
      <c r="BV78" s="125"/>
      <c r="BW78" s="126"/>
      <c r="CA78" s="8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79" s="118"/>
      <c r="C79" s="1"/>
      <c r="D79" s="119"/>
      <c r="E79" s="120" t="s">
        <v>16</v>
      </c>
      <c r="F79" s="120" t="s">
        <v>17</v>
      </c>
      <c r="G79" s="13">
        <f>SUM(N80,X80,AH80,AR80,BB80,BL80)</f>
        <v>750</v>
      </c>
      <c r="H79" s="2"/>
      <c r="I79" s="2"/>
      <c r="J79" s="114" t="s">
        <v>142</v>
      </c>
      <c r="K79" s="115"/>
      <c r="L79" s="115"/>
      <c r="M79" s="115"/>
      <c r="N79" s="116"/>
      <c r="O79" s="117"/>
      <c r="P79" s="4"/>
      <c r="Q79" s="4"/>
      <c r="R79" s="4"/>
      <c r="S79" s="4"/>
      <c r="T79" s="53" t="s">
        <v>74</v>
      </c>
      <c r="U79" s="54"/>
      <c r="V79" s="54"/>
      <c r="W79" s="54"/>
      <c r="X79" s="55"/>
      <c r="Y79" s="56"/>
      <c r="Z79" s="4"/>
      <c r="AA79" s="4"/>
      <c r="AB79" s="4"/>
      <c r="AC79" s="4"/>
      <c r="AD79" s="94" t="s">
        <v>75</v>
      </c>
      <c r="AE79" s="95"/>
      <c r="AF79" s="95"/>
      <c r="AG79" s="95"/>
      <c r="AH79" s="96"/>
      <c r="AI79" s="97"/>
      <c r="AJ79" s="4"/>
      <c r="AK79" s="4"/>
      <c r="AL79" s="4"/>
      <c r="AM79" s="4"/>
      <c r="AN79" s="76" t="s">
        <v>143</v>
      </c>
      <c r="AO79" s="77"/>
      <c r="AP79" s="77"/>
      <c r="AQ79" s="77"/>
      <c r="AR79" s="77"/>
      <c r="AS79" s="78"/>
      <c r="AT79" s="4"/>
      <c r="AU79" s="4"/>
      <c r="AV79" s="4"/>
      <c r="AW79" s="4"/>
      <c r="AX79" s="41" t="s">
        <v>63</v>
      </c>
      <c r="AY79" s="42"/>
      <c r="AZ79" s="42"/>
      <c r="BA79" s="42"/>
      <c r="BB79" s="43"/>
      <c r="BC79" s="44"/>
      <c r="BD79" s="4"/>
      <c r="BE79" s="4"/>
      <c r="BF79" s="4"/>
      <c r="BG79" s="4"/>
      <c r="BI79" s="64"/>
      <c r="BJ79" s="137"/>
      <c r="BK79" s="17"/>
      <c r="BL79" s="16"/>
      <c r="BR79" s="127" t="s">
        <v>8</v>
      </c>
      <c r="BS79" s="128"/>
      <c r="BT79" s="128"/>
      <c r="BU79" s="128"/>
      <c r="BV79" s="129"/>
      <c r="BW79" s="130"/>
      <c r="CA79" s="8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80" s="118"/>
      <c r="C80" s="1"/>
      <c r="D80" s="119"/>
      <c r="E80" s="120"/>
      <c r="F80" s="120"/>
      <c r="G80" s="105"/>
      <c r="H80" s="121"/>
      <c r="I80" s="122"/>
      <c r="J80" s="110">
        <v>2</v>
      </c>
      <c r="K80" s="111"/>
      <c r="L80" s="108">
        <v>2</v>
      </c>
      <c r="M80" s="111"/>
      <c r="N80" s="108">
        <v>90</v>
      </c>
      <c r="O80" s="109"/>
      <c r="P80" s="4"/>
      <c r="Q80" s="4"/>
      <c r="R80" s="4"/>
      <c r="S80" s="4"/>
      <c r="T80" s="57">
        <v>3</v>
      </c>
      <c r="U80" s="58"/>
      <c r="V80" s="59">
        <v>6</v>
      </c>
      <c r="W80" s="58"/>
      <c r="X80" s="59">
        <v>180</v>
      </c>
      <c r="Y80" s="91"/>
      <c r="Z80" s="4"/>
      <c r="AA80" s="4"/>
      <c r="AB80" s="4"/>
      <c r="AC80" s="4"/>
      <c r="AD80" s="98">
        <v>3</v>
      </c>
      <c r="AE80" s="99"/>
      <c r="AF80" s="100">
        <v>6</v>
      </c>
      <c r="AG80" s="99"/>
      <c r="AH80" s="100">
        <v>180</v>
      </c>
      <c r="AI80" s="101"/>
      <c r="AJ80" s="4"/>
      <c r="AK80" s="4"/>
      <c r="AL80" s="4"/>
      <c r="AM80" s="4"/>
      <c r="AN80" s="79">
        <v>3</v>
      </c>
      <c r="AO80" s="80"/>
      <c r="AP80" s="81">
        <v>6</v>
      </c>
      <c r="AQ80" s="80"/>
      <c r="AR80" s="81">
        <v>180</v>
      </c>
      <c r="AS80" s="82"/>
      <c r="AT80" s="4"/>
      <c r="AU80" s="4"/>
      <c r="AV80" s="4"/>
      <c r="AW80" s="4"/>
      <c r="AX80" s="45">
        <v>3</v>
      </c>
      <c r="AY80" s="46"/>
      <c r="AZ80" s="47">
        <v>2</v>
      </c>
      <c r="BA80" s="46"/>
      <c r="BB80" s="47">
        <v>120</v>
      </c>
      <c r="BC80" s="48"/>
      <c r="BD80" s="4"/>
      <c r="BE80" s="4"/>
      <c r="BF80" s="4"/>
      <c r="BG80" s="4"/>
      <c r="BI80" s="64"/>
      <c r="BJ80" s="137"/>
      <c r="BK80" s="17"/>
      <c r="BL80" s="16"/>
      <c r="BR80" s="66" t="s">
        <v>9</v>
      </c>
      <c r="BS80" s="67"/>
      <c r="BT80" s="131" t="s">
        <v>18</v>
      </c>
      <c r="BU80" s="67"/>
      <c r="BV80" s="131" t="s">
        <v>10</v>
      </c>
      <c r="BW80" s="132"/>
      <c r="CA80" s="8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2:135" ht="15" thickBot="1" x14ac:dyDescent="0.35">
      <c r="B81" s="118"/>
      <c r="C81" s="1"/>
      <c r="D81" s="119"/>
      <c r="E81" s="11">
        <f>SUM(J80,T80,AD80,AN80,AX80)</f>
        <v>14</v>
      </c>
      <c r="F81" s="11">
        <f>SUM(J81:BC81)</f>
        <v>22</v>
      </c>
      <c r="G81" s="105"/>
      <c r="H81" s="2"/>
      <c r="I81" s="2"/>
      <c r="J81" s="112">
        <v>2</v>
      </c>
      <c r="K81" s="113"/>
      <c r="L81" s="106">
        <v>0</v>
      </c>
      <c r="M81" s="113"/>
      <c r="N81" s="106">
        <v>0</v>
      </c>
      <c r="O81" s="107"/>
      <c r="P81" s="4"/>
      <c r="Q81" s="4"/>
      <c r="R81" s="4"/>
      <c r="S81" s="4"/>
      <c r="T81" s="92">
        <v>3</v>
      </c>
      <c r="U81" s="93"/>
      <c r="V81" s="70">
        <v>3</v>
      </c>
      <c r="W81" s="93"/>
      <c r="X81" s="70">
        <v>0</v>
      </c>
      <c r="Y81" s="71"/>
      <c r="Z81" s="4"/>
      <c r="AA81" s="4"/>
      <c r="AB81" s="4"/>
      <c r="AC81" s="4"/>
      <c r="AD81" s="72">
        <v>3</v>
      </c>
      <c r="AE81" s="73"/>
      <c r="AF81" s="68">
        <v>3</v>
      </c>
      <c r="AG81" s="73"/>
      <c r="AH81" s="68">
        <v>0</v>
      </c>
      <c r="AI81" s="69"/>
      <c r="AJ81" s="4"/>
      <c r="AK81" s="4"/>
      <c r="AL81" s="4"/>
      <c r="AM81" s="4"/>
      <c r="AN81" s="83">
        <v>3</v>
      </c>
      <c r="AO81" s="84"/>
      <c r="AP81" s="85">
        <v>3</v>
      </c>
      <c r="AQ81" s="84"/>
      <c r="AR81" s="85">
        <v>0</v>
      </c>
      <c r="AS81" s="86"/>
      <c r="AT81" s="4"/>
      <c r="AU81" s="4"/>
      <c r="AV81" s="4"/>
      <c r="AW81" s="4"/>
      <c r="AX81" s="49">
        <v>2</v>
      </c>
      <c r="AY81" s="50"/>
      <c r="AZ81" s="51">
        <v>0</v>
      </c>
      <c r="BA81" s="50"/>
      <c r="BB81" s="51">
        <v>0</v>
      </c>
      <c r="BC81" s="52"/>
      <c r="BD81" s="4"/>
      <c r="BE81" s="4"/>
      <c r="BF81" s="4"/>
      <c r="BG81" s="4"/>
      <c r="BI81" s="64"/>
      <c r="BJ81" s="137"/>
      <c r="BK81" s="17"/>
      <c r="BL81" s="16"/>
      <c r="BR81" s="133" t="s">
        <v>11</v>
      </c>
      <c r="BS81" s="134"/>
      <c r="BT81" s="135" t="s">
        <v>12</v>
      </c>
      <c r="BU81" s="134"/>
      <c r="BV81" s="135" t="s">
        <v>13</v>
      </c>
      <c r="BW81" s="136"/>
      <c r="CA81" s="8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2:135" ht="10.050000000000001" customHeight="1" x14ac:dyDescent="0.3">
      <c r="B82" s="118"/>
      <c r="C82" s="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I82" s="64"/>
      <c r="BL82" s="16"/>
      <c r="CA82" s="8"/>
    </row>
    <row r="83" spans="2:135" ht="10.050000000000001" customHeight="1" x14ac:dyDescent="0.3">
      <c r="B83" s="118"/>
      <c r="C83" s="3"/>
      <c r="BI83" s="64"/>
      <c r="BL83" s="16"/>
      <c r="CA83" s="8"/>
    </row>
    <row r="84" spans="2:135" ht="10.050000000000001" customHeight="1" x14ac:dyDescent="0.3">
      <c r="B84" s="118"/>
      <c r="C84" s="3"/>
      <c r="BI84" s="64"/>
      <c r="BJ84" s="90"/>
      <c r="BL84" s="15"/>
      <c r="BN84" s="18"/>
      <c r="BO84" s="18"/>
      <c r="BP84" s="18"/>
      <c r="BQ84" s="18"/>
      <c r="BS84" s="60"/>
      <c r="BU84" s="75" t="s">
        <v>30</v>
      </c>
      <c r="BW84" s="61"/>
      <c r="CA84" s="8"/>
    </row>
    <row r="85" spans="2:135" ht="10.050000000000001" customHeight="1" thickBot="1" x14ac:dyDescent="0.35">
      <c r="B85" s="118"/>
      <c r="C85" s="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I85" s="64"/>
      <c r="BJ85" s="90"/>
      <c r="BL85" s="74" t="s">
        <v>22</v>
      </c>
      <c r="BN85" s="18"/>
      <c r="BO85" s="18"/>
      <c r="BP85" s="18"/>
      <c r="BQ85" s="18"/>
      <c r="BS85" s="60"/>
      <c r="BU85" s="75"/>
      <c r="BW85" s="61"/>
      <c r="CA85" s="8"/>
    </row>
    <row r="86" spans="2:135" ht="15" customHeight="1" x14ac:dyDescent="0.3">
      <c r="B86" s="118"/>
      <c r="C86" s="1"/>
      <c r="D86" s="119" t="s">
        <v>6</v>
      </c>
      <c r="E86" s="11"/>
      <c r="F86" s="11"/>
      <c r="G86" s="2"/>
      <c r="H86" s="2"/>
      <c r="I86" s="2"/>
      <c r="J86" s="24" t="s">
        <v>144</v>
      </c>
      <c r="K86" s="25"/>
      <c r="L86" s="26"/>
      <c r="M86" s="38" t="s">
        <v>111</v>
      </c>
      <c r="N86" s="39"/>
      <c r="O86" s="40"/>
      <c r="P86" s="14"/>
      <c r="Q86" s="14"/>
      <c r="R86" s="14"/>
      <c r="S86" s="14"/>
      <c r="T86" s="24" t="s">
        <v>19</v>
      </c>
      <c r="U86" s="25"/>
      <c r="V86" s="26"/>
      <c r="W86" s="38">
        <v>446</v>
      </c>
      <c r="X86" s="102"/>
      <c r="Y86" s="103"/>
      <c r="Z86" s="14"/>
      <c r="AA86" s="14"/>
      <c r="AB86" s="14"/>
      <c r="AC86" s="14"/>
      <c r="AD86" s="24" t="s">
        <v>19</v>
      </c>
      <c r="AE86" s="25"/>
      <c r="AF86" s="26"/>
      <c r="AG86" s="38">
        <v>466</v>
      </c>
      <c r="AH86" s="102"/>
      <c r="AI86" s="103"/>
      <c r="AJ86" s="4"/>
      <c r="AK86" s="4"/>
      <c r="AL86" s="4"/>
      <c r="AM86" s="4"/>
      <c r="AN86" s="24" t="s">
        <v>137</v>
      </c>
      <c r="AO86" s="25"/>
      <c r="AP86" s="26"/>
      <c r="AQ86" s="38" t="s">
        <v>112</v>
      </c>
      <c r="AR86" s="39"/>
      <c r="AS86" s="40"/>
      <c r="AT86" s="4"/>
      <c r="AU86" s="4"/>
      <c r="AV86" s="4"/>
      <c r="AW86" s="4"/>
      <c r="AX86" s="24" t="s">
        <v>19</v>
      </c>
      <c r="AY86" s="25"/>
      <c r="AZ86" s="26"/>
      <c r="BA86" s="38">
        <v>494</v>
      </c>
      <c r="BB86" s="39"/>
      <c r="BC86" s="40"/>
      <c r="BD86" s="4"/>
      <c r="BE86" s="4"/>
      <c r="BF86" s="4"/>
      <c r="BG86" s="4"/>
      <c r="BI86" s="64"/>
      <c r="BJ86" s="90" t="s">
        <v>31</v>
      </c>
      <c r="BK86" s="7"/>
      <c r="BL86" s="74"/>
      <c r="BM86" s="7"/>
      <c r="BN86" s="62" t="s">
        <v>14</v>
      </c>
      <c r="BO86" s="62"/>
      <c r="BP86" s="62"/>
      <c r="BQ86" s="62"/>
      <c r="BR86" s="7"/>
      <c r="BS86" s="60" t="s">
        <v>46</v>
      </c>
      <c r="BT86" s="7"/>
      <c r="BU86" s="75"/>
      <c r="BV86" s="7"/>
      <c r="BW86" s="61" t="s">
        <v>62</v>
      </c>
      <c r="CA86" s="8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2:135" ht="48.75" customHeight="1" x14ac:dyDescent="0.3">
      <c r="B87" s="118"/>
      <c r="C87" s="1"/>
      <c r="D87" s="119"/>
      <c r="E87" s="120" t="s">
        <v>16</v>
      </c>
      <c r="F87" s="120" t="s">
        <v>17</v>
      </c>
      <c r="G87" s="13">
        <f>SUM(N88,X88,AH88,AR88,BB88,BL88)</f>
        <v>735</v>
      </c>
      <c r="H87" s="2"/>
      <c r="I87" s="2"/>
      <c r="J87" s="114" t="s">
        <v>106</v>
      </c>
      <c r="K87" s="115"/>
      <c r="L87" s="115"/>
      <c r="M87" s="115"/>
      <c r="N87" s="116"/>
      <c r="O87" s="117"/>
      <c r="P87" s="4"/>
      <c r="Q87" s="4"/>
      <c r="R87" s="4"/>
      <c r="S87" s="4"/>
      <c r="T87" s="94" t="s">
        <v>76</v>
      </c>
      <c r="U87" s="95"/>
      <c r="V87" s="95"/>
      <c r="W87" s="95"/>
      <c r="X87" s="96"/>
      <c r="Y87" s="97"/>
      <c r="Z87" s="4"/>
      <c r="AA87" s="4"/>
      <c r="AB87" s="4"/>
      <c r="AC87" s="4"/>
      <c r="AD87" s="94" t="s">
        <v>77</v>
      </c>
      <c r="AE87" s="95"/>
      <c r="AF87" s="95"/>
      <c r="AG87" s="95"/>
      <c r="AH87" s="96"/>
      <c r="AI87" s="97"/>
      <c r="AJ87" s="4"/>
      <c r="AK87" s="4"/>
      <c r="AL87" s="4"/>
      <c r="AM87" s="4"/>
      <c r="AN87" s="76" t="s">
        <v>145</v>
      </c>
      <c r="AO87" s="77"/>
      <c r="AP87" s="77"/>
      <c r="AQ87" s="77"/>
      <c r="AR87" s="77"/>
      <c r="AS87" s="78"/>
      <c r="AT87" s="4"/>
      <c r="AU87" s="4"/>
      <c r="AV87" s="4"/>
      <c r="AW87" s="4"/>
      <c r="AX87" s="41" t="s">
        <v>64</v>
      </c>
      <c r="AY87" s="42"/>
      <c r="AZ87" s="42"/>
      <c r="BA87" s="42"/>
      <c r="BB87" s="43"/>
      <c r="BC87" s="44"/>
      <c r="BD87" s="4"/>
      <c r="BE87" s="4"/>
      <c r="BF87" s="4"/>
      <c r="BG87" s="4"/>
      <c r="BI87" s="64"/>
      <c r="BJ87" s="90"/>
      <c r="BK87" s="7"/>
      <c r="BL87" s="74"/>
      <c r="BM87" s="7"/>
      <c r="BN87" s="62"/>
      <c r="BO87" s="62"/>
      <c r="BP87" s="62"/>
      <c r="BQ87" s="62"/>
      <c r="BR87" s="7"/>
      <c r="BS87" s="60"/>
      <c r="BT87" s="7"/>
      <c r="BU87" s="75"/>
      <c r="BV87" s="7"/>
      <c r="BW87" s="61"/>
      <c r="CA87" s="8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2:135" x14ac:dyDescent="0.3">
      <c r="B88" s="118"/>
      <c r="C88" s="1"/>
      <c r="D88" s="119"/>
      <c r="E88" s="120"/>
      <c r="F88" s="120"/>
      <c r="G88" s="105"/>
      <c r="H88" s="121"/>
      <c r="I88" s="122"/>
      <c r="J88" s="110">
        <v>2</v>
      </c>
      <c r="K88" s="111"/>
      <c r="L88" s="108">
        <v>2</v>
      </c>
      <c r="M88" s="111"/>
      <c r="N88" s="108">
        <v>90</v>
      </c>
      <c r="O88" s="109"/>
      <c r="P88" s="4"/>
      <c r="Q88" s="4"/>
      <c r="R88" s="4"/>
      <c r="S88" s="4"/>
      <c r="T88" s="98">
        <v>3</v>
      </c>
      <c r="U88" s="99"/>
      <c r="V88" s="100">
        <v>6</v>
      </c>
      <c r="W88" s="99"/>
      <c r="X88" s="100">
        <v>180</v>
      </c>
      <c r="Y88" s="101"/>
      <c r="Z88" s="4"/>
      <c r="AA88" s="4"/>
      <c r="AB88" s="4"/>
      <c r="AC88" s="4"/>
      <c r="AD88" s="98">
        <v>3</v>
      </c>
      <c r="AE88" s="99"/>
      <c r="AF88" s="100">
        <v>5</v>
      </c>
      <c r="AG88" s="99"/>
      <c r="AH88" s="100">
        <v>165</v>
      </c>
      <c r="AI88" s="101"/>
      <c r="AJ88" s="4"/>
      <c r="AK88" s="4"/>
      <c r="AL88" s="4"/>
      <c r="AM88" s="4"/>
      <c r="AN88" s="79">
        <v>3</v>
      </c>
      <c r="AO88" s="80"/>
      <c r="AP88" s="81">
        <v>6</v>
      </c>
      <c r="AQ88" s="80"/>
      <c r="AR88" s="81">
        <v>180</v>
      </c>
      <c r="AS88" s="82"/>
      <c r="AT88" s="4"/>
      <c r="AU88" s="4"/>
      <c r="AV88" s="4"/>
      <c r="AW88" s="4"/>
      <c r="AX88" s="45">
        <v>3</v>
      </c>
      <c r="AY88" s="46"/>
      <c r="AZ88" s="47">
        <v>2</v>
      </c>
      <c r="BA88" s="46"/>
      <c r="BB88" s="47">
        <v>120</v>
      </c>
      <c r="BC88" s="48"/>
      <c r="BD88" s="4"/>
      <c r="BE88" s="4"/>
      <c r="BF88" s="4"/>
      <c r="BG88" s="4"/>
      <c r="BI88" s="64"/>
      <c r="BJ88" s="90"/>
      <c r="BK88" s="7"/>
      <c r="BL88" s="74"/>
      <c r="BM88" s="7"/>
      <c r="BN88" s="62"/>
      <c r="BO88" s="62"/>
      <c r="BP88" s="62"/>
      <c r="BQ88" s="62"/>
      <c r="BR88" s="7"/>
      <c r="BS88" s="60"/>
      <c r="BT88" s="7"/>
      <c r="BU88" s="75"/>
      <c r="BV88" s="7"/>
      <c r="BW88" s="61"/>
      <c r="CA88" s="8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2:135" ht="15" thickBot="1" x14ac:dyDescent="0.35">
      <c r="B89" s="118"/>
      <c r="C89" s="1"/>
      <c r="D89" s="119"/>
      <c r="E89" s="11">
        <f>SUM(J88,T88,AD88,AN88,AX88)</f>
        <v>14</v>
      </c>
      <c r="F89" s="11">
        <f>SUM(J89:BC89)</f>
        <v>21</v>
      </c>
      <c r="G89" s="105"/>
      <c r="H89" s="2"/>
      <c r="I89" s="2"/>
      <c r="J89" s="112">
        <v>2</v>
      </c>
      <c r="K89" s="113"/>
      <c r="L89" s="106">
        <v>0</v>
      </c>
      <c r="M89" s="113"/>
      <c r="N89" s="106">
        <v>0</v>
      </c>
      <c r="O89" s="107"/>
      <c r="P89" s="4"/>
      <c r="Q89" s="4"/>
      <c r="R89" s="4"/>
      <c r="S89" s="4"/>
      <c r="T89" s="72">
        <v>3</v>
      </c>
      <c r="U89" s="73"/>
      <c r="V89" s="68">
        <v>3</v>
      </c>
      <c r="W89" s="73"/>
      <c r="X89" s="68">
        <v>0</v>
      </c>
      <c r="Y89" s="69"/>
      <c r="Z89" s="4"/>
      <c r="AA89" s="4"/>
      <c r="AB89" s="4"/>
      <c r="AC89" s="4"/>
      <c r="AD89" s="72">
        <v>3</v>
      </c>
      <c r="AE89" s="73"/>
      <c r="AF89" s="68">
        <v>2</v>
      </c>
      <c r="AG89" s="73"/>
      <c r="AH89" s="68">
        <v>0</v>
      </c>
      <c r="AI89" s="69"/>
      <c r="AJ89" s="4"/>
      <c r="AK89" s="4"/>
      <c r="AL89" s="4"/>
      <c r="AM89" s="4"/>
      <c r="AN89" s="83">
        <v>3</v>
      </c>
      <c r="AO89" s="84"/>
      <c r="AP89" s="85">
        <v>3</v>
      </c>
      <c r="AQ89" s="84"/>
      <c r="AR89" s="85">
        <v>0</v>
      </c>
      <c r="AS89" s="86"/>
      <c r="AT89" s="4"/>
      <c r="AU89" s="4"/>
      <c r="AV89" s="4"/>
      <c r="AW89" s="4"/>
      <c r="AX89" s="49">
        <v>2</v>
      </c>
      <c r="AY89" s="50"/>
      <c r="AZ89" s="51">
        <v>0</v>
      </c>
      <c r="BA89" s="50"/>
      <c r="BB89" s="51">
        <v>0</v>
      </c>
      <c r="BC89" s="52"/>
      <c r="BD89" s="4"/>
      <c r="BE89" s="4"/>
      <c r="BF89" s="4"/>
      <c r="BG89" s="4"/>
      <c r="BI89" s="64"/>
      <c r="BJ89" s="90"/>
      <c r="BK89" s="7"/>
      <c r="BL89" s="74"/>
      <c r="BM89" s="7"/>
      <c r="BN89" s="62"/>
      <c r="BO89" s="62"/>
      <c r="BP89" s="62"/>
      <c r="BQ89" s="62"/>
      <c r="BR89" s="7"/>
      <c r="BS89" s="60"/>
      <c r="BT89" s="7"/>
      <c r="BU89" s="75"/>
      <c r="BV89" s="7"/>
      <c r="BW89" s="61"/>
      <c r="CA89" s="8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2:135" ht="10.050000000000001" customHeight="1" thickBot="1" x14ac:dyDescent="0.35">
      <c r="B90" s="118"/>
      <c r="C90" s="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I90" s="65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10"/>
    </row>
    <row r="91" spans="2:135" ht="10.050000000000001" customHeight="1" thickTop="1" x14ac:dyDescent="0.3"/>
    <row r="92" spans="2:135" ht="10.050000000000001" customHeight="1" x14ac:dyDescent="0.3"/>
    <row r="93" spans="2:135" ht="10.050000000000001" customHeight="1" x14ac:dyDescent="0.3"/>
    <row r="100" ht="48.75" customHeight="1" x14ac:dyDescent="0.3"/>
  </sheetData>
  <mergeCells count="775"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N8:O8"/>
    <mergeCell ref="AN8:AO8"/>
    <mergeCell ref="AP8:AQ8"/>
    <mergeCell ref="AR8:AS8"/>
    <mergeCell ref="AX8:AY8"/>
    <mergeCell ref="AZ8:BA8"/>
    <mergeCell ref="BB8:BC8"/>
    <mergeCell ref="T8:U8"/>
    <mergeCell ref="V8:W8"/>
    <mergeCell ref="X8:Y8"/>
    <mergeCell ref="AD8:AE8"/>
    <mergeCell ref="AF8:AG8"/>
    <mergeCell ref="AH8:AI8"/>
    <mergeCell ref="E7:E8"/>
    <mergeCell ref="F7:F8"/>
    <mergeCell ref="J7:O7"/>
    <mergeCell ref="T7:Y7"/>
    <mergeCell ref="AD7:AI7"/>
    <mergeCell ref="AN7:AS7"/>
    <mergeCell ref="AX7:BC7"/>
    <mergeCell ref="AQ6:AS6"/>
    <mergeCell ref="AX6:AZ6"/>
    <mergeCell ref="BA6:BC6"/>
    <mergeCell ref="G8:G9"/>
    <mergeCell ref="H8:I8"/>
    <mergeCell ref="J8:K8"/>
    <mergeCell ref="L8:M8"/>
    <mergeCell ref="AR9:AS9"/>
    <mergeCell ref="J9:K9"/>
    <mergeCell ref="L9:M9"/>
    <mergeCell ref="N9:O9"/>
    <mergeCell ref="T9:U9"/>
    <mergeCell ref="V9:W9"/>
    <mergeCell ref="X9:Y9"/>
    <mergeCell ref="DT8:DU8"/>
    <mergeCell ref="DZ8:EA8"/>
    <mergeCell ref="EB8:EC8"/>
    <mergeCell ref="ED8:EE8"/>
    <mergeCell ref="BH8:BI8"/>
    <mergeCell ref="BJ8:BK8"/>
    <mergeCell ref="BL8:BM8"/>
    <mergeCell ref="DP6:DU6"/>
    <mergeCell ref="DZ6:EE6"/>
    <mergeCell ref="BH6:BJ6"/>
    <mergeCell ref="BK6:BM6"/>
    <mergeCell ref="BH7:BM7"/>
    <mergeCell ref="DP7:DU7"/>
    <mergeCell ref="DZ7:EE7"/>
    <mergeCell ref="DP8:DQ8"/>
    <mergeCell ref="DR8:DS8"/>
    <mergeCell ref="BR6:BT6"/>
    <mergeCell ref="BU6:BW6"/>
    <mergeCell ref="BR7:BW7"/>
    <mergeCell ref="BR8:BS8"/>
    <mergeCell ref="BT8:BU8"/>
    <mergeCell ref="BV8:BW8"/>
    <mergeCell ref="DZ9:EA9"/>
    <mergeCell ref="EB9:EC9"/>
    <mergeCell ref="ED9:EE9"/>
    <mergeCell ref="D14:D17"/>
    <mergeCell ref="J14:L14"/>
    <mergeCell ref="M14:O14"/>
    <mergeCell ref="T14:V14"/>
    <mergeCell ref="W14:Y14"/>
    <mergeCell ref="AD14:AF14"/>
    <mergeCell ref="AG14:AI14"/>
    <mergeCell ref="DP9:DQ9"/>
    <mergeCell ref="DR9:DS9"/>
    <mergeCell ref="DT9:DU9"/>
    <mergeCell ref="AX9:AY9"/>
    <mergeCell ref="AZ9:BA9"/>
    <mergeCell ref="BB9:BC9"/>
    <mergeCell ref="BH9:BI9"/>
    <mergeCell ref="BJ9:BK9"/>
    <mergeCell ref="BL9:BM9"/>
    <mergeCell ref="AD9:AE9"/>
    <mergeCell ref="AF9:AG9"/>
    <mergeCell ref="AH9:AI9"/>
    <mergeCell ref="AN9:AO9"/>
    <mergeCell ref="AP9:AQ9"/>
    <mergeCell ref="E15:E16"/>
    <mergeCell ref="F15:F16"/>
    <mergeCell ref="J15:O15"/>
    <mergeCell ref="T15:Y15"/>
    <mergeCell ref="AD15:AI15"/>
    <mergeCell ref="AN15:AS15"/>
    <mergeCell ref="AN14:AP14"/>
    <mergeCell ref="AQ14:AS14"/>
    <mergeCell ref="AX14:AZ14"/>
    <mergeCell ref="G16:G17"/>
    <mergeCell ref="H16:I16"/>
    <mergeCell ref="J16:K16"/>
    <mergeCell ref="L16:M16"/>
    <mergeCell ref="AN17:AO17"/>
    <mergeCell ref="AP17:AQ17"/>
    <mergeCell ref="AR17:AS17"/>
    <mergeCell ref="AX17:AY17"/>
    <mergeCell ref="AZ17:BA17"/>
    <mergeCell ref="J17:K17"/>
    <mergeCell ref="L17:M17"/>
    <mergeCell ref="N17:O17"/>
    <mergeCell ref="T17:U17"/>
    <mergeCell ref="V17:W17"/>
    <mergeCell ref="X17:Y17"/>
    <mergeCell ref="DP14:DU14"/>
    <mergeCell ref="DZ14:EE14"/>
    <mergeCell ref="BA14:BC14"/>
    <mergeCell ref="BH14:BJ14"/>
    <mergeCell ref="BK14:BM14"/>
    <mergeCell ref="N16:O16"/>
    <mergeCell ref="T16:U16"/>
    <mergeCell ref="V16:W16"/>
    <mergeCell ref="X16:Y16"/>
    <mergeCell ref="AD16:AE16"/>
    <mergeCell ref="AF16:AG16"/>
    <mergeCell ref="AX15:BC15"/>
    <mergeCell ref="BH15:BM15"/>
    <mergeCell ref="BJ16:BK16"/>
    <mergeCell ref="AH16:AI16"/>
    <mergeCell ref="AN16:AO16"/>
    <mergeCell ref="AP16:AQ16"/>
    <mergeCell ref="AR16:AS16"/>
    <mergeCell ref="AX16:AY16"/>
    <mergeCell ref="AZ16:BA16"/>
    <mergeCell ref="DP15:DU15"/>
    <mergeCell ref="DZ15:EE15"/>
    <mergeCell ref="ED16:EE16"/>
    <mergeCell ref="AD17:AE17"/>
    <mergeCell ref="AF17:AG17"/>
    <mergeCell ref="AH17:AI17"/>
    <mergeCell ref="DP16:DQ16"/>
    <mergeCell ref="DR16:DS16"/>
    <mergeCell ref="DT16:DU16"/>
    <mergeCell ref="DZ16:EA16"/>
    <mergeCell ref="EB16:EC16"/>
    <mergeCell ref="BB16:BC16"/>
    <mergeCell ref="BH16:BI16"/>
    <mergeCell ref="BL16:BM16"/>
    <mergeCell ref="DP17:DQ17"/>
    <mergeCell ref="DR17:DS17"/>
    <mergeCell ref="DT17:DU17"/>
    <mergeCell ref="DZ17:EA17"/>
    <mergeCell ref="EB17:EC17"/>
    <mergeCell ref="B23:B36"/>
    <mergeCell ref="D24:D27"/>
    <mergeCell ref="J24:L24"/>
    <mergeCell ref="M24:O24"/>
    <mergeCell ref="T24:V24"/>
    <mergeCell ref="W24:Y24"/>
    <mergeCell ref="E25:E26"/>
    <mergeCell ref="F25:F26"/>
    <mergeCell ref="J25:O25"/>
    <mergeCell ref="T25:Y25"/>
    <mergeCell ref="G26:G27"/>
    <mergeCell ref="H26:I26"/>
    <mergeCell ref="J26:K26"/>
    <mergeCell ref="L26:M26"/>
    <mergeCell ref="N26:O26"/>
    <mergeCell ref="T26:U26"/>
    <mergeCell ref="V26:W26"/>
    <mergeCell ref="X26:Y26"/>
    <mergeCell ref="L34:M34"/>
    <mergeCell ref="J27:K27"/>
    <mergeCell ref="L27:M27"/>
    <mergeCell ref="N27:O27"/>
    <mergeCell ref="T27:U27"/>
    <mergeCell ref="V27:W27"/>
    <mergeCell ref="AD33:AI33"/>
    <mergeCell ref="AN33:AS33"/>
    <mergeCell ref="AX33:BC33"/>
    <mergeCell ref="AQ32:AS32"/>
    <mergeCell ref="AX32:AZ32"/>
    <mergeCell ref="ED17:EE17"/>
    <mergeCell ref="BH17:BI17"/>
    <mergeCell ref="BJ17:BK17"/>
    <mergeCell ref="BL17:BM17"/>
    <mergeCell ref="BB17:BC17"/>
    <mergeCell ref="DZ25:EE25"/>
    <mergeCell ref="AD25:AI25"/>
    <mergeCell ref="AN25:AS25"/>
    <mergeCell ref="AX25:BC25"/>
    <mergeCell ref="BH25:BM25"/>
    <mergeCell ref="DP25:DU25"/>
    <mergeCell ref="AX27:AY27"/>
    <mergeCell ref="DZ26:EA26"/>
    <mergeCell ref="EB26:EC26"/>
    <mergeCell ref="ED26:EE26"/>
    <mergeCell ref="DT26:DU26"/>
    <mergeCell ref="EB27:EC27"/>
    <mergeCell ref="ED27:EE27"/>
    <mergeCell ref="DT27:DU27"/>
    <mergeCell ref="DZ27:EA27"/>
    <mergeCell ref="BH24:BJ24"/>
    <mergeCell ref="BK24:BM24"/>
    <mergeCell ref="DP24:DU24"/>
    <mergeCell ref="DZ24:EE24"/>
    <mergeCell ref="AD24:AF24"/>
    <mergeCell ref="AG24:AI24"/>
    <mergeCell ref="AN24:AP24"/>
    <mergeCell ref="AQ24:AS24"/>
    <mergeCell ref="AX24:AZ24"/>
    <mergeCell ref="BA24:BC24"/>
    <mergeCell ref="X27:Y27"/>
    <mergeCell ref="AD27:AE27"/>
    <mergeCell ref="DP26:DQ26"/>
    <mergeCell ref="DR26:DS26"/>
    <mergeCell ref="AX26:AY26"/>
    <mergeCell ref="AZ26:BA26"/>
    <mergeCell ref="BB26:BC26"/>
    <mergeCell ref="BH26:BI26"/>
    <mergeCell ref="BJ26:BK26"/>
    <mergeCell ref="BL26:BM26"/>
    <mergeCell ref="AD26:AE26"/>
    <mergeCell ref="AF26:AG26"/>
    <mergeCell ref="AH26:AI26"/>
    <mergeCell ref="AN26:AO26"/>
    <mergeCell ref="DR27:DS27"/>
    <mergeCell ref="AP26:AQ26"/>
    <mergeCell ref="AR26:AS26"/>
    <mergeCell ref="D32:D35"/>
    <mergeCell ref="J32:L32"/>
    <mergeCell ref="M32:O32"/>
    <mergeCell ref="T32:V32"/>
    <mergeCell ref="W32:Y32"/>
    <mergeCell ref="AD32:AF32"/>
    <mergeCell ref="AG32:AI32"/>
    <mergeCell ref="AN32:AP32"/>
    <mergeCell ref="DP27:DQ27"/>
    <mergeCell ref="AZ27:BA27"/>
    <mergeCell ref="BB27:BC27"/>
    <mergeCell ref="BH27:BI27"/>
    <mergeCell ref="BJ27:BK27"/>
    <mergeCell ref="BL27:BM27"/>
    <mergeCell ref="AF27:AG27"/>
    <mergeCell ref="AH27:AI27"/>
    <mergeCell ref="AN27:AO27"/>
    <mergeCell ref="AP27:AQ27"/>
    <mergeCell ref="AR27:AS27"/>
    <mergeCell ref="DP32:DU32"/>
    <mergeCell ref="E33:E34"/>
    <mergeCell ref="F33:F34"/>
    <mergeCell ref="J33:O33"/>
    <mergeCell ref="T33:Y33"/>
    <mergeCell ref="BA32:BC32"/>
    <mergeCell ref="BH32:BJ32"/>
    <mergeCell ref="BK32:BM32"/>
    <mergeCell ref="BH33:BM33"/>
    <mergeCell ref="DP33:DU33"/>
    <mergeCell ref="DZ33:EE33"/>
    <mergeCell ref="G34:G35"/>
    <mergeCell ref="H34:I34"/>
    <mergeCell ref="J34:K34"/>
    <mergeCell ref="DT34:DU34"/>
    <mergeCell ref="DZ34:EA34"/>
    <mergeCell ref="EB34:EC34"/>
    <mergeCell ref="ED34:EE34"/>
    <mergeCell ref="BH34:BI34"/>
    <mergeCell ref="BJ34:BK34"/>
    <mergeCell ref="BL34:BM34"/>
    <mergeCell ref="AN34:AO34"/>
    <mergeCell ref="AP34:AQ34"/>
    <mergeCell ref="AR34:AS34"/>
    <mergeCell ref="AX34:AY34"/>
    <mergeCell ref="AZ34:BA34"/>
    <mergeCell ref="BB34:BC34"/>
    <mergeCell ref="AR35:AS35"/>
    <mergeCell ref="DZ32:EE32"/>
    <mergeCell ref="J35:K35"/>
    <mergeCell ref="L35:M35"/>
    <mergeCell ref="N35:O35"/>
    <mergeCell ref="T35:U35"/>
    <mergeCell ref="V35:W35"/>
    <mergeCell ref="X35:Y35"/>
    <mergeCell ref="DP34:DQ34"/>
    <mergeCell ref="DR34:DS34"/>
    <mergeCell ref="T34:U34"/>
    <mergeCell ref="V34:W34"/>
    <mergeCell ref="X34:Y34"/>
    <mergeCell ref="AD34:AE34"/>
    <mergeCell ref="AF34:AG34"/>
    <mergeCell ref="AH34:AI34"/>
    <mergeCell ref="N34:O34"/>
    <mergeCell ref="DZ35:EA35"/>
    <mergeCell ref="EB35:EC35"/>
    <mergeCell ref="ED35:EE35"/>
    <mergeCell ref="B41:B54"/>
    <mergeCell ref="D42:D45"/>
    <mergeCell ref="J42:L42"/>
    <mergeCell ref="M42:O42"/>
    <mergeCell ref="T42:V42"/>
    <mergeCell ref="W42:Y42"/>
    <mergeCell ref="AD42:AF42"/>
    <mergeCell ref="DP35:DQ35"/>
    <mergeCell ref="DR35:DS35"/>
    <mergeCell ref="DT35:DU35"/>
    <mergeCell ref="AX35:AY35"/>
    <mergeCell ref="AZ35:BA35"/>
    <mergeCell ref="BB35:BC35"/>
    <mergeCell ref="BH35:BI35"/>
    <mergeCell ref="BJ35:BK35"/>
    <mergeCell ref="BL35:BM35"/>
    <mergeCell ref="AD35:AE35"/>
    <mergeCell ref="AF35:AG35"/>
    <mergeCell ref="AH35:AI35"/>
    <mergeCell ref="AN35:AO35"/>
    <mergeCell ref="AP35:AQ35"/>
    <mergeCell ref="J43:O43"/>
    <mergeCell ref="T43:Y43"/>
    <mergeCell ref="AD43:AI43"/>
    <mergeCell ref="AN43:AS43"/>
    <mergeCell ref="AX43:BC43"/>
    <mergeCell ref="AG42:AI42"/>
    <mergeCell ref="AN42:AP42"/>
    <mergeCell ref="AQ42:AS42"/>
    <mergeCell ref="AX42:AZ42"/>
    <mergeCell ref="BA42:BC42"/>
    <mergeCell ref="DP42:DU42"/>
    <mergeCell ref="DZ42:EE42"/>
    <mergeCell ref="BH42:BJ42"/>
    <mergeCell ref="BH43:BM43"/>
    <mergeCell ref="DP43:DU43"/>
    <mergeCell ref="DZ43:EE43"/>
    <mergeCell ref="D50:D53"/>
    <mergeCell ref="J50:L50"/>
    <mergeCell ref="M50:O50"/>
    <mergeCell ref="T50:V50"/>
    <mergeCell ref="W50:Y50"/>
    <mergeCell ref="AD50:AF50"/>
    <mergeCell ref="BB45:BC45"/>
    <mergeCell ref="BH45:BI45"/>
    <mergeCell ref="BJ45:BK45"/>
    <mergeCell ref="AH45:AI45"/>
    <mergeCell ref="AN45:AO45"/>
    <mergeCell ref="G44:G45"/>
    <mergeCell ref="H44:I44"/>
    <mergeCell ref="J44:K44"/>
    <mergeCell ref="AP45:AQ45"/>
    <mergeCell ref="AR45:AS45"/>
    <mergeCell ref="E43:E44"/>
    <mergeCell ref="F43:F44"/>
    <mergeCell ref="AZ45:BA45"/>
    <mergeCell ref="N44:O44"/>
    <mergeCell ref="T44:U44"/>
    <mergeCell ref="J45:K45"/>
    <mergeCell ref="L45:M45"/>
    <mergeCell ref="N45:O45"/>
    <mergeCell ref="T45:U45"/>
    <mergeCell ref="DT45:DU45"/>
    <mergeCell ref="BH44:BI44"/>
    <mergeCell ref="AD44:AE44"/>
    <mergeCell ref="AF44:AG44"/>
    <mergeCell ref="AH44:AI44"/>
    <mergeCell ref="AN44:AO44"/>
    <mergeCell ref="L44:M44"/>
    <mergeCell ref="AP44:AQ44"/>
    <mergeCell ref="AR44:AS44"/>
    <mergeCell ref="AX44:AY44"/>
    <mergeCell ref="AZ44:BA44"/>
    <mergeCell ref="BB44:BC44"/>
    <mergeCell ref="DZ45:EA45"/>
    <mergeCell ref="EB45:EC45"/>
    <mergeCell ref="BK50:BM50"/>
    <mergeCell ref="DP50:DU50"/>
    <mergeCell ref="DZ50:EE50"/>
    <mergeCell ref="V44:W44"/>
    <mergeCell ref="X44:Y44"/>
    <mergeCell ref="ED45:EE45"/>
    <mergeCell ref="BL45:BM45"/>
    <mergeCell ref="DP45:DQ45"/>
    <mergeCell ref="DR45:DS45"/>
    <mergeCell ref="EB44:EC44"/>
    <mergeCell ref="ED44:EE44"/>
    <mergeCell ref="V45:W45"/>
    <mergeCell ref="X45:Y45"/>
    <mergeCell ref="AD45:AE45"/>
    <mergeCell ref="AF45:AG45"/>
    <mergeCell ref="BJ44:BK44"/>
    <mergeCell ref="BL44:BM44"/>
    <mergeCell ref="DP44:DQ44"/>
    <mergeCell ref="DR44:DS44"/>
    <mergeCell ref="DT44:DU44"/>
    <mergeCell ref="DZ44:EA44"/>
    <mergeCell ref="AX45:AY45"/>
    <mergeCell ref="AX51:BC51"/>
    <mergeCell ref="BH51:BM51"/>
    <mergeCell ref="DP51:DU51"/>
    <mergeCell ref="DZ51:EE51"/>
    <mergeCell ref="G52:G53"/>
    <mergeCell ref="H52:I52"/>
    <mergeCell ref="AG50:AI50"/>
    <mergeCell ref="AN50:AP50"/>
    <mergeCell ref="AQ50:AS50"/>
    <mergeCell ref="AX50:AZ50"/>
    <mergeCell ref="BA50:BC50"/>
    <mergeCell ref="BH50:BJ50"/>
    <mergeCell ref="BR50:BT50"/>
    <mergeCell ref="BU50:BW50"/>
    <mergeCell ref="BR51:BW51"/>
    <mergeCell ref="BR52:BS52"/>
    <mergeCell ref="BT52:BU52"/>
    <mergeCell ref="BV52:BW52"/>
    <mergeCell ref="BR53:BS53"/>
    <mergeCell ref="BT53:BU53"/>
    <mergeCell ref="BV53:BW53"/>
    <mergeCell ref="DZ52:EA52"/>
    <mergeCell ref="EB52:EC52"/>
    <mergeCell ref="DP52:DQ52"/>
    <mergeCell ref="E51:E52"/>
    <mergeCell ref="F51:F52"/>
    <mergeCell ref="J51:O51"/>
    <mergeCell ref="T51:Y51"/>
    <mergeCell ref="AD51:AI51"/>
    <mergeCell ref="AN51:AS51"/>
    <mergeCell ref="N52:O52"/>
    <mergeCell ref="T52:U52"/>
    <mergeCell ref="V52:W52"/>
    <mergeCell ref="X52:Y52"/>
    <mergeCell ref="AR52:AS52"/>
    <mergeCell ref="L52:M52"/>
    <mergeCell ref="DZ53:EA53"/>
    <mergeCell ref="EB53:EC53"/>
    <mergeCell ref="ED53:EE53"/>
    <mergeCell ref="DP53:DQ53"/>
    <mergeCell ref="DR53:DS53"/>
    <mergeCell ref="DT53:DU53"/>
    <mergeCell ref="ED52:EE52"/>
    <mergeCell ref="J53:K53"/>
    <mergeCell ref="L53:M53"/>
    <mergeCell ref="N53:O53"/>
    <mergeCell ref="T53:U53"/>
    <mergeCell ref="V53:W53"/>
    <mergeCell ref="AX52:AY52"/>
    <mergeCell ref="AZ52:BA52"/>
    <mergeCell ref="BB52:BC52"/>
    <mergeCell ref="BH52:BI52"/>
    <mergeCell ref="BJ52:BK52"/>
    <mergeCell ref="BL52:BM52"/>
    <mergeCell ref="AD52:AE52"/>
    <mergeCell ref="AF52:AG52"/>
    <mergeCell ref="AH52:AI52"/>
    <mergeCell ref="AN52:AO52"/>
    <mergeCell ref="AP52:AQ52"/>
    <mergeCell ref="J52:K52"/>
    <mergeCell ref="AH53:AI53"/>
    <mergeCell ref="AN53:AO53"/>
    <mergeCell ref="AP53:AQ53"/>
    <mergeCell ref="DR52:DS52"/>
    <mergeCell ref="DT52:DU52"/>
    <mergeCell ref="B59:B72"/>
    <mergeCell ref="D60:D63"/>
    <mergeCell ref="J60:L60"/>
    <mergeCell ref="M60:O60"/>
    <mergeCell ref="T60:V60"/>
    <mergeCell ref="W60:Y60"/>
    <mergeCell ref="BL53:BM53"/>
    <mergeCell ref="AR53:AS53"/>
    <mergeCell ref="AX53:AY53"/>
    <mergeCell ref="AZ53:BA53"/>
    <mergeCell ref="BB53:BC53"/>
    <mergeCell ref="BH53:BI53"/>
    <mergeCell ref="BJ53:BK53"/>
    <mergeCell ref="X53:Y53"/>
    <mergeCell ref="AD53:AE53"/>
    <mergeCell ref="AF53:AG53"/>
    <mergeCell ref="H62:I62"/>
    <mergeCell ref="J62:K62"/>
    <mergeCell ref="L62:M62"/>
    <mergeCell ref="D68:D71"/>
    <mergeCell ref="J68:L68"/>
    <mergeCell ref="M68:O68"/>
    <mergeCell ref="T68:V68"/>
    <mergeCell ref="DZ60:EE60"/>
    <mergeCell ref="E61:E62"/>
    <mergeCell ref="F61:F62"/>
    <mergeCell ref="J61:O61"/>
    <mergeCell ref="T61:Y61"/>
    <mergeCell ref="AD61:AI61"/>
    <mergeCell ref="AN61:AS61"/>
    <mergeCell ref="AD60:AF60"/>
    <mergeCell ref="AG60:AI60"/>
    <mergeCell ref="AN60:AP60"/>
    <mergeCell ref="AQ60:AS60"/>
    <mergeCell ref="AX60:AZ60"/>
    <mergeCell ref="BA60:BC60"/>
    <mergeCell ref="X62:Y62"/>
    <mergeCell ref="AD62:AE62"/>
    <mergeCell ref="AF62:AG62"/>
    <mergeCell ref="AH62:AI62"/>
    <mergeCell ref="AX61:BC61"/>
    <mergeCell ref="DP61:DU61"/>
    <mergeCell ref="DZ61:EE61"/>
    <mergeCell ref="DZ62:EA62"/>
    <mergeCell ref="EB62:EC62"/>
    <mergeCell ref="AN62:AO62"/>
    <mergeCell ref="T62:U62"/>
    <mergeCell ref="V62:W62"/>
    <mergeCell ref="DP63:DQ63"/>
    <mergeCell ref="AZ63:BA63"/>
    <mergeCell ref="BB63:BC63"/>
    <mergeCell ref="AF63:AG63"/>
    <mergeCell ref="AH63:AI63"/>
    <mergeCell ref="AN63:AO63"/>
    <mergeCell ref="AP63:AQ63"/>
    <mergeCell ref="AP62:AQ62"/>
    <mergeCell ref="AR62:AS62"/>
    <mergeCell ref="AX62:AY62"/>
    <mergeCell ref="AZ62:BA62"/>
    <mergeCell ref="BB62:BC62"/>
    <mergeCell ref="BH63:BI63"/>
    <mergeCell ref="BJ63:BK63"/>
    <mergeCell ref="BL63:BM63"/>
    <mergeCell ref="AR63:AS63"/>
    <mergeCell ref="AX63:AY63"/>
    <mergeCell ref="ED62:EE62"/>
    <mergeCell ref="DT62:DU62"/>
    <mergeCell ref="DZ63:EA63"/>
    <mergeCell ref="EB63:EC63"/>
    <mergeCell ref="ED63:EE63"/>
    <mergeCell ref="DP62:DQ62"/>
    <mergeCell ref="DR62:DS62"/>
    <mergeCell ref="N62:O62"/>
    <mergeCell ref="E69:E70"/>
    <mergeCell ref="F69:F70"/>
    <mergeCell ref="J69:O69"/>
    <mergeCell ref="N70:O70"/>
    <mergeCell ref="DZ70:EA70"/>
    <mergeCell ref="EB70:EC70"/>
    <mergeCell ref="DP68:DU68"/>
    <mergeCell ref="DZ68:EE68"/>
    <mergeCell ref="J63:K63"/>
    <mergeCell ref="L63:M63"/>
    <mergeCell ref="N63:O63"/>
    <mergeCell ref="T63:U63"/>
    <mergeCell ref="V63:W63"/>
    <mergeCell ref="X63:Y63"/>
    <mergeCell ref="AD63:AE63"/>
    <mergeCell ref="AX68:AZ68"/>
    <mergeCell ref="DZ69:EE69"/>
    <mergeCell ref="G70:G71"/>
    <mergeCell ref="H70:I70"/>
    <mergeCell ref="AD68:AF68"/>
    <mergeCell ref="AG68:AI68"/>
    <mergeCell ref="AN68:AP68"/>
    <mergeCell ref="AQ68:AS68"/>
    <mergeCell ref="J70:K70"/>
    <mergeCell ref="L70:M70"/>
    <mergeCell ref="ED70:EE70"/>
    <mergeCell ref="J71:K71"/>
    <mergeCell ref="L71:M71"/>
    <mergeCell ref="N71:O71"/>
    <mergeCell ref="T71:U71"/>
    <mergeCell ref="AN69:AS69"/>
    <mergeCell ref="AX69:BC69"/>
    <mergeCell ref="AP70:AQ70"/>
    <mergeCell ref="AR70:AS70"/>
    <mergeCell ref="AX70:AY70"/>
    <mergeCell ref="G62:G63"/>
    <mergeCell ref="BB70:BC70"/>
    <mergeCell ref="DP69:DU69"/>
    <mergeCell ref="AD71:AE71"/>
    <mergeCell ref="AF71:AG71"/>
    <mergeCell ref="AH71:AI71"/>
    <mergeCell ref="AN71:AO71"/>
    <mergeCell ref="AP71:AQ71"/>
    <mergeCell ref="AR71:AS71"/>
    <mergeCell ref="BA68:BC68"/>
    <mergeCell ref="V71:W71"/>
    <mergeCell ref="AD69:AI69"/>
    <mergeCell ref="BH68:BJ68"/>
    <mergeCell ref="BK68:BM68"/>
    <mergeCell ref="BH69:BM69"/>
    <mergeCell ref="T69:Y69"/>
    <mergeCell ref="W68:Y68"/>
    <mergeCell ref="T80:U80"/>
    <mergeCell ref="V80:W80"/>
    <mergeCell ref="X80:Y80"/>
    <mergeCell ref="AD80:AE80"/>
    <mergeCell ref="AX79:BC79"/>
    <mergeCell ref="DZ71:EA71"/>
    <mergeCell ref="EB71:EC71"/>
    <mergeCell ref="DP70:DQ70"/>
    <mergeCell ref="DR70:DS70"/>
    <mergeCell ref="AH70:AI70"/>
    <mergeCell ref="AN70:AO70"/>
    <mergeCell ref="BB71:BC71"/>
    <mergeCell ref="DZ79:EE79"/>
    <mergeCell ref="ED80:EE80"/>
    <mergeCell ref="DZ78:EE78"/>
    <mergeCell ref="T70:U70"/>
    <mergeCell ref="V70:W70"/>
    <mergeCell ref="X70:Y70"/>
    <mergeCell ref="AD70:AE70"/>
    <mergeCell ref="AF70:AG70"/>
    <mergeCell ref="AZ70:BA70"/>
    <mergeCell ref="X71:Y71"/>
    <mergeCell ref="BH70:BI70"/>
    <mergeCell ref="BH71:BI71"/>
    <mergeCell ref="BB81:BC81"/>
    <mergeCell ref="AF80:AG80"/>
    <mergeCell ref="X81:Y81"/>
    <mergeCell ref="AN81:AO81"/>
    <mergeCell ref="AP81:AQ81"/>
    <mergeCell ref="ED71:EE71"/>
    <mergeCell ref="AX71:AY71"/>
    <mergeCell ref="AZ71:BA71"/>
    <mergeCell ref="B77:B90"/>
    <mergeCell ref="BI77:BI90"/>
    <mergeCell ref="D78:D81"/>
    <mergeCell ref="J78:L78"/>
    <mergeCell ref="M78:O78"/>
    <mergeCell ref="T78:V78"/>
    <mergeCell ref="W78:Y78"/>
    <mergeCell ref="AD78:AF78"/>
    <mergeCell ref="AG78:AI78"/>
    <mergeCell ref="AN78:AP78"/>
    <mergeCell ref="E79:E80"/>
    <mergeCell ref="F79:F80"/>
    <mergeCell ref="J79:O79"/>
    <mergeCell ref="T79:Y79"/>
    <mergeCell ref="AD79:AI79"/>
    <mergeCell ref="AN79:AS79"/>
    <mergeCell ref="D86:D89"/>
    <mergeCell ref="J86:L86"/>
    <mergeCell ref="M86:O86"/>
    <mergeCell ref="T86:V86"/>
    <mergeCell ref="W86:Y86"/>
    <mergeCell ref="AD86:AF86"/>
    <mergeCell ref="AG86:AI86"/>
    <mergeCell ref="BV81:BW81"/>
    <mergeCell ref="DP81:DQ81"/>
    <mergeCell ref="AR81:AS81"/>
    <mergeCell ref="AX81:AY81"/>
    <mergeCell ref="AZ81:BA81"/>
    <mergeCell ref="V81:W81"/>
    <mergeCell ref="T81:U81"/>
    <mergeCell ref="AD81:AE81"/>
    <mergeCell ref="AF81:AG81"/>
    <mergeCell ref="AH81:AI81"/>
    <mergeCell ref="BR81:BS81"/>
    <mergeCell ref="BT81:BU81"/>
    <mergeCell ref="BJ78:BJ81"/>
    <mergeCell ref="AQ78:AS78"/>
    <mergeCell ref="AX78:AZ78"/>
    <mergeCell ref="BA78:BC78"/>
    <mergeCell ref="BR78:BW78"/>
    <mergeCell ref="AD87:AI87"/>
    <mergeCell ref="AN87:AS87"/>
    <mergeCell ref="AN86:AP86"/>
    <mergeCell ref="AQ86:AS86"/>
    <mergeCell ref="AF88:AG88"/>
    <mergeCell ref="AH88:AI88"/>
    <mergeCell ref="AN88:AO88"/>
    <mergeCell ref="AP88:AQ88"/>
    <mergeCell ref="DZ80:EA80"/>
    <mergeCell ref="BU84:BU89"/>
    <mergeCell ref="BL85:BL89"/>
    <mergeCell ref="DR81:DS81"/>
    <mergeCell ref="DT81:DU81"/>
    <mergeCell ref="DZ81:EA81"/>
    <mergeCell ref="AZ80:BA80"/>
    <mergeCell ref="BB80:BC80"/>
    <mergeCell ref="AP80:AQ80"/>
    <mergeCell ref="AR80:AS80"/>
    <mergeCell ref="BR80:BS80"/>
    <mergeCell ref="BT80:BU80"/>
    <mergeCell ref="BV80:BW80"/>
    <mergeCell ref="AH80:AI80"/>
    <mergeCell ref="AN80:AO80"/>
    <mergeCell ref="AX80:AY80"/>
    <mergeCell ref="G80:G81"/>
    <mergeCell ref="H80:I80"/>
    <mergeCell ref="J80:K80"/>
    <mergeCell ref="L80:M80"/>
    <mergeCell ref="N80:O80"/>
    <mergeCell ref="J81:K81"/>
    <mergeCell ref="L81:M81"/>
    <mergeCell ref="N81:O81"/>
    <mergeCell ref="E87:E88"/>
    <mergeCell ref="F87:F88"/>
    <mergeCell ref="J87:O87"/>
    <mergeCell ref="AX86:AZ86"/>
    <mergeCell ref="AX87:BC87"/>
    <mergeCell ref="AR88:AS88"/>
    <mergeCell ref="AX88:AY88"/>
    <mergeCell ref="AZ88:BA88"/>
    <mergeCell ref="G88:G89"/>
    <mergeCell ref="H88:I88"/>
    <mergeCell ref="J88:K88"/>
    <mergeCell ref="L88:M88"/>
    <mergeCell ref="N88:O88"/>
    <mergeCell ref="T88:U88"/>
    <mergeCell ref="V88:W88"/>
    <mergeCell ref="J89:K89"/>
    <mergeCell ref="L89:M89"/>
    <mergeCell ref="N89:O89"/>
    <mergeCell ref="T89:U89"/>
    <mergeCell ref="V89:W89"/>
    <mergeCell ref="X89:Y89"/>
    <mergeCell ref="AD89:AE89"/>
    <mergeCell ref="AF89:AG89"/>
    <mergeCell ref="AH89:AI89"/>
    <mergeCell ref="X88:Y88"/>
    <mergeCell ref="AD88:AE88"/>
    <mergeCell ref="T87:Y87"/>
    <mergeCell ref="AN89:AO89"/>
    <mergeCell ref="AP89:AQ89"/>
    <mergeCell ref="AR89:AS89"/>
    <mergeCell ref="AX89:AY89"/>
    <mergeCell ref="AZ89:BA89"/>
    <mergeCell ref="BB89:BC89"/>
    <mergeCell ref="DZ87:EE87"/>
    <mergeCell ref="DP88:DQ88"/>
    <mergeCell ref="DR88:DS88"/>
    <mergeCell ref="DT88:DU88"/>
    <mergeCell ref="DZ88:EA88"/>
    <mergeCell ref="EB88:EC88"/>
    <mergeCell ref="BS86:BS89"/>
    <mergeCell ref="BA86:BC86"/>
    <mergeCell ref="BJ86:BJ89"/>
    <mergeCell ref="BN86:BQ89"/>
    <mergeCell ref="BB88:BC88"/>
    <mergeCell ref="DZ89:EA89"/>
    <mergeCell ref="EB89:EC89"/>
    <mergeCell ref="BW86:BW89"/>
    <mergeCell ref="DP86:DU86"/>
    <mergeCell ref="DZ86:EE86"/>
    <mergeCell ref="ED88:EE88"/>
    <mergeCell ref="ED89:EE89"/>
    <mergeCell ref="DP60:DU60"/>
    <mergeCell ref="DR80:DS80"/>
    <mergeCell ref="DT80:DU80"/>
    <mergeCell ref="DP78:DU78"/>
    <mergeCell ref="DP89:DQ89"/>
    <mergeCell ref="DR89:DS89"/>
    <mergeCell ref="DT89:DU89"/>
    <mergeCell ref="DP87:DU87"/>
    <mergeCell ref="DP71:DQ71"/>
    <mergeCell ref="DR71:DS71"/>
    <mergeCell ref="DT71:DU71"/>
    <mergeCell ref="DR63:DS63"/>
    <mergeCell ref="DT63:DU63"/>
    <mergeCell ref="DP80:DQ80"/>
    <mergeCell ref="BJ84:BJ85"/>
    <mergeCell ref="BS84:BS85"/>
    <mergeCell ref="BW84:BW85"/>
    <mergeCell ref="BR79:BW79"/>
    <mergeCell ref="DP79:DU79"/>
    <mergeCell ref="DT70:DU70"/>
    <mergeCell ref="EB80:EC80"/>
    <mergeCell ref="ED81:EE81"/>
    <mergeCell ref="EB81:EC81"/>
    <mergeCell ref="BJ70:BK70"/>
    <mergeCell ref="BL70:BM70"/>
    <mergeCell ref="BJ71:BK71"/>
    <mergeCell ref="BL71:BM71"/>
    <mergeCell ref="BR9:BS9"/>
    <mergeCell ref="BT9:BU9"/>
    <mergeCell ref="BV9:BW9"/>
    <mergeCell ref="BH60:BJ60"/>
    <mergeCell ref="BK60:BM60"/>
    <mergeCell ref="BH61:BM61"/>
    <mergeCell ref="BH62:BI62"/>
    <mergeCell ref="BJ62:BK62"/>
    <mergeCell ref="BL62:BM62"/>
    <mergeCell ref="BK42:BM42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2:EE109"/>
  <sheetViews>
    <sheetView tabSelected="1" zoomScale="80" zoomScaleNormal="80" workbookViewId="0">
      <selection activeCell="J29" sqref="J29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58" t="s">
        <v>247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8"/>
      <c r="AW2" s="158"/>
      <c r="AX2" s="158"/>
      <c r="AY2" s="158"/>
      <c r="AZ2" s="158"/>
      <c r="BA2" s="158"/>
      <c r="BB2" s="158"/>
      <c r="BC2" s="158"/>
      <c r="BD2" s="158"/>
      <c r="BE2" s="158"/>
      <c r="BF2" s="158"/>
      <c r="BG2" s="158"/>
      <c r="BH2" s="158"/>
      <c r="BI2" s="158"/>
      <c r="BJ2" s="158"/>
      <c r="BK2" s="158"/>
      <c r="BL2" s="158"/>
      <c r="BM2" s="158"/>
      <c r="BN2" s="158"/>
      <c r="BO2" s="158"/>
      <c r="BP2" s="158"/>
      <c r="BQ2" s="158"/>
      <c r="BR2" s="158"/>
      <c r="BS2" s="158"/>
      <c r="BT2" s="158"/>
      <c r="BU2" s="158"/>
      <c r="BV2" s="158"/>
      <c r="BW2" s="158"/>
      <c r="BX2" s="158"/>
      <c r="BY2" s="158"/>
      <c r="BZ2" s="158"/>
      <c r="CA2" s="158"/>
    </row>
    <row r="5" spans="2:135" ht="10.050000000000001" customHeight="1" thickBot="1" x14ac:dyDescent="0.35">
      <c r="B5" s="118" t="s">
        <v>0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114</v>
      </c>
      <c r="K6" s="25"/>
      <c r="L6" s="26"/>
      <c r="M6" s="38">
        <v>111</v>
      </c>
      <c r="N6" s="39"/>
      <c r="O6" s="40"/>
      <c r="P6" s="4"/>
      <c r="Q6" s="4"/>
      <c r="R6" s="4"/>
      <c r="S6" s="4"/>
      <c r="T6" s="24" t="s">
        <v>162</v>
      </c>
      <c r="U6" s="25"/>
      <c r="V6" s="26"/>
      <c r="W6" s="27" t="s">
        <v>169</v>
      </c>
      <c r="X6" s="28"/>
      <c r="Y6" s="29"/>
      <c r="Z6" s="4"/>
      <c r="AA6" s="4"/>
      <c r="AB6" s="4"/>
      <c r="AC6" s="4"/>
      <c r="AD6" s="24" t="s">
        <v>90</v>
      </c>
      <c r="AE6" s="25"/>
      <c r="AF6" s="26"/>
      <c r="AG6" s="27" t="s">
        <v>116</v>
      </c>
      <c r="AH6" s="28"/>
      <c r="AI6" s="29"/>
      <c r="AJ6" s="4"/>
      <c r="AK6" s="4"/>
      <c r="AL6" s="4"/>
      <c r="AM6" s="4"/>
      <c r="AN6" s="24" t="s">
        <v>19</v>
      </c>
      <c r="AO6" s="25"/>
      <c r="AP6" s="26"/>
      <c r="AQ6" s="27" t="s">
        <v>33</v>
      </c>
      <c r="AR6" s="28"/>
      <c r="AS6" s="29"/>
      <c r="AT6" s="4"/>
      <c r="AU6" s="4"/>
      <c r="AV6" s="4"/>
      <c r="AW6" s="4"/>
      <c r="AX6" s="24" t="s">
        <v>119</v>
      </c>
      <c r="AY6" s="25"/>
      <c r="AZ6" s="26"/>
      <c r="BA6" s="38" t="s">
        <v>109</v>
      </c>
      <c r="BB6" s="39"/>
      <c r="BC6" s="40"/>
      <c r="BD6" s="4"/>
      <c r="BE6" s="4"/>
      <c r="BF6" s="4"/>
      <c r="BG6" s="4"/>
      <c r="BH6" s="24" t="s">
        <v>114</v>
      </c>
      <c r="BI6" s="25"/>
      <c r="BJ6" s="26"/>
      <c r="BK6" s="38">
        <v>123</v>
      </c>
      <c r="BL6" s="39"/>
      <c r="BM6" s="40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SUM(N8,X8,AH8,AR8,BB8,BL8)</f>
        <v>855</v>
      </c>
      <c r="H7" s="2"/>
      <c r="I7" s="2"/>
      <c r="J7" s="30" t="s">
        <v>161</v>
      </c>
      <c r="K7" s="31"/>
      <c r="L7" s="31"/>
      <c r="M7" s="31"/>
      <c r="N7" s="32"/>
      <c r="O7" s="33"/>
      <c r="P7" s="4"/>
      <c r="Q7" s="4"/>
      <c r="R7" s="4"/>
      <c r="S7" s="4"/>
      <c r="T7" s="30" t="s">
        <v>163</v>
      </c>
      <c r="U7" s="31"/>
      <c r="V7" s="31"/>
      <c r="W7" s="31"/>
      <c r="X7" s="32"/>
      <c r="Y7" s="33"/>
      <c r="Z7" s="4"/>
      <c r="AA7" s="4"/>
      <c r="AB7" s="4"/>
      <c r="AC7" s="4"/>
      <c r="AD7" s="30" t="s">
        <v>118</v>
      </c>
      <c r="AE7" s="31"/>
      <c r="AF7" s="31"/>
      <c r="AG7" s="31"/>
      <c r="AH7" s="32"/>
      <c r="AI7" s="33"/>
      <c r="AJ7" s="4"/>
      <c r="AK7" s="4"/>
      <c r="AL7" s="4"/>
      <c r="AM7" s="4"/>
      <c r="AN7" s="53" t="s">
        <v>32</v>
      </c>
      <c r="AO7" s="54"/>
      <c r="AP7" s="54"/>
      <c r="AQ7" s="54"/>
      <c r="AR7" s="55"/>
      <c r="AS7" s="56"/>
      <c r="AT7" s="4"/>
      <c r="AU7" s="4"/>
      <c r="AV7" s="4"/>
      <c r="AW7" s="4"/>
      <c r="AX7" s="114" t="s">
        <v>120</v>
      </c>
      <c r="AY7" s="115"/>
      <c r="AZ7" s="115"/>
      <c r="BA7" s="115"/>
      <c r="BB7" s="116"/>
      <c r="BC7" s="117"/>
      <c r="BD7" s="4"/>
      <c r="BE7" s="4"/>
      <c r="BF7" s="4"/>
      <c r="BG7" s="4"/>
      <c r="BH7" s="30" t="s">
        <v>23</v>
      </c>
      <c r="BI7" s="31"/>
      <c r="BJ7" s="31"/>
      <c r="BK7" s="31"/>
      <c r="BL7" s="32"/>
      <c r="BM7" s="33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34">
        <v>3</v>
      </c>
      <c r="K8" s="35"/>
      <c r="L8" s="36">
        <v>4</v>
      </c>
      <c r="M8" s="35"/>
      <c r="N8" s="36">
        <v>150</v>
      </c>
      <c r="O8" s="37"/>
      <c r="P8" s="4"/>
      <c r="Q8" s="4"/>
      <c r="R8" s="4"/>
      <c r="S8" s="4"/>
      <c r="T8" s="34">
        <v>3</v>
      </c>
      <c r="U8" s="35"/>
      <c r="V8" s="36">
        <v>5</v>
      </c>
      <c r="W8" s="35"/>
      <c r="X8" s="36">
        <v>135</v>
      </c>
      <c r="Y8" s="37"/>
      <c r="Z8" s="4"/>
      <c r="AA8" s="4"/>
      <c r="AB8" s="4"/>
      <c r="AC8" s="4"/>
      <c r="AD8" s="34">
        <v>3</v>
      </c>
      <c r="AE8" s="35"/>
      <c r="AF8" s="36">
        <v>4</v>
      </c>
      <c r="AG8" s="35"/>
      <c r="AH8" s="36">
        <v>150</v>
      </c>
      <c r="AI8" s="37"/>
      <c r="AJ8" s="4"/>
      <c r="AK8" s="4"/>
      <c r="AL8" s="4"/>
      <c r="AM8" s="4"/>
      <c r="AN8" s="57">
        <v>3</v>
      </c>
      <c r="AO8" s="58"/>
      <c r="AP8" s="59">
        <v>5</v>
      </c>
      <c r="AQ8" s="58"/>
      <c r="AR8" s="59">
        <v>180</v>
      </c>
      <c r="AS8" s="91"/>
      <c r="AT8" s="4"/>
      <c r="AU8" s="4"/>
      <c r="AV8" s="4"/>
      <c r="AW8" s="4"/>
      <c r="AX8" s="110">
        <v>2</v>
      </c>
      <c r="AY8" s="111"/>
      <c r="AZ8" s="108">
        <v>2</v>
      </c>
      <c r="BA8" s="111"/>
      <c r="BB8" s="108">
        <v>90</v>
      </c>
      <c r="BC8" s="109"/>
      <c r="BD8" s="4"/>
      <c r="BE8" s="4"/>
      <c r="BF8" s="4"/>
      <c r="BG8" s="4"/>
      <c r="BH8" s="34">
        <v>3</v>
      </c>
      <c r="BI8" s="35"/>
      <c r="BJ8" s="36">
        <v>4</v>
      </c>
      <c r="BK8" s="35"/>
      <c r="BL8" s="36">
        <v>150</v>
      </c>
      <c r="BM8" s="37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SUM(J8,T8,AD8,AN8,AX8,BH8)</f>
        <v>17</v>
      </c>
      <c r="F9" s="11">
        <f>SUM(J9:BM9)</f>
        <v>24</v>
      </c>
      <c r="G9" s="105"/>
      <c r="H9" s="2"/>
      <c r="I9" s="2"/>
      <c r="J9" s="20">
        <v>3</v>
      </c>
      <c r="K9" s="21"/>
      <c r="L9" s="22">
        <v>1</v>
      </c>
      <c r="M9" s="21"/>
      <c r="N9" s="22">
        <v>0</v>
      </c>
      <c r="O9" s="23"/>
      <c r="P9" s="4"/>
      <c r="Q9" s="4"/>
      <c r="R9" s="4"/>
      <c r="S9" s="4"/>
      <c r="T9" s="20">
        <v>2</v>
      </c>
      <c r="U9" s="21"/>
      <c r="V9" s="22">
        <v>3</v>
      </c>
      <c r="W9" s="21"/>
      <c r="X9" s="22">
        <v>0</v>
      </c>
      <c r="Y9" s="23"/>
      <c r="Z9" s="4"/>
      <c r="AA9" s="4"/>
      <c r="AB9" s="4"/>
      <c r="AC9" s="4"/>
      <c r="AD9" s="20">
        <v>2</v>
      </c>
      <c r="AE9" s="21"/>
      <c r="AF9" s="22">
        <v>0</v>
      </c>
      <c r="AG9" s="21"/>
      <c r="AH9" s="22">
        <v>2</v>
      </c>
      <c r="AI9" s="23"/>
      <c r="AJ9" s="4"/>
      <c r="AK9" s="4"/>
      <c r="AL9" s="4"/>
      <c r="AM9" s="4"/>
      <c r="AN9" s="92">
        <v>2</v>
      </c>
      <c r="AO9" s="93"/>
      <c r="AP9" s="70">
        <v>0</v>
      </c>
      <c r="AQ9" s="93"/>
      <c r="AR9" s="70">
        <v>3</v>
      </c>
      <c r="AS9" s="71"/>
      <c r="AT9" s="4"/>
      <c r="AU9" s="4"/>
      <c r="AV9" s="4"/>
      <c r="AW9" s="4"/>
      <c r="AX9" s="112">
        <v>2</v>
      </c>
      <c r="AY9" s="113"/>
      <c r="AZ9" s="106">
        <v>0</v>
      </c>
      <c r="BA9" s="113"/>
      <c r="BB9" s="106">
        <v>0</v>
      </c>
      <c r="BC9" s="107"/>
      <c r="BD9" s="4"/>
      <c r="BE9" s="4"/>
      <c r="BF9" s="4"/>
      <c r="BG9" s="4"/>
      <c r="BH9" s="20">
        <v>2</v>
      </c>
      <c r="BI9" s="21"/>
      <c r="BJ9" s="22">
        <v>0</v>
      </c>
      <c r="BK9" s="21"/>
      <c r="BL9" s="22">
        <v>2</v>
      </c>
      <c r="BM9" s="23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114</v>
      </c>
      <c r="K14" s="25"/>
      <c r="L14" s="26"/>
      <c r="M14" s="38">
        <v>112</v>
      </c>
      <c r="N14" s="39"/>
      <c r="O14" s="40"/>
      <c r="P14" s="4"/>
      <c r="Q14" s="4"/>
      <c r="R14" s="4"/>
      <c r="S14" s="4"/>
      <c r="T14" s="24" t="s">
        <v>114</v>
      </c>
      <c r="U14" s="25"/>
      <c r="V14" s="26"/>
      <c r="W14" s="38">
        <v>131</v>
      </c>
      <c r="X14" s="39"/>
      <c r="Y14" s="40"/>
      <c r="Z14" s="4"/>
      <c r="AA14" s="4"/>
      <c r="AB14" s="4"/>
      <c r="AC14" s="4"/>
      <c r="AD14" s="24" t="s">
        <v>19</v>
      </c>
      <c r="AE14" s="25"/>
      <c r="AF14" s="26"/>
      <c r="AG14" s="38">
        <v>315</v>
      </c>
      <c r="AH14" s="39"/>
      <c r="AI14" s="40"/>
      <c r="AJ14" s="4"/>
      <c r="AK14" s="4"/>
      <c r="AL14" s="4"/>
      <c r="AM14" s="4"/>
      <c r="AN14" s="24" t="s">
        <v>19</v>
      </c>
      <c r="AO14" s="25"/>
      <c r="AP14" s="26"/>
      <c r="AQ14" s="27" t="s">
        <v>35</v>
      </c>
      <c r="AR14" s="28"/>
      <c r="AS14" s="29"/>
      <c r="AT14" s="4"/>
      <c r="AU14" s="4"/>
      <c r="AV14" s="4"/>
      <c r="AW14" s="4"/>
      <c r="AX14" s="24" t="s">
        <v>122</v>
      </c>
      <c r="AY14" s="25"/>
      <c r="AZ14" s="26"/>
      <c r="BA14" s="38" t="s">
        <v>109</v>
      </c>
      <c r="BB14" s="39"/>
      <c r="BC14" s="40"/>
      <c r="BD14" s="4"/>
      <c r="BE14" s="4"/>
      <c r="BF14" s="4"/>
      <c r="BG14" s="4"/>
      <c r="BH14" s="24" t="s">
        <v>127</v>
      </c>
      <c r="BI14" s="25"/>
      <c r="BJ14" s="26"/>
      <c r="BK14" s="38" t="s">
        <v>110</v>
      </c>
      <c r="BL14" s="39"/>
      <c r="BM14" s="40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855</v>
      </c>
      <c r="H15" s="2"/>
      <c r="I15" s="2"/>
      <c r="J15" s="30" t="s">
        <v>126</v>
      </c>
      <c r="K15" s="31"/>
      <c r="L15" s="31"/>
      <c r="M15" s="31"/>
      <c r="N15" s="32"/>
      <c r="O15" s="33"/>
      <c r="P15" s="4"/>
      <c r="Q15" s="4"/>
      <c r="R15" s="4"/>
      <c r="S15" s="4"/>
      <c r="T15" s="30" t="s">
        <v>189</v>
      </c>
      <c r="U15" s="31"/>
      <c r="V15" s="31"/>
      <c r="W15" s="31"/>
      <c r="X15" s="32"/>
      <c r="Y15" s="33"/>
      <c r="Z15" s="4"/>
      <c r="AA15" s="4"/>
      <c r="AB15" s="4"/>
      <c r="AC15" s="4"/>
      <c r="AD15" s="30" t="s">
        <v>26</v>
      </c>
      <c r="AE15" s="31"/>
      <c r="AF15" s="31"/>
      <c r="AG15" s="31"/>
      <c r="AH15" s="32"/>
      <c r="AI15" s="33"/>
      <c r="AJ15" s="4"/>
      <c r="AK15" s="4"/>
      <c r="AL15" s="4"/>
      <c r="AM15" s="4"/>
      <c r="AN15" s="53" t="s">
        <v>34</v>
      </c>
      <c r="AO15" s="54"/>
      <c r="AP15" s="54"/>
      <c r="AQ15" s="54"/>
      <c r="AR15" s="55"/>
      <c r="AS15" s="56"/>
      <c r="AT15" s="4"/>
      <c r="AU15" s="4"/>
      <c r="AV15" s="4"/>
      <c r="AW15" s="4"/>
      <c r="AX15" s="114" t="s">
        <v>123</v>
      </c>
      <c r="AY15" s="115"/>
      <c r="AZ15" s="115"/>
      <c r="BA15" s="115"/>
      <c r="BB15" s="116"/>
      <c r="BC15" s="117"/>
      <c r="BD15" s="4"/>
      <c r="BE15" s="4"/>
      <c r="BF15" s="4"/>
      <c r="BG15" s="4"/>
      <c r="BH15" s="114" t="s">
        <v>128</v>
      </c>
      <c r="BI15" s="115"/>
      <c r="BJ15" s="115"/>
      <c r="BK15" s="115"/>
      <c r="BL15" s="116"/>
      <c r="BM15" s="117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34">
        <v>3</v>
      </c>
      <c r="K16" s="35"/>
      <c r="L16" s="36">
        <v>4</v>
      </c>
      <c r="M16" s="35"/>
      <c r="N16" s="36">
        <v>150</v>
      </c>
      <c r="O16" s="37"/>
      <c r="P16" s="4"/>
      <c r="Q16" s="4"/>
      <c r="R16" s="4"/>
      <c r="S16" s="4"/>
      <c r="T16" s="34">
        <v>3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3</v>
      </c>
      <c r="AE16" s="35"/>
      <c r="AF16" s="36">
        <v>4</v>
      </c>
      <c r="AG16" s="35"/>
      <c r="AH16" s="36">
        <v>150</v>
      </c>
      <c r="AI16" s="37"/>
      <c r="AJ16" s="4"/>
      <c r="AK16" s="4"/>
      <c r="AL16" s="4"/>
      <c r="AM16" s="4"/>
      <c r="AN16" s="57">
        <v>3</v>
      </c>
      <c r="AO16" s="58"/>
      <c r="AP16" s="59">
        <v>5</v>
      </c>
      <c r="AQ16" s="58"/>
      <c r="AR16" s="59">
        <v>180</v>
      </c>
      <c r="AS16" s="91"/>
      <c r="AT16" s="4"/>
      <c r="AU16" s="4"/>
      <c r="AV16" s="4"/>
      <c r="AW16" s="4"/>
      <c r="AX16" s="110">
        <v>2</v>
      </c>
      <c r="AY16" s="111"/>
      <c r="AZ16" s="108">
        <v>2</v>
      </c>
      <c r="BA16" s="111"/>
      <c r="BB16" s="108">
        <v>90</v>
      </c>
      <c r="BC16" s="109"/>
      <c r="BD16" s="4"/>
      <c r="BE16" s="4"/>
      <c r="BF16" s="4"/>
      <c r="BG16" s="4"/>
      <c r="BH16" s="110">
        <v>2</v>
      </c>
      <c r="BI16" s="111"/>
      <c r="BJ16" s="108">
        <v>2</v>
      </c>
      <c r="BK16" s="111"/>
      <c r="BL16" s="108">
        <v>90</v>
      </c>
      <c r="BM16" s="109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SUM(J16,T16,AD16,AN16,AX16,BH16)</f>
        <v>16</v>
      </c>
      <c r="F17" s="11">
        <f>SUM(J17:BW17)</f>
        <v>22</v>
      </c>
      <c r="G17" s="105"/>
      <c r="H17" s="2"/>
      <c r="I17" s="2"/>
      <c r="J17" s="20">
        <v>3</v>
      </c>
      <c r="K17" s="21"/>
      <c r="L17" s="22">
        <v>1</v>
      </c>
      <c r="M17" s="21"/>
      <c r="N17" s="22">
        <v>0</v>
      </c>
      <c r="O17" s="23"/>
      <c r="P17" s="4"/>
      <c r="Q17" s="4"/>
      <c r="R17" s="4"/>
      <c r="S17" s="4"/>
      <c r="T17" s="20">
        <v>2</v>
      </c>
      <c r="U17" s="21"/>
      <c r="V17" s="22">
        <v>2</v>
      </c>
      <c r="W17" s="21"/>
      <c r="X17" s="22">
        <v>1</v>
      </c>
      <c r="Y17" s="23"/>
      <c r="Z17" s="4"/>
      <c r="AA17" s="4"/>
      <c r="AB17" s="4"/>
      <c r="AC17" s="4"/>
      <c r="AD17" s="20">
        <v>2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92">
        <v>2</v>
      </c>
      <c r="AO17" s="93"/>
      <c r="AP17" s="70">
        <v>0</v>
      </c>
      <c r="AQ17" s="93"/>
      <c r="AR17" s="70">
        <v>3</v>
      </c>
      <c r="AS17" s="71"/>
      <c r="AT17" s="4"/>
      <c r="AU17" s="4"/>
      <c r="AV17" s="4"/>
      <c r="AW17" s="4"/>
      <c r="AX17" s="112">
        <v>2</v>
      </c>
      <c r="AY17" s="113"/>
      <c r="AZ17" s="106">
        <v>0</v>
      </c>
      <c r="BA17" s="113"/>
      <c r="BB17" s="106">
        <v>0</v>
      </c>
      <c r="BC17" s="107"/>
      <c r="BD17" s="4"/>
      <c r="BE17" s="4"/>
      <c r="BF17" s="4"/>
      <c r="BG17" s="4"/>
      <c r="BH17" s="112">
        <v>2</v>
      </c>
      <c r="BI17" s="113"/>
      <c r="BJ17" s="106">
        <v>0</v>
      </c>
      <c r="BK17" s="113"/>
      <c r="BL17" s="106">
        <v>0</v>
      </c>
      <c r="BM17" s="107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4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114</v>
      </c>
      <c r="K24" s="25"/>
      <c r="L24" s="26"/>
      <c r="M24" s="38">
        <v>212</v>
      </c>
      <c r="N24" s="39"/>
      <c r="O24" s="40"/>
      <c r="P24" s="4"/>
      <c r="Q24" s="4"/>
      <c r="R24" s="4"/>
      <c r="S24" s="4"/>
      <c r="T24" s="24" t="s">
        <v>19</v>
      </c>
      <c r="U24" s="25"/>
      <c r="V24" s="26"/>
      <c r="W24" s="38">
        <v>111</v>
      </c>
      <c r="X24" s="102"/>
      <c r="Y24" s="103"/>
      <c r="Z24" s="4"/>
      <c r="AA24" s="4"/>
      <c r="AB24" s="4"/>
      <c r="AC24" s="4"/>
      <c r="AD24" s="24" t="s">
        <v>19</v>
      </c>
      <c r="AE24" s="25"/>
      <c r="AF24" s="26"/>
      <c r="AG24" s="38">
        <v>113</v>
      </c>
      <c r="AH24" s="39"/>
      <c r="AI24" s="40"/>
      <c r="AJ24" s="4"/>
      <c r="AK24" s="4"/>
      <c r="AL24" s="4"/>
      <c r="AM24" s="4"/>
      <c r="AN24" s="24" t="s">
        <v>19</v>
      </c>
      <c r="AO24" s="25"/>
      <c r="AP24" s="26"/>
      <c r="AQ24" s="38">
        <v>131</v>
      </c>
      <c r="AR24" s="102"/>
      <c r="AS24" s="103"/>
      <c r="AT24" s="4"/>
      <c r="AU24" s="4"/>
      <c r="AV24" s="4"/>
      <c r="AW24" s="4"/>
      <c r="AX24" s="24" t="s">
        <v>129</v>
      </c>
      <c r="AY24" s="25"/>
      <c r="AZ24" s="26"/>
      <c r="BA24" s="38" t="s">
        <v>110</v>
      </c>
      <c r="BB24" s="39"/>
      <c r="BC24" s="40"/>
      <c r="BD24" s="4"/>
      <c r="BE24" s="4"/>
      <c r="BF24" s="4"/>
      <c r="BG24" s="4"/>
      <c r="BH24" s="24" t="s">
        <v>133</v>
      </c>
      <c r="BI24" s="25"/>
      <c r="BJ24" s="26"/>
      <c r="BK24" s="38" t="s">
        <v>110</v>
      </c>
      <c r="BL24" s="39"/>
      <c r="BM24" s="40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54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SUM(N26,X26,AH26,AR26,BB26,BL26)</f>
        <v>885</v>
      </c>
      <c r="H25" s="2"/>
      <c r="I25" s="2"/>
      <c r="J25" s="30" t="s">
        <v>182</v>
      </c>
      <c r="K25" s="31"/>
      <c r="L25" s="31"/>
      <c r="M25" s="31"/>
      <c r="N25" s="32"/>
      <c r="O25" s="33"/>
      <c r="P25" s="4"/>
      <c r="Q25" s="4"/>
      <c r="R25" s="4"/>
      <c r="S25" s="4"/>
      <c r="T25" s="53" t="s">
        <v>36</v>
      </c>
      <c r="U25" s="54"/>
      <c r="V25" s="54"/>
      <c r="W25" s="54"/>
      <c r="X25" s="55"/>
      <c r="Y25" s="56"/>
      <c r="Z25" s="4"/>
      <c r="AA25" s="4"/>
      <c r="AB25" s="4"/>
      <c r="AC25" s="4"/>
      <c r="AD25" s="53" t="s">
        <v>196</v>
      </c>
      <c r="AE25" s="54"/>
      <c r="AF25" s="54"/>
      <c r="AG25" s="54"/>
      <c r="AH25" s="55"/>
      <c r="AI25" s="56"/>
      <c r="AJ25" s="4"/>
      <c r="AK25" s="4"/>
      <c r="AL25" s="4"/>
      <c r="AM25" s="4"/>
      <c r="AN25" s="53" t="s">
        <v>197</v>
      </c>
      <c r="AO25" s="54"/>
      <c r="AP25" s="54"/>
      <c r="AQ25" s="54"/>
      <c r="AR25" s="55"/>
      <c r="AS25" s="56"/>
      <c r="AT25" s="4"/>
      <c r="AU25" s="4"/>
      <c r="AV25" s="4"/>
      <c r="AW25" s="4"/>
      <c r="AX25" s="114" t="s">
        <v>130</v>
      </c>
      <c r="AY25" s="115"/>
      <c r="AZ25" s="115"/>
      <c r="BA25" s="115"/>
      <c r="BB25" s="116"/>
      <c r="BC25" s="117"/>
      <c r="BD25" s="4"/>
      <c r="BE25" s="4"/>
      <c r="BF25" s="4"/>
      <c r="BG25" s="4"/>
      <c r="BH25" s="114" t="s">
        <v>132</v>
      </c>
      <c r="BI25" s="115"/>
      <c r="BJ25" s="115"/>
      <c r="BK25" s="115"/>
      <c r="BL25" s="116"/>
      <c r="BM25" s="117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34">
        <v>3</v>
      </c>
      <c r="K26" s="35"/>
      <c r="L26" s="36">
        <v>4</v>
      </c>
      <c r="M26" s="35"/>
      <c r="N26" s="36">
        <v>150</v>
      </c>
      <c r="O26" s="37"/>
      <c r="P26" s="4"/>
      <c r="Q26" s="4"/>
      <c r="R26" s="4"/>
      <c r="S26" s="4"/>
      <c r="T26" s="57">
        <v>3</v>
      </c>
      <c r="U26" s="58"/>
      <c r="V26" s="59">
        <v>5</v>
      </c>
      <c r="W26" s="58"/>
      <c r="X26" s="59">
        <v>180</v>
      </c>
      <c r="Y26" s="91"/>
      <c r="Z26" s="4"/>
      <c r="AA26" s="4"/>
      <c r="AB26" s="4"/>
      <c r="AC26" s="4"/>
      <c r="AD26" s="57">
        <v>3</v>
      </c>
      <c r="AE26" s="58"/>
      <c r="AF26" s="59">
        <v>6</v>
      </c>
      <c r="AG26" s="58"/>
      <c r="AH26" s="59">
        <v>180</v>
      </c>
      <c r="AI26" s="91"/>
      <c r="AJ26" s="4"/>
      <c r="AK26" s="4"/>
      <c r="AL26" s="4"/>
      <c r="AM26" s="4"/>
      <c r="AN26" s="57">
        <v>3</v>
      </c>
      <c r="AO26" s="58"/>
      <c r="AP26" s="59">
        <v>6</v>
      </c>
      <c r="AQ26" s="58"/>
      <c r="AR26" s="59">
        <v>195</v>
      </c>
      <c r="AS26" s="91"/>
      <c r="AT26" s="4"/>
      <c r="AU26" s="4"/>
      <c r="AV26" s="4"/>
      <c r="AW26" s="4"/>
      <c r="AX26" s="110">
        <v>2</v>
      </c>
      <c r="AY26" s="111"/>
      <c r="AZ26" s="108">
        <v>2</v>
      </c>
      <c r="BA26" s="111"/>
      <c r="BB26" s="108">
        <v>90</v>
      </c>
      <c r="BC26" s="109"/>
      <c r="BD26" s="4"/>
      <c r="BE26" s="4"/>
      <c r="BF26" s="4"/>
      <c r="BG26" s="4"/>
      <c r="BH26" s="110">
        <v>2</v>
      </c>
      <c r="BI26" s="111"/>
      <c r="BJ26" s="108">
        <v>2</v>
      </c>
      <c r="BK26" s="111"/>
      <c r="BL26" s="108">
        <v>90</v>
      </c>
      <c r="BM26" s="109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thickBot="1" x14ac:dyDescent="0.35">
      <c r="B27" s="118"/>
      <c r="C27" s="1"/>
      <c r="D27" s="119"/>
      <c r="E27" s="11">
        <f>SUM(J26,T26,AD26,AN26,AX26,BH26)</f>
        <v>16</v>
      </c>
      <c r="F27" s="11">
        <f>SUM(J27:BW27)</f>
        <v>25</v>
      </c>
      <c r="G27" s="105"/>
      <c r="H27" s="2"/>
      <c r="I27" s="2"/>
      <c r="J27" s="20">
        <v>2</v>
      </c>
      <c r="K27" s="21"/>
      <c r="L27" s="22">
        <v>0</v>
      </c>
      <c r="M27" s="21"/>
      <c r="N27" s="22">
        <v>2</v>
      </c>
      <c r="O27" s="23"/>
      <c r="P27" s="4"/>
      <c r="Q27" s="4"/>
      <c r="R27" s="4"/>
      <c r="S27" s="4"/>
      <c r="T27" s="92">
        <v>2</v>
      </c>
      <c r="U27" s="93"/>
      <c r="V27" s="70">
        <v>0</v>
      </c>
      <c r="W27" s="93"/>
      <c r="X27" s="70">
        <v>3</v>
      </c>
      <c r="Y27" s="71"/>
      <c r="Z27" s="4"/>
      <c r="AA27" s="4"/>
      <c r="AB27" s="4"/>
      <c r="AC27" s="4"/>
      <c r="AD27" s="92">
        <v>1</v>
      </c>
      <c r="AE27" s="93"/>
      <c r="AF27" s="70">
        <v>2</v>
      </c>
      <c r="AG27" s="93"/>
      <c r="AH27" s="70">
        <v>3</v>
      </c>
      <c r="AI27" s="71"/>
      <c r="AJ27" s="4"/>
      <c r="AK27" s="4"/>
      <c r="AL27" s="4"/>
      <c r="AM27" s="4"/>
      <c r="AN27" s="92">
        <v>2</v>
      </c>
      <c r="AO27" s="93"/>
      <c r="AP27" s="70">
        <v>2</v>
      </c>
      <c r="AQ27" s="93"/>
      <c r="AR27" s="70">
        <v>2</v>
      </c>
      <c r="AS27" s="71"/>
      <c r="AT27" s="4"/>
      <c r="AU27" s="4"/>
      <c r="AV27" s="4"/>
      <c r="AW27" s="4"/>
      <c r="AX27" s="112">
        <v>2</v>
      </c>
      <c r="AY27" s="113"/>
      <c r="AZ27" s="106">
        <v>0</v>
      </c>
      <c r="BA27" s="113"/>
      <c r="BB27" s="106">
        <v>0</v>
      </c>
      <c r="BC27" s="107"/>
      <c r="BD27" s="4"/>
      <c r="BE27" s="4"/>
      <c r="BF27" s="4"/>
      <c r="BG27" s="4"/>
      <c r="BH27" s="112">
        <v>2</v>
      </c>
      <c r="BI27" s="113"/>
      <c r="BJ27" s="106">
        <v>0</v>
      </c>
      <c r="BK27" s="113"/>
      <c r="BL27" s="106">
        <v>0</v>
      </c>
      <c r="BM27" s="107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114</v>
      </c>
      <c r="K32" s="25"/>
      <c r="L32" s="26"/>
      <c r="M32" s="38">
        <v>231</v>
      </c>
      <c r="N32" s="39"/>
      <c r="O32" s="40"/>
      <c r="P32" s="4"/>
      <c r="Q32" s="4"/>
      <c r="R32" s="4"/>
      <c r="S32" s="4"/>
      <c r="T32" s="24" t="s">
        <v>114</v>
      </c>
      <c r="U32" s="25"/>
      <c r="V32" s="26"/>
      <c r="W32" s="38">
        <v>312</v>
      </c>
      <c r="X32" s="39"/>
      <c r="Y32" s="40"/>
      <c r="Z32" s="4"/>
      <c r="AA32" s="4"/>
      <c r="AB32" s="4"/>
      <c r="AC32" s="4"/>
      <c r="AD32" s="24" t="s">
        <v>19</v>
      </c>
      <c r="AE32" s="25"/>
      <c r="AF32" s="26"/>
      <c r="AG32" s="38">
        <v>132</v>
      </c>
      <c r="AH32" s="39"/>
      <c r="AI32" s="40"/>
      <c r="AJ32" s="4"/>
      <c r="AK32" s="4"/>
      <c r="AL32" s="4"/>
      <c r="AM32" s="4"/>
      <c r="AN32" s="24" t="s">
        <v>48</v>
      </c>
      <c r="AO32" s="25"/>
      <c r="AP32" s="26"/>
      <c r="AQ32" s="38">
        <v>111</v>
      </c>
      <c r="AR32" s="39"/>
      <c r="AS32" s="40"/>
      <c r="AT32" s="4"/>
      <c r="AU32" s="4"/>
      <c r="AV32" s="4"/>
      <c r="AW32" s="4"/>
      <c r="AX32" s="24" t="s">
        <v>136</v>
      </c>
      <c r="AY32" s="25"/>
      <c r="AZ32" s="26"/>
      <c r="BA32" s="38" t="s">
        <v>110</v>
      </c>
      <c r="BB32" s="39"/>
      <c r="BC32" s="40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SUM(N34,X34,AH34,AR34,BB34)</f>
        <v>870</v>
      </c>
      <c r="H33" s="2"/>
      <c r="I33" s="2"/>
      <c r="J33" s="30" t="s">
        <v>199</v>
      </c>
      <c r="K33" s="31"/>
      <c r="L33" s="31"/>
      <c r="M33" s="31"/>
      <c r="N33" s="32"/>
      <c r="O33" s="33"/>
      <c r="P33" s="4"/>
      <c r="Q33" s="4"/>
      <c r="R33" s="4"/>
      <c r="S33" s="4"/>
      <c r="T33" s="30" t="s">
        <v>250</v>
      </c>
      <c r="U33" s="31"/>
      <c r="V33" s="31"/>
      <c r="W33" s="31"/>
      <c r="X33" s="32"/>
      <c r="Y33" s="33"/>
      <c r="Z33" s="4"/>
      <c r="AA33" s="4"/>
      <c r="AB33" s="4"/>
      <c r="AC33" s="4"/>
      <c r="AD33" s="53" t="s">
        <v>198</v>
      </c>
      <c r="AE33" s="54"/>
      <c r="AF33" s="54"/>
      <c r="AG33" s="54"/>
      <c r="AH33" s="55"/>
      <c r="AI33" s="56"/>
      <c r="AJ33" s="4"/>
      <c r="AK33" s="4"/>
      <c r="AL33" s="4"/>
      <c r="AM33" s="4"/>
      <c r="AN33" s="146" t="s">
        <v>47</v>
      </c>
      <c r="AO33" s="147"/>
      <c r="AP33" s="147"/>
      <c r="AQ33" s="147"/>
      <c r="AR33" s="148"/>
      <c r="AS33" s="149"/>
      <c r="AT33" s="4"/>
      <c r="AU33" s="4"/>
      <c r="AV33" s="4"/>
      <c r="AW33" s="4"/>
      <c r="AX33" s="154" t="s">
        <v>28</v>
      </c>
      <c r="AY33" s="155"/>
      <c r="AZ33" s="155"/>
      <c r="BA33" s="155"/>
      <c r="BB33" s="156"/>
      <c r="BC33" s="157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34">
        <v>3</v>
      </c>
      <c r="K34" s="35"/>
      <c r="L34" s="36">
        <v>5</v>
      </c>
      <c r="M34" s="35"/>
      <c r="N34" s="36">
        <v>195</v>
      </c>
      <c r="O34" s="37"/>
      <c r="P34" s="4"/>
      <c r="Q34" s="4"/>
      <c r="R34" s="4"/>
      <c r="S34" s="4"/>
      <c r="T34" s="34">
        <v>3</v>
      </c>
      <c r="U34" s="35"/>
      <c r="V34" s="36">
        <v>4</v>
      </c>
      <c r="W34" s="35"/>
      <c r="X34" s="36">
        <v>150</v>
      </c>
      <c r="Y34" s="37"/>
      <c r="Z34" s="4"/>
      <c r="AA34" s="4"/>
      <c r="AB34" s="4"/>
      <c r="AC34" s="4"/>
      <c r="AD34" s="57">
        <v>3</v>
      </c>
      <c r="AE34" s="58"/>
      <c r="AF34" s="59">
        <v>5</v>
      </c>
      <c r="AG34" s="58"/>
      <c r="AH34" s="59">
        <v>165</v>
      </c>
      <c r="AI34" s="91"/>
      <c r="AJ34" s="4"/>
      <c r="AK34" s="4"/>
      <c r="AL34" s="4"/>
      <c r="AM34" s="4"/>
      <c r="AN34" s="138">
        <v>3</v>
      </c>
      <c r="AO34" s="139"/>
      <c r="AP34" s="140">
        <v>5</v>
      </c>
      <c r="AQ34" s="139"/>
      <c r="AR34" s="140">
        <v>180</v>
      </c>
      <c r="AS34" s="141"/>
      <c r="AT34" s="4"/>
      <c r="AU34" s="4"/>
      <c r="AV34" s="4"/>
      <c r="AW34" s="4"/>
      <c r="AX34" s="79">
        <v>3</v>
      </c>
      <c r="AY34" s="80"/>
      <c r="AZ34" s="81">
        <v>5</v>
      </c>
      <c r="BA34" s="80"/>
      <c r="BB34" s="81">
        <v>180</v>
      </c>
      <c r="BC34" s="82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SUM(J34,T34,AD34,AN34,AX34)</f>
        <v>15</v>
      </c>
      <c r="F35" s="11">
        <f>SUM(J35:BM35)</f>
        <v>24</v>
      </c>
      <c r="G35" s="105"/>
      <c r="H35" s="2"/>
      <c r="I35" s="2"/>
      <c r="J35" s="20">
        <v>2</v>
      </c>
      <c r="K35" s="21"/>
      <c r="L35" s="22">
        <v>1</v>
      </c>
      <c r="M35" s="21"/>
      <c r="N35" s="22">
        <v>2</v>
      </c>
      <c r="O35" s="23"/>
      <c r="P35" s="4"/>
      <c r="Q35" s="4"/>
      <c r="R35" s="4"/>
      <c r="S35" s="4"/>
      <c r="T35" s="20">
        <v>2</v>
      </c>
      <c r="U35" s="21"/>
      <c r="V35" s="22">
        <v>2</v>
      </c>
      <c r="W35" s="21"/>
      <c r="X35" s="22">
        <v>0</v>
      </c>
      <c r="Y35" s="23"/>
      <c r="Z35" s="4"/>
      <c r="AA35" s="4"/>
      <c r="AB35" s="4"/>
      <c r="AC35" s="4"/>
      <c r="AD35" s="92">
        <v>2</v>
      </c>
      <c r="AE35" s="93"/>
      <c r="AF35" s="70">
        <v>1</v>
      </c>
      <c r="AG35" s="93"/>
      <c r="AH35" s="70">
        <v>2</v>
      </c>
      <c r="AI35" s="71"/>
      <c r="AJ35" s="4"/>
      <c r="AK35" s="4"/>
      <c r="AL35" s="4"/>
      <c r="AM35" s="4"/>
      <c r="AN35" s="142">
        <v>2</v>
      </c>
      <c r="AO35" s="143"/>
      <c r="AP35" s="144">
        <v>1</v>
      </c>
      <c r="AQ35" s="143"/>
      <c r="AR35" s="144">
        <v>2</v>
      </c>
      <c r="AS35" s="145"/>
      <c r="AT35" s="4"/>
      <c r="AU35" s="4"/>
      <c r="AV35" s="4"/>
      <c r="AW35" s="4"/>
      <c r="AX35" s="83">
        <v>2</v>
      </c>
      <c r="AY35" s="84"/>
      <c r="AZ35" s="85">
        <v>1</v>
      </c>
      <c r="BA35" s="84"/>
      <c r="BB35" s="85">
        <v>2</v>
      </c>
      <c r="BC35" s="86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3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137</v>
      </c>
      <c r="K42" s="25"/>
      <c r="L42" s="26"/>
      <c r="M42" s="38" t="s">
        <v>110</v>
      </c>
      <c r="N42" s="39"/>
      <c r="O42" s="40"/>
      <c r="P42" s="4"/>
      <c r="Q42" s="4"/>
      <c r="R42" s="4"/>
      <c r="S42" s="4"/>
      <c r="T42" s="24" t="s">
        <v>19</v>
      </c>
      <c r="U42" s="25"/>
      <c r="V42" s="26"/>
      <c r="W42" s="38">
        <v>221</v>
      </c>
      <c r="X42" s="102"/>
      <c r="Y42" s="103"/>
      <c r="Z42" s="4"/>
      <c r="AA42" s="4"/>
      <c r="AB42" s="4"/>
      <c r="AC42" s="4"/>
      <c r="AD42" s="24" t="s">
        <v>121</v>
      </c>
      <c r="AE42" s="25"/>
      <c r="AF42" s="26"/>
      <c r="AG42" s="38" t="s">
        <v>109</v>
      </c>
      <c r="AH42" s="39"/>
      <c r="AI42" s="40"/>
      <c r="AJ42" s="4"/>
      <c r="AK42" s="4"/>
      <c r="AL42" s="4"/>
      <c r="AM42" s="4"/>
      <c r="AN42" s="24" t="s">
        <v>19</v>
      </c>
      <c r="AO42" s="25"/>
      <c r="AP42" s="26"/>
      <c r="AQ42" s="38">
        <v>233</v>
      </c>
      <c r="AR42" s="39"/>
      <c r="AS42" s="40"/>
      <c r="AT42" s="4"/>
      <c r="AU42" s="4"/>
      <c r="AV42" s="4"/>
      <c r="AW42" s="4"/>
      <c r="AX42" s="24" t="s">
        <v>48</v>
      </c>
      <c r="AY42" s="25"/>
      <c r="AZ42" s="26"/>
      <c r="BA42" s="38">
        <v>121</v>
      </c>
      <c r="BB42" s="39"/>
      <c r="BC42" s="40"/>
      <c r="BD42" s="4"/>
      <c r="BE42" s="4"/>
      <c r="BF42" s="4"/>
      <c r="BG42" s="4"/>
      <c r="BH42" s="24" t="s">
        <v>19</v>
      </c>
      <c r="BI42" s="25"/>
      <c r="BJ42" s="26"/>
      <c r="BK42" s="38">
        <v>291</v>
      </c>
      <c r="BL42" s="102"/>
      <c r="BM42" s="103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855</v>
      </c>
      <c r="H43" s="2"/>
      <c r="I43" s="2"/>
      <c r="J43" s="154" t="s">
        <v>29</v>
      </c>
      <c r="K43" s="155"/>
      <c r="L43" s="155"/>
      <c r="M43" s="155"/>
      <c r="N43" s="156"/>
      <c r="O43" s="157"/>
      <c r="P43" s="4"/>
      <c r="Q43" s="4"/>
      <c r="R43" s="4"/>
      <c r="S43" s="4"/>
      <c r="T43" s="53" t="s">
        <v>43</v>
      </c>
      <c r="U43" s="54"/>
      <c r="V43" s="54"/>
      <c r="W43" s="54"/>
      <c r="X43" s="55"/>
      <c r="Y43" s="56"/>
      <c r="Z43" s="4"/>
      <c r="AA43" s="4"/>
      <c r="AB43" s="4"/>
      <c r="AC43" s="4"/>
      <c r="AD43" s="114" t="s">
        <v>21</v>
      </c>
      <c r="AE43" s="115"/>
      <c r="AF43" s="115"/>
      <c r="AG43" s="115"/>
      <c r="AH43" s="116"/>
      <c r="AI43" s="117"/>
      <c r="AJ43" s="4"/>
      <c r="AK43" s="4"/>
      <c r="AL43" s="4"/>
      <c r="AM43" s="4"/>
      <c r="AN43" s="53" t="s">
        <v>40</v>
      </c>
      <c r="AO43" s="54"/>
      <c r="AP43" s="54"/>
      <c r="AQ43" s="54"/>
      <c r="AR43" s="55"/>
      <c r="AS43" s="56"/>
      <c r="AT43" s="4"/>
      <c r="AU43" s="4"/>
      <c r="AV43" s="4"/>
      <c r="AW43" s="4"/>
      <c r="AX43" s="146" t="s">
        <v>49</v>
      </c>
      <c r="AY43" s="147"/>
      <c r="AZ43" s="147"/>
      <c r="BA43" s="147"/>
      <c r="BB43" s="148"/>
      <c r="BC43" s="149"/>
      <c r="BD43" s="4"/>
      <c r="BE43" s="4"/>
      <c r="BF43" s="4"/>
      <c r="BG43" s="4"/>
      <c r="BH43" s="41" t="s">
        <v>248</v>
      </c>
      <c r="BI43" s="42"/>
      <c r="BJ43" s="42"/>
      <c r="BK43" s="42"/>
      <c r="BL43" s="43"/>
      <c r="BM43" s="4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79">
        <v>3</v>
      </c>
      <c r="K44" s="80"/>
      <c r="L44" s="81">
        <v>5</v>
      </c>
      <c r="M44" s="80"/>
      <c r="N44" s="81">
        <v>180</v>
      </c>
      <c r="O44" s="82"/>
      <c r="P44" s="4"/>
      <c r="Q44" s="4"/>
      <c r="R44" s="4"/>
      <c r="S44" s="4"/>
      <c r="T44" s="57">
        <v>3</v>
      </c>
      <c r="U44" s="58"/>
      <c r="V44" s="59">
        <v>5</v>
      </c>
      <c r="W44" s="58"/>
      <c r="X44" s="59">
        <v>180</v>
      </c>
      <c r="Y44" s="91"/>
      <c r="Z44" s="4"/>
      <c r="AA44" s="4"/>
      <c r="AB44" s="4"/>
      <c r="AC44" s="4"/>
      <c r="AD44" s="110">
        <v>2</v>
      </c>
      <c r="AE44" s="111"/>
      <c r="AF44" s="108">
        <v>2</v>
      </c>
      <c r="AG44" s="111"/>
      <c r="AH44" s="108">
        <v>90</v>
      </c>
      <c r="AI44" s="109"/>
      <c r="AJ44" s="4"/>
      <c r="AK44" s="4"/>
      <c r="AL44" s="4"/>
      <c r="AM44" s="4"/>
      <c r="AN44" s="57">
        <v>3</v>
      </c>
      <c r="AO44" s="58"/>
      <c r="AP44" s="59">
        <v>5</v>
      </c>
      <c r="AQ44" s="58"/>
      <c r="AR44" s="59">
        <v>165</v>
      </c>
      <c r="AS44" s="91"/>
      <c r="AT44" s="4"/>
      <c r="AU44" s="4"/>
      <c r="AV44" s="4"/>
      <c r="AW44" s="4"/>
      <c r="AX44" s="138">
        <v>3</v>
      </c>
      <c r="AY44" s="139"/>
      <c r="AZ44" s="140">
        <v>5</v>
      </c>
      <c r="BA44" s="139"/>
      <c r="BB44" s="140">
        <v>180</v>
      </c>
      <c r="BC44" s="141"/>
      <c r="BD44" s="4"/>
      <c r="BE44" s="4"/>
      <c r="BF44" s="4"/>
      <c r="BG44" s="4"/>
      <c r="BH44" s="45">
        <v>2</v>
      </c>
      <c r="BI44" s="46"/>
      <c r="BJ44" s="47">
        <v>2</v>
      </c>
      <c r="BK44" s="46"/>
      <c r="BL44" s="47">
        <v>60</v>
      </c>
      <c r="BM44" s="48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16</v>
      </c>
      <c r="F45" s="11">
        <f>SUM(J45:BM45)</f>
        <v>24</v>
      </c>
      <c r="G45" s="105"/>
      <c r="H45" s="2"/>
      <c r="I45" s="2"/>
      <c r="J45" s="83">
        <v>2</v>
      </c>
      <c r="K45" s="84"/>
      <c r="L45" s="85">
        <v>2</v>
      </c>
      <c r="M45" s="84"/>
      <c r="N45" s="85">
        <v>1</v>
      </c>
      <c r="O45" s="86"/>
      <c r="P45" s="4"/>
      <c r="Q45" s="4"/>
      <c r="R45" s="4"/>
      <c r="S45" s="4"/>
      <c r="T45" s="92">
        <v>2</v>
      </c>
      <c r="U45" s="93"/>
      <c r="V45" s="70">
        <v>1</v>
      </c>
      <c r="W45" s="93"/>
      <c r="X45" s="70">
        <v>2</v>
      </c>
      <c r="Y45" s="71"/>
      <c r="Z45" s="4"/>
      <c r="AA45" s="4"/>
      <c r="AB45" s="4"/>
      <c r="AC45" s="4"/>
      <c r="AD45" s="112">
        <v>2</v>
      </c>
      <c r="AE45" s="113"/>
      <c r="AF45" s="106">
        <v>0</v>
      </c>
      <c r="AG45" s="113"/>
      <c r="AH45" s="106">
        <v>0</v>
      </c>
      <c r="AI45" s="107"/>
      <c r="AJ45" s="4"/>
      <c r="AK45" s="4"/>
      <c r="AL45" s="4"/>
      <c r="AM45" s="4"/>
      <c r="AN45" s="92">
        <v>2</v>
      </c>
      <c r="AO45" s="93"/>
      <c r="AP45" s="70">
        <v>1</v>
      </c>
      <c r="AQ45" s="93"/>
      <c r="AR45" s="70">
        <v>2</v>
      </c>
      <c r="AS45" s="71"/>
      <c r="AT45" s="4"/>
      <c r="AU45" s="4"/>
      <c r="AV45" s="4"/>
      <c r="AW45" s="4"/>
      <c r="AX45" s="142">
        <v>2</v>
      </c>
      <c r="AY45" s="143"/>
      <c r="AZ45" s="144">
        <v>1</v>
      </c>
      <c r="BA45" s="143"/>
      <c r="BB45" s="144">
        <v>2</v>
      </c>
      <c r="BC45" s="145"/>
      <c r="BD45" s="4"/>
      <c r="BE45" s="4"/>
      <c r="BF45" s="4"/>
      <c r="BG45" s="4"/>
      <c r="BH45" s="49">
        <v>2</v>
      </c>
      <c r="BI45" s="50"/>
      <c r="BJ45" s="51">
        <v>0</v>
      </c>
      <c r="BK45" s="50"/>
      <c r="BL45" s="51">
        <v>0</v>
      </c>
      <c r="BM45" s="52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19</v>
      </c>
      <c r="K50" s="25"/>
      <c r="L50" s="26"/>
      <c r="M50" s="38">
        <v>211</v>
      </c>
      <c r="N50" s="39"/>
      <c r="O50" s="40"/>
      <c r="P50" s="4"/>
      <c r="Q50" s="4"/>
      <c r="R50" s="4"/>
      <c r="S50" s="4"/>
      <c r="T50" s="24" t="s">
        <v>19</v>
      </c>
      <c r="U50" s="25"/>
      <c r="V50" s="26"/>
      <c r="W50" s="38">
        <v>251</v>
      </c>
      <c r="X50" s="102"/>
      <c r="Y50" s="103"/>
      <c r="Z50" s="4"/>
      <c r="AA50" s="4"/>
      <c r="AB50" s="4"/>
      <c r="AC50" s="4"/>
      <c r="AD50" s="24" t="s">
        <v>19</v>
      </c>
      <c r="AE50" s="25"/>
      <c r="AF50" s="26"/>
      <c r="AG50" s="38">
        <v>261</v>
      </c>
      <c r="AH50" s="102"/>
      <c r="AI50" s="103"/>
      <c r="AJ50" s="4"/>
      <c r="AK50" s="4"/>
      <c r="AL50" s="4"/>
      <c r="AM50" s="4"/>
      <c r="AN50" s="24" t="s">
        <v>19</v>
      </c>
      <c r="AO50" s="25"/>
      <c r="AP50" s="26"/>
      <c r="AQ50" s="38">
        <v>112</v>
      </c>
      <c r="AR50" s="102"/>
      <c r="AS50" s="103"/>
      <c r="AT50" s="4"/>
      <c r="AU50" s="4"/>
      <c r="AV50" s="4"/>
      <c r="AW50" s="4"/>
      <c r="AX50" s="24" t="s">
        <v>19</v>
      </c>
      <c r="AY50" s="25"/>
      <c r="AZ50" s="26"/>
      <c r="BA50" s="38">
        <v>234</v>
      </c>
      <c r="BB50" s="102"/>
      <c r="BC50" s="103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SUM(N52,X52,AH52,AR52,BB52)</f>
        <v>885</v>
      </c>
      <c r="H51" s="2"/>
      <c r="I51" s="2"/>
      <c r="J51" s="53" t="s">
        <v>201</v>
      </c>
      <c r="K51" s="54"/>
      <c r="L51" s="54"/>
      <c r="M51" s="54"/>
      <c r="N51" s="55"/>
      <c r="O51" s="56"/>
      <c r="P51" s="4"/>
      <c r="Q51" s="4"/>
      <c r="R51" s="4"/>
      <c r="S51" s="4"/>
      <c r="T51" s="53" t="s">
        <v>67</v>
      </c>
      <c r="U51" s="54"/>
      <c r="V51" s="54"/>
      <c r="W51" s="54"/>
      <c r="X51" s="55"/>
      <c r="Y51" s="56"/>
      <c r="Z51" s="4"/>
      <c r="AA51" s="4"/>
      <c r="AB51" s="4"/>
      <c r="AC51" s="4"/>
      <c r="AD51" s="53" t="s">
        <v>41</v>
      </c>
      <c r="AE51" s="54"/>
      <c r="AF51" s="54"/>
      <c r="AG51" s="54"/>
      <c r="AH51" s="55"/>
      <c r="AI51" s="56"/>
      <c r="AJ51" s="4"/>
      <c r="AK51" s="4"/>
      <c r="AL51" s="4"/>
      <c r="AM51" s="4"/>
      <c r="AN51" s="53" t="s">
        <v>38</v>
      </c>
      <c r="AO51" s="54"/>
      <c r="AP51" s="54"/>
      <c r="AQ51" s="54"/>
      <c r="AR51" s="55"/>
      <c r="AS51" s="56"/>
      <c r="AT51" s="4"/>
      <c r="AU51" s="4"/>
      <c r="AV51" s="4"/>
      <c r="AW51" s="4"/>
      <c r="AX51" s="53" t="s">
        <v>200</v>
      </c>
      <c r="AY51" s="54"/>
      <c r="AZ51" s="54"/>
      <c r="BA51" s="54"/>
      <c r="BB51" s="55"/>
      <c r="BC51" s="56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57">
        <v>3</v>
      </c>
      <c r="K52" s="58"/>
      <c r="L52" s="59">
        <v>5</v>
      </c>
      <c r="M52" s="58"/>
      <c r="N52" s="59">
        <v>165</v>
      </c>
      <c r="O52" s="91"/>
      <c r="P52" s="4"/>
      <c r="Q52" s="4"/>
      <c r="R52" s="4"/>
      <c r="S52" s="4"/>
      <c r="T52" s="57">
        <v>3</v>
      </c>
      <c r="U52" s="58"/>
      <c r="V52" s="59">
        <v>5</v>
      </c>
      <c r="W52" s="58"/>
      <c r="X52" s="59">
        <v>180</v>
      </c>
      <c r="Y52" s="91"/>
      <c r="Z52" s="4"/>
      <c r="AA52" s="4"/>
      <c r="AB52" s="4"/>
      <c r="AC52" s="4"/>
      <c r="AD52" s="57">
        <v>3</v>
      </c>
      <c r="AE52" s="58"/>
      <c r="AF52" s="59">
        <v>5</v>
      </c>
      <c r="AG52" s="58"/>
      <c r="AH52" s="59">
        <v>165</v>
      </c>
      <c r="AI52" s="91"/>
      <c r="AJ52" s="4"/>
      <c r="AK52" s="4"/>
      <c r="AL52" s="4"/>
      <c r="AM52" s="4"/>
      <c r="AN52" s="57">
        <v>4</v>
      </c>
      <c r="AO52" s="58"/>
      <c r="AP52" s="59">
        <v>6</v>
      </c>
      <c r="AQ52" s="58"/>
      <c r="AR52" s="59">
        <v>195</v>
      </c>
      <c r="AS52" s="91"/>
      <c r="AT52" s="4"/>
      <c r="AU52" s="4"/>
      <c r="AV52" s="4"/>
      <c r="AW52" s="4"/>
      <c r="AX52" s="57">
        <v>3</v>
      </c>
      <c r="AY52" s="58"/>
      <c r="AZ52" s="59">
        <v>5</v>
      </c>
      <c r="BA52" s="58"/>
      <c r="BB52" s="59">
        <v>180</v>
      </c>
      <c r="BC52" s="91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</f>
        <v>16</v>
      </c>
      <c r="F53" s="11">
        <f>L52+V52+AF52+AP52+AZ52</f>
        <v>26</v>
      </c>
      <c r="G53" s="105"/>
      <c r="H53" s="2"/>
      <c r="I53" s="2"/>
      <c r="J53" s="92">
        <v>2</v>
      </c>
      <c r="K53" s="93"/>
      <c r="L53" s="70">
        <v>1</v>
      </c>
      <c r="M53" s="93"/>
      <c r="N53" s="70">
        <v>2</v>
      </c>
      <c r="O53" s="71"/>
      <c r="P53" s="4"/>
      <c r="Q53" s="4"/>
      <c r="R53" s="4"/>
      <c r="S53" s="4"/>
      <c r="T53" s="92">
        <v>2</v>
      </c>
      <c r="U53" s="93"/>
      <c r="V53" s="70">
        <v>1</v>
      </c>
      <c r="W53" s="93"/>
      <c r="X53" s="70">
        <v>2</v>
      </c>
      <c r="Y53" s="71"/>
      <c r="Z53" s="4"/>
      <c r="AA53" s="4"/>
      <c r="AB53" s="4"/>
      <c r="AC53" s="4"/>
      <c r="AD53" s="92">
        <v>2</v>
      </c>
      <c r="AE53" s="93"/>
      <c r="AF53" s="70">
        <v>1</v>
      </c>
      <c r="AG53" s="93"/>
      <c r="AH53" s="70">
        <v>2</v>
      </c>
      <c r="AI53" s="71"/>
      <c r="AJ53" s="4"/>
      <c r="AK53" s="4"/>
      <c r="AL53" s="4"/>
      <c r="AM53" s="4"/>
      <c r="AN53" s="92">
        <v>3</v>
      </c>
      <c r="AO53" s="93"/>
      <c r="AP53" s="70">
        <v>3</v>
      </c>
      <c r="AQ53" s="93"/>
      <c r="AR53" s="70">
        <v>0</v>
      </c>
      <c r="AS53" s="71"/>
      <c r="AT53" s="4"/>
      <c r="AU53" s="4"/>
      <c r="AV53" s="4"/>
      <c r="AW53" s="4"/>
      <c r="AX53" s="92">
        <v>2</v>
      </c>
      <c r="AY53" s="93"/>
      <c r="AZ53" s="70">
        <v>1</v>
      </c>
      <c r="BA53" s="93"/>
      <c r="BB53" s="70">
        <v>2</v>
      </c>
      <c r="BC53" s="71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2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167</v>
      </c>
      <c r="K60" s="25"/>
      <c r="L60" s="26"/>
      <c r="M60" s="38">
        <v>432</v>
      </c>
      <c r="N60" s="39"/>
      <c r="O60" s="40"/>
      <c r="P60" s="4"/>
      <c r="Q60" s="4"/>
      <c r="R60" s="4"/>
      <c r="S60" s="4"/>
      <c r="T60" s="24" t="s">
        <v>19</v>
      </c>
      <c r="U60" s="25"/>
      <c r="V60" s="26"/>
      <c r="W60" s="38">
        <v>281</v>
      </c>
      <c r="X60" s="39"/>
      <c r="Y60" s="40"/>
      <c r="Z60" s="4"/>
      <c r="AA60" s="4"/>
      <c r="AB60" s="4"/>
      <c r="AC60" s="4"/>
      <c r="AD60" s="24" t="s">
        <v>19</v>
      </c>
      <c r="AE60" s="25"/>
      <c r="AF60" s="26"/>
      <c r="AG60" s="38">
        <v>242</v>
      </c>
      <c r="AH60" s="102"/>
      <c r="AI60" s="103"/>
      <c r="AJ60" s="4"/>
      <c r="AK60" s="4"/>
      <c r="AL60" s="4"/>
      <c r="AM60" s="4"/>
      <c r="AN60" s="24" t="s">
        <v>19</v>
      </c>
      <c r="AO60" s="25"/>
      <c r="AP60" s="26"/>
      <c r="AQ60" s="38">
        <v>344</v>
      </c>
      <c r="AR60" s="39"/>
      <c r="AS60" s="40"/>
      <c r="AT60" s="4"/>
      <c r="AU60" s="4"/>
      <c r="AV60" s="4"/>
      <c r="AW60" s="4"/>
      <c r="AX60" s="24" t="s">
        <v>19</v>
      </c>
      <c r="AY60" s="25"/>
      <c r="AZ60" s="26"/>
      <c r="BA60" s="38">
        <v>363</v>
      </c>
      <c r="BB60" s="102"/>
      <c r="BC60" s="103"/>
      <c r="BD60" s="4"/>
      <c r="BE60" s="4"/>
      <c r="BF60" s="4"/>
      <c r="BG60" s="4"/>
      <c r="BH60" s="24" t="s">
        <v>131</v>
      </c>
      <c r="BI60" s="25"/>
      <c r="BJ60" s="26"/>
      <c r="BK60" s="38" t="s">
        <v>109</v>
      </c>
      <c r="BL60" s="39"/>
      <c r="BM60" s="40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960</v>
      </c>
      <c r="H61" s="2"/>
      <c r="I61" s="2"/>
      <c r="J61" s="30" t="s">
        <v>27</v>
      </c>
      <c r="K61" s="31"/>
      <c r="L61" s="31"/>
      <c r="M61" s="31"/>
      <c r="N61" s="32"/>
      <c r="O61" s="33"/>
      <c r="P61" s="4"/>
      <c r="Q61" s="4"/>
      <c r="R61" s="4"/>
      <c r="S61" s="4"/>
      <c r="T61" s="94" t="s">
        <v>219</v>
      </c>
      <c r="U61" s="95"/>
      <c r="V61" s="95"/>
      <c r="W61" s="95"/>
      <c r="X61" s="96"/>
      <c r="Y61" s="97"/>
      <c r="Z61" s="4"/>
      <c r="AA61" s="4"/>
      <c r="AB61" s="4"/>
      <c r="AC61" s="4"/>
      <c r="AD61" s="94" t="s">
        <v>215</v>
      </c>
      <c r="AE61" s="95"/>
      <c r="AF61" s="95"/>
      <c r="AG61" s="95"/>
      <c r="AH61" s="96"/>
      <c r="AI61" s="97"/>
      <c r="AJ61" s="4"/>
      <c r="AK61" s="4"/>
      <c r="AL61" s="4"/>
      <c r="AM61" s="4"/>
      <c r="AN61" s="53" t="s">
        <v>204</v>
      </c>
      <c r="AO61" s="54"/>
      <c r="AP61" s="54"/>
      <c r="AQ61" s="54"/>
      <c r="AR61" s="55"/>
      <c r="AS61" s="56"/>
      <c r="AT61" s="4"/>
      <c r="AU61" s="4"/>
      <c r="AV61" s="4"/>
      <c r="AW61" s="4"/>
      <c r="AX61" s="53" t="s">
        <v>72</v>
      </c>
      <c r="AY61" s="54"/>
      <c r="AZ61" s="54"/>
      <c r="BA61" s="54"/>
      <c r="BB61" s="55"/>
      <c r="BC61" s="56"/>
      <c r="BD61" s="4"/>
      <c r="BE61" s="4"/>
      <c r="BF61" s="4"/>
      <c r="BG61" s="4"/>
      <c r="BH61" s="114" t="s">
        <v>20</v>
      </c>
      <c r="BI61" s="115"/>
      <c r="BJ61" s="115"/>
      <c r="BK61" s="115"/>
      <c r="BL61" s="116"/>
      <c r="BM61" s="117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34">
        <v>3</v>
      </c>
      <c r="K62" s="35"/>
      <c r="L62" s="36">
        <v>4</v>
      </c>
      <c r="M62" s="35"/>
      <c r="N62" s="36">
        <v>150</v>
      </c>
      <c r="O62" s="37"/>
      <c r="P62" s="4"/>
      <c r="Q62" s="4"/>
      <c r="R62" s="4"/>
      <c r="S62" s="4"/>
      <c r="T62" s="98">
        <v>3</v>
      </c>
      <c r="U62" s="99"/>
      <c r="V62" s="100">
        <v>5</v>
      </c>
      <c r="W62" s="99"/>
      <c r="X62" s="100">
        <v>180</v>
      </c>
      <c r="Y62" s="101"/>
      <c r="Z62" s="4"/>
      <c r="AA62" s="4"/>
      <c r="AB62" s="4"/>
      <c r="AC62" s="4"/>
      <c r="AD62" s="98">
        <v>3</v>
      </c>
      <c r="AE62" s="99"/>
      <c r="AF62" s="100">
        <v>5</v>
      </c>
      <c r="AG62" s="99"/>
      <c r="AH62" s="100">
        <v>180</v>
      </c>
      <c r="AI62" s="101"/>
      <c r="AJ62" s="4"/>
      <c r="AK62" s="4"/>
      <c r="AL62" s="4"/>
      <c r="AM62" s="4"/>
      <c r="AN62" s="57">
        <v>3</v>
      </c>
      <c r="AO62" s="58"/>
      <c r="AP62" s="59">
        <v>5</v>
      </c>
      <c r="AQ62" s="58"/>
      <c r="AR62" s="59">
        <v>180</v>
      </c>
      <c r="AS62" s="91"/>
      <c r="AT62" s="4"/>
      <c r="AU62" s="4"/>
      <c r="AV62" s="4"/>
      <c r="AW62" s="4"/>
      <c r="AX62" s="57">
        <v>3</v>
      </c>
      <c r="AY62" s="58"/>
      <c r="AZ62" s="59">
        <v>5</v>
      </c>
      <c r="BA62" s="58"/>
      <c r="BB62" s="59">
        <v>180</v>
      </c>
      <c r="BC62" s="91"/>
      <c r="BD62" s="4"/>
      <c r="BE62" s="4"/>
      <c r="BF62" s="4"/>
      <c r="BG62" s="4"/>
      <c r="BH62" s="110">
        <v>2</v>
      </c>
      <c r="BI62" s="111"/>
      <c r="BJ62" s="108">
        <v>2</v>
      </c>
      <c r="BK62" s="111"/>
      <c r="BL62" s="108">
        <v>90</v>
      </c>
      <c r="BM62" s="109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17</v>
      </c>
      <c r="F63" s="11">
        <f>SUM(J63:BM63)</f>
        <v>26</v>
      </c>
      <c r="G63" s="105"/>
      <c r="H63" s="2"/>
      <c r="I63" s="2"/>
      <c r="J63" s="20">
        <v>2</v>
      </c>
      <c r="K63" s="21"/>
      <c r="L63" s="22">
        <v>1</v>
      </c>
      <c r="M63" s="21"/>
      <c r="N63" s="22">
        <v>1</v>
      </c>
      <c r="O63" s="23"/>
      <c r="P63" s="4"/>
      <c r="Q63" s="4"/>
      <c r="R63" s="4"/>
      <c r="S63" s="4"/>
      <c r="T63" s="72">
        <v>2</v>
      </c>
      <c r="U63" s="73"/>
      <c r="V63" s="68">
        <v>1</v>
      </c>
      <c r="W63" s="73"/>
      <c r="X63" s="68">
        <v>2</v>
      </c>
      <c r="Y63" s="69"/>
      <c r="Z63" s="4"/>
      <c r="AA63" s="4"/>
      <c r="AB63" s="4"/>
      <c r="AC63" s="4"/>
      <c r="AD63" s="72">
        <v>2</v>
      </c>
      <c r="AE63" s="73"/>
      <c r="AF63" s="68">
        <v>1</v>
      </c>
      <c r="AG63" s="73"/>
      <c r="AH63" s="68">
        <v>2</v>
      </c>
      <c r="AI63" s="69"/>
      <c r="AJ63" s="4"/>
      <c r="AK63" s="4"/>
      <c r="AL63" s="4"/>
      <c r="AM63" s="4"/>
      <c r="AN63" s="92">
        <v>2</v>
      </c>
      <c r="AO63" s="93"/>
      <c r="AP63" s="70">
        <v>1</v>
      </c>
      <c r="AQ63" s="93"/>
      <c r="AR63" s="70">
        <v>2</v>
      </c>
      <c r="AS63" s="71"/>
      <c r="AT63" s="4"/>
      <c r="AU63" s="4"/>
      <c r="AV63" s="4"/>
      <c r="AW63" s="4"/>
      <c r="AX63" s="92">
        <v>2</v>
      </c>
      <c r="AY63" s="93"/>
      <c r="AZ63" s="70">
        <v>1</v>
      </c>
      <c r="BA63" s="93"/>
      <c r="BB63" s="70">
        <v>2</v>
      </c>
      <c r="BC63" s="71"/>
      <c r="BD63" s="4"/>
      <c r="BE63" s="4"/>
      <c r="BF63" s="4"/>
      <c r="BG63" s="4"/>
      <c r="BH63" s="112">
        <v>2</v>
      </c>
      <c r="BI63" s="113"/>
      <c r="BJ63" s="106">
        <v>0</v>
      </c>
      <c r="BK63" s="113"/>
      <c r="BL63" s="106">
        <v>0</v>
      </c>
      <c r="BM63" s="107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ht="14.55" customHeight="1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19</v>
      </c>
      <c r="K68" s="25"/>
      <c r="L68" s="26"/>
      <c r="M68" s="38">
        <v>272</v>
      </c>
      <c r="N68" s="102"/>
      <c r="O68" s="103"/>
      <c r="P68" s="4"/>
      <c r="Q68" s="4"/>
      <c r="R68" s="4"/>
      <c r="S68" s="4"/>
      <c r="T68" s="24" t="s">
        <v>19</v>
      </c>
      <c r="U68" s="25"/>
      <c r="V68" s="26"/>
      <c r="W68" s="38">
        <v>446</v>
      </c>
      <c r="X68" s="102"/>
      <c r="Y68" s="103"/>
      <c r="Z68" s="4"/>
      <c r="AA68" s="4"/>
      <c r="AB68" s="4"/>
      <c r="AC68" s="4"/>
      <c r="AD68" s="24" t="s">
        <v>19</v>
      </c>
      <c r="AE68" s="25"/>
      <c r="AF68" s="26"/>
      <c r="AG68" s="38">
        <v>464</v>
      </c>
      <c r="AH68" s="102"/>
      <c r="AI68" s="103"/>
      <c r="AJ68" s="4"/>
      <c r="AK68" s="4"/>
      <c r="AL68" s="4"/>
      <c r="AM68" s="4"/>
      <c r="AN68" s="24" t="s">
        <v>19</v>
      </c>
      <c r="AO68" s="25"/>
      <c r="AP68" s="26"/>
      <c r="AQ68" s="38">
        <v>335</v>
      </c>
      <c r="AR68" s="102"/>
      <c r="AS68" s="103"/>
      <c r="AT68" s="4"/>
      <c r="AU68" s="4"/>
      <c r="AV68" s="4"/>
      <c r="AW68" s="4"/>
      <c r="AX68" s="24" t="s">
        <v>19</v>
      </c>
      <c r="AY68" s="25"/>
      <c r="AZ68" s="26"/>
      <c r="BA68" s="38">
        <v>392</v>
      </c>
      <c r="BB68" s="39"/>
      <c r="BC68" s="40"/>
      <c r="BD68" s="4"/>
      <c r="BE68" s="4"/>
      <c r="BF68" s="4"/>
      <c r="BG68" s="4"/>
      <c r="BH68" s="24" t="s">
        <v>135</v>
      </c>
      <c r="BI68" s="25"/>
      <c r="BJ68" s="26"/>
      <c r="BK68" s="38" t="s">
        <v>111</v>
      </c>
      <c r="BL68" s="39"/>
      <c r="BM68" s="40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840</v>
      </c>
      <c r="H69" s="2"/>
      <c r="I69" s="2"/>
      <c r="J69" s="94" t="s">
        <v>203</v>
      </c>
      <c r="K69" s="95"/>
      <c r="L69" s="95"/>
      <c r="M69" s="95"/>
      <c r="N69" s="96"/>
      <c r="O69" s="97"/>
      <c r="P69" s="4"/>
      <c r="Q69" s="4"/>
      <c r="R69" s="4"/>
      <c r="S69" s="4"/>
      <c r="T69" s="94" t="s">
        <v>206</v>
      </c>
      <c r="U69" s="95"/>
      <c r="V69" s="95"/>
      <c r="W69" s="95"/>
      <c r="X69" s="96"/>
      <c r="Y69" s="97"/>
      <c r="Z69" s="4"/>
      <c r="AA69" s="4"/>
      <c r="AB69" s="4"/>
      <c r="AC69" s="4"/>
      <c r="AD69" s="94" t="s">
        <v>74</v>
      </c>
      <c r="AE69" s="95"/>
      <c r="AF69" s="95"/>
      <c r="AG69" s="95"/>
      <c r="AH69" s="96"/>
      <c r="AI69" s="97"/>
      <c r="AJ69" s="4"/>
      <c r="AK69" s="4"/>
      <c r="AL69" s="4"/>
      <c r="AM69" s="4"/>
      <c r="AN69" s="94" t="s">
        <v>220</v>
      </c>
      <c r="AO69" s="95"/>
      <c r="AP69" s="95"/>
      <c r="AQ69" s="95"/>
      <c r="AR69" s="96"/>
      <c r="AS69" s="97"/>
      <c r="AT69" s="4"/>
      <c r="AU69" s="4"/>
      <c r="AV69" s="4"/>
      <c r="AW69" s="4"/>
      <c r="AX69" s="41" t="s">
        <v>249</v>
      </c>
      <c r="AY69" s="42"/>
      <c r="AZ69" s="42"/>
      <c r="BA69" s="42"/>
      <c r="BB69" s="43"/>
      <c r="BC69" s="44"/>
      <c r="BD69" s="4"/>
      <c r="BE69" s="4"/>
      <c r="BF69" s="4"/>
      <c r="BG69" s="4"/>
      <c r="BH69" s="114" t="s">
        <v>134</v>
      </c>
      <c r="BI69" s="115"/>
      <c r="BJ69" s="115"/>
      <c r="BK69" s="115"/>
      <c r="BL69" s="116"/>
      <c r="BM69" s="117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98">
        <v>3</v>
      </c>
      <c r="K70" s="99"/>
      <c r="L70" s="100">
        <v>5</v>
      </c>
      <c r="M70" s="99"/>
      <c r="N70" s="100">
        <v>150</v>
      </c>
      <c r="O70" s="101"/>
      <c r="P70" s="4"/>
      <c r="Q70" s="4"/>
      <c r="R70" s="4"/>
      <c r="S70" s="4"/>
      <c r="T70" s="98">
        <v>3</v>
      </c>
      <c r="U70" s="99"/>
      <c r="V70" s="100">
        <v>5</v>
      </c>
      <c r="W70" s="99"/>
      <c r="X70" s="100">
        <v>180</v>
      </c>
      <c r="Y70" s="101"/>
      <c r="Z70" s="4"/>
      <c r="AA70" s="4"/>
      <c r="AB70" s="4"/>
      <c r="AC70" s="4"/>
      <c r="AD70" s="98">
        <v>3</v>
      </c>
      <c r="AE70" s="99"/>
      <c r="AF70" s="100">
        <v>5</v>
      </c>
      <c r="AG70" s="99"/>
      <c r="AH70" s="100">
        <v>180</v>
      </c>
      <c r="AI70" s="101"/>
      <c r="AJ70" s="4"/>
      <c r="AK70" s="4"/>
      <c r="AL70" s="4"/>
      <c r="AM70" s="4"/>
      <c r="AN70" s="98">
        <v>3</v>
      </c>
      <c r="AO70" s="99"/>
      <c r="AP70" s="100">
        <v>5</v>
      </c>
      <c r="AQ70" s="99"/>
      <c r="AR70" s="100">
        <v>180</v>
      </c>
      <c r="AS70" s="101"/>
      <c r="AT70" s="4"/>
      <c r="AU70" s="4"/>
      <c r="AV70" s="4"/>
      <c r="AW70" s="4"/>
      <c r="AX70" s="45">
        <v>2</v>
      </c>
      <c r="AY70" s="46"/>
      <c r="AZ70" s="47">
        <v>2</v>
      </c>
      <c r="BA70" s="46"/>
      <c r="BB70" s="47">
        <v>60</v>
      </c>
      <c r="BC70" s="48"/>
      <c r="BD70" s="4"/>
      <c r="BE70" s="4"/>
      <c r="BF70" s="4"/>
      <c r="BG70" s="4"/>
      <c r="BH70" s="110">
        <v>2</v>
      </c>
      <c r="BI70" s="111"/>
      <c r="BJ70" s="108">
        <v>2</v>
      </c>
      <c r="BK70" s="111"/>
      <c r="BL70" s="108">
        <v>90</v>
      </c>
      <c r="BM70" s="109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SUM(J70,T70,AD70,AN70,AX70,BH70)</f>
        <v>16</v>
      </c>
      <c r="F71" s="11">
        <f>L70+V70+AF70+AP70+AZ70+BJ70</f>
        <v>24</v>
      </c>
      <c r="G71" s="105"/>
      <c r="H71" s="2"/>
      <c r="I71" s="2"/>
      <c r="J71" s="72">
        <v>2</v>
      </c>
      <c r="K71" s="73"/>
      <c r="L71" s="68">
        <v>1</v>
      </c>
      <c r="M71" s="73"/>
      <c r="N71" s="68">
        <v>2</v>
      </c>
      <c r="O71" s="69"/>
      <c r="P71" s="4"/>
      <c r="Q71" s="4"/>
      <c r="R71" s="4"/>
      <c r="S71" s="4"/>
      <c r="T71" s="72">
        <v>2</v>
      </c>
      <c r="U71" s="73"/>
      <c r="V71" s="68">
        <v>1</v>
      </c>
      <c r="W71" s="73"/>
      <c r="X71" s="68">
        <v>2</v>
      </c>
      <c r="Y71" s="69"/>
      <c r="Z71" s="4"/>
      <c r="AA71" s="4"/>
      <c r="AB71" s="4"/>
      <c r="AC71" s="4"/>
      <c r="AD71" s="72">
        <v>2</v>
      </c>
      <c r="AE71" s="73"/>
      <c r="AF71" s="68">
        <v>1</v>
      </c>
      <c r="AG71" s="73"/>
      <c r="AH71" s="68">
        <v>2</v>
      </c>
      <c r="AI71" s="69"/>
      <c r="AJ71" s="4"/>
      <c r="AK71" s="4"/>
      <c r="AL71" s="4"/>
      <c r="AM71" s="4"/>
      <c r="AN71" s="72">
        <v>2</v>
      </c>
      <c r="AO71" s="73"/>
      <c r="AP71" s="68">
        <v>1</v>
      </c>
      <c r="AQ71" s="73"/>
      <c r="AR71" s="68">
        <v>2</v>
      </c>
      <c r="AS71" s="69"/>
      <c r="AT71" s="4"/>
      <c r="AU71" s="4"/>
      <c r="AV71" s="4"/>
      <c r="AW71" s="4"/>
      <c r="AX71" s="49">
        <v>2</v>
      </c>
      <c r="AY71" s="50"/>
      <c r="AZ71" s="51">
        <v>0</v>
      </c>
      <c r="BA71" s="50"/>
      <c r="BB71" s="51">
        <v>0</v>
      </c>
      <c r="BC71" s="52"/>
      <c r="BD71" s="4"/>
      <c r="BE71" s="4"/>
      <c r="BF71" s="4"/>
      <c r="BG71" s="4"/>
      <c r="BH71" s="112">
        <v>2</v>
      </c>
      <c r="BI71" s="113"/>
      <c r="BJ71" s="106">
        <v>0</v>
      </c>
      <c r="BK71" s="113"/>
      <c r="BL71" s="106">
        <v>0</v>
      </c>
      <c r="BM71" s="107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x14ac:dyDescent="0.3"/>
    <row r="77" spans="2:135" ht="10.050000000000001" customHeight="1" thickBot="1" x14ac:dyDescent="0.35">
      <c r="B77" s="118" t="s">
        <v>1</v>
      </c>
      <c r="C77" s="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2:135" ht="15" customHeight="1" x14ac:dyDescent="0.3">
      <c r="B78" s="118"/>
      <c r="C78" s="1"/>
      <c r="D78" s="119" t="s">
        <v>5</v>
      </c>
      <c r="E78" s="11"/>
      <c r="F78" s="11"/>
      <c r="G78" s="2"/>
      <c r="H78" s="2"/>
      <c r="I78" s="2"/>
      <c r="J78" s="24" t="s">
        <v>252</v>
      </c>
      <c r="K78" s="25"/>
      <c r="L78" s="26"/>
      <c r="M78" s="38" t="s">
        <v>111</v>
      </c>
      <c r="N78" s="39"/>
      <c r="O78" s="40"/>
      <c r="P78" s="4"/>
      <c r="Q78" s="4"/>
      <c r="R78" s="4"/>
      <c r="S78" s="4"/>
      <c r="T78" s="24" t="s">
        <v>254</v>
      </c>
      <c r="U78" s="25"/>
      <c r="V78" s="26"/>
      <c r="W78" s="38" t="s">
        <v>111</v>
      </c>
      <c r="X78" s="39"/>
      <c r="Y78" s="40"/>
      <c r="Z78" s="4"/>
      <c r="AA78" s="4"/>
      <c r="AB78" s="4"/>
      <c r="AC78" s="4"/>
      <c r="AD78" s="24" t="s">
        <v>19</v>
      </c>
      <c r="AE78" s="25"/>
      <c r="AF78" s="26"/>
      <c r="AG78" s="38">
        <v>436</v>
      </c>
      <c r="AH78" s="102"/>
      <c r="AI78" s="103"/>
      <c r="AJ78" s="4"/>
      <c r="AK78" s="4"/>
      <c r="AL78" s="4"/>
      <c r="AM78" s="4"/>
      <c r="AN78" s="24" t="s">
        <v>19</v>
      </c>
      <c r="AO78" s="25"/>
      <c r="AP78" s="26"/>
      <c r="AQ78" s="38">
        <v>493</v>
      </c>
      <c r="AR78" s="102"/>
      <c r="AS78" s="103"/>
      <c r="AT78" s="4"/>
      <c r="AU78" s="4"/>
      <c r="AV78" s="4"/>
      <c r="AW78" s="4"/>
      <c r="AX78" s="24" t="s">
        <v>141</v>
      </c>
      <c r="AY78" s="25"/>
      <c r="AZ78" s="26"/>
      <c r="BA78" s="38" t="s">
        <v>111</v>
      </c>
      <c r="BB78" s="39"/>
      <c r="BC78" s="40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79" s="118"/>
      <c r="C79" s="1"/>
      <c r="D79" s="119"/>
      <c r="E79" s="120" t="s">
        <v>16</v>
      </c>
      <c r="F79" s="120" t="s">
        <v>17</v>
      </c>
      <c r="G79" s="13">
        <f>SUM(N80,X80,AH80,AR80,BB80,BL98,BL80)</f>
        <v>810</v>
      </c>
      <c r="H79" s="2"/>
      <c r="I79" s="2"/>
      <c r="J79" s="76" t="s">
        <v>140</v>
      </c>
      <c r="K79" s="77"/>
      <c r="L79" s="77"/>
      <c r="M79" s="77"/>
      <c r="N79" s="77"/>
      <c r="O79" s="78"/>
      <c r="P79" s="4"/>
      <c r="Q79" s="4"/>
      <c r="R79" s="4"/>
      <c r="S79" s="4"/>
      <c r="T79" s="76" t="s">
        <v>143</v>
      </c>
      <c r="U79" s="77"/>
      <c r="V79" s="77"/>
      <c r="W79" s="77"/>
      <c r="X79" s="77"/>
      <c r="Y79" s="78"/>
      <c r="Z79" s="4"/>
      <c r="AA79" s="4"/>
      <c r="AB79" s="4"/>
      <c r="AC79" s="4"/>
      <c r="AD79" s="94" t="s">
        <v>221</v>
      </c>
      <c r="AE79" s="95"/>
      <c r="AF79" s="95"/>
      <c r="AG79" s="95"/>
      <c r="AH79" s="96"/>
      <c r="AI79" s="97"/>
      <c r="AJ79" s="4"/>
      <c r="AK79" s="4"/>
      <c r="AL79" s="4"/>
      <c r="AM79" s="4"/>
      <c r="AN79" s="87" t="s">
        <v>63</v>
      </c>
      <c r="AO79" s="88"/>
      <c r="AP79" s="88"/>
      <c r="AQ79" s="88"/>
      <c r="AR79" s="88"/>
      <c r="AS79" s="89"/>
      <c r="AT79" s="4"/>
      <c r="AU79" s="4"/>
      <c r="AV79" s="4"/>
      <c r="AW79" s="4"/>
      <c r="AX79" s="114" t="s">
        <v>142</v>
      </c>
      <c r="AY79" s="115"/>
      <c r="AZ79" s="115"/>
      <c r="BA79" s="115"/>
      <c r="BB79" s="116"/>
      <c r="BC79" s="117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80" s="118"/>
      <c r="C80" s="1"/>
      <c r="D80" s="119"/>
      <c r="E80" s="120"/>
      <c r="F80" s="120"/>
      <c r="G80" s="105"/>
      <c r="H80" s="121"/>
      <c r="I80" s="122"/>
      <c r="J80" s="79">
        <v>3</v>
      </c>
      <c r="K80" s="80"/>
      <c r="L80" s="81">
        <v>5</v>
      </c>
      <c r="M80" s="80"/>
      <c r="N80" s="81">
        <v>180</v>
      </c>
      <c r="O80" s="82"/>
      <c r="P80" s="4"/>
      <c r="Q80" s="4"/>
      <c r="R80" s="4"/>
      <c r="S80" s="4"/>
      <c r="T80" s="79">
        <v>3</v>
      </c>
      <c r="U80" s="80"/>
      <c r="V80" s="81">
        <v>5</v>
      </c>
      <c r="W80" s="80"/>
      <c r="X80" s="81">
        <v>180</v>
      </c>
      <c r="Y80" s="82"/>
      <c r="Z80" s="4"/>
      <c r="AA80" s="4"/>
      <c r="AB80" s="4"/>
      <c r="AC80" s="4"/>
      <c r="AD80" s="98">
        <v>3</v>
      </c>
      <c r="AE80" s="99"/>
      <c r="AF80" s="100">
        <v>5</v>
      </c>
      <c r="AG80" s="99"/>
      <c r="AH80" s="100">
        <v>180</v>
      </c>
      <c r="AI80" s="101"/>
      <c r="AJ80" s="4"/>
      <c r="AK80" s="4"/>
      <c r="AL80" s="4"/>
      <c r="AM80" s="4"/>
      <c r="AN80" s="45">
        <v>3</v>
      </c>
      <c r="AO80" s="46"/>
      <c r="AP80" s="47">
        <v>5</v>
      </c>
      <c r="AQ80" s="46"/>
      <c r="AR80" s="47">
        <v>180</v>
      </c>
      <c r="AS80" s="48"/>
      <c r="AT80" s="4"/>
      <c r="AU80" s="4"/>
      <c r="AV80" s="4"/>
      <c r="AW80" s="4"/>
      <c r="AX80" s="110">
        <v>2</v>
      </c>
      <c r="AY80" s="111"/>
      <c r="AZ80" s="108">
        <v>2</v>
      </c>
      <c r="BA80" s="111"/>
      <c r="BB80" s="108">
        <v>90</v>
      </c>
      <c r="BC80" s="109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2:135" ht="15" thickBot="1" x14ac:dyDescent="0.35">
      <c r="B81" s="118"/>
      <c r="C81" s="1"/>
      <c r="D81" s="119"/>
      <c r="E81" s="11">
        <f>SUM(J80,T80,AD80,AN80,AX80,BH80)</f>
        <v>14</v>
      </c>
      <c r="F81" s="11">
        <f>SUM(J81:BM81)</f>
        <v>22</v>
      </c>
      <c r="G81" s="105"/>
      <c r="H81" s="2"/>
      <c r="I81" s="2"/>
      <c r="J81" s="83">
        <v>2</v>
      </c>
      <c r="K81" s="84"/>
      <c r="L81" s="85">
        <v>1</v>
      </c>
      <c r="M81" s="84"/>
      <c r="N81" s="85">
        <v>2</v>
      </c>
      <c r="O81" s="86"/>
      <c r="P81" s="4"/>
      <c r="Q81" s="4"/>
      <c r="R81" s="4"/>
      <c r="S81" s="4"/>
      <c r="T81" s="83">
        <v>2</v>
      </c>
      <c r="U81" s="84"/>
      <c r="V81" s="85">
        <v>1</v>
      </c>
      <c r="W81" s="84"/>
      <c r="X81" s="85">
        <v>2</v>
      </c>
      <c r="Y81" s="86"/>
      <c r="Z81" s="4"/>
      <c r="AA81" s="4"/>
      <c r="AB81" s="4"/>
      <c r="AC81" s="4"/>
      <c r="AD81" s="72">
        <v>2</v>
      </c>
      <c r="AE81" s="73"/>
      <c r="AF81" s="68">
        <v>1</v>
      </c>
      <c r="AG81" s="73"/>
      <c r="AH81" s="68">
        <v>2</v>
      </c>
      <c r="AI81" s="69"/>
      <c r="AJ81" s="4"/>
      <c r="AK81" s="4"/>
      <c r="AL81" s="4"/>
      <c r="AM81" s="4"/>
      <c r="AN81" s="49">
        <v>2</v>
      </c>
      <c r="AO81" s="50"/>
      <c r="AP81" s="51">
        <v>0</v>
      </c>
      <c r="AQ81" s="50"/>
      <c r="AR81" s="51">
        <v>3</v>
      </c>
      <c r="AS81" s="52"/>
      <c r="AT81" s="4"/>
      <c r="AU81" s="4"/>
      <c r="AV81" s="4"/>
      <c r="AW81" s="4"/>
      <c r="AX81" s="112">
        <v>2</v>
      </c>
      <c r="AY81" s="113"/>
      <c r="AZ81" s="106">
        <v>0</v>
      </c>
      <c r="BA81" s="113"/>
      <c r="BB81" s="106">
        <v>0</v>
      </c>
      <c r="BC81" s="107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2:135" ht="10.050000000000001" customHeight="1" x14ac:dyDescent="0.3">
      <c r="B82" s="118"/>
      <c r="C82" s="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2:135" ht="10.050000000000001" customHeight="1" x14ac:dyDescent="0.3">
      <c r="B83" s="118"/>
      <c r="C83" s="3"/>
    </row>
    <row r="84" spans="2:135" ht="10.050000000000001" customHeight="1" x14ac:dyDescent="0.3">
      <c r="B84" s="118"/>
      <c r="C84" s="3"/>
    </row>
    <row r="85" spans="2:135" ht="10.050000000000001" customHeight="1" thickBot="1" x14ac:dyDescent="0.35">
      <c r="B85" s="118"/>
      <c r="C85" s="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2:135" ht="15" customHeight="1" x14ac:dyDescent="0.3">
      <c r="B86" s="118"/>
      <c r="C86" s="1"/>
      <c r="D86" s="119" t="s">
        <v>6</v>
      </c>
      <c r="E86" s="11"/>
      <c r="F86" s="11"/>
      <c r="G86" s="2"/>
      <c r="H86" s="2"/>
      <c r="I86" s="2"/>
      <c r="J86" s="24" t="s">
        <v>255</v>
      </c>
      <c r="K86" s="25"/>
      <c r="L86" s="26"/>
      <c r="M86" s="38" t="s">
        <v>111</v>
      </c>
      <c r="N86" s="39"/>
      <c r="O86" s="40"/>
      <c r="P86" s="4"/>
      <c r="Q86" s="4"/>
      <c r="R86" s="4"/>
      <c r="S86" s="4"/>
      <c r="T86" s="24" t="s">
        <v>256</v>
      </c>
      <c r="U86" s="25"/>
      <c r="V86" s="26"/>
      <c r="W86" s="38" t="s">
        <v>112</v>
      </c>
      <c r="X86" s="39"/>
      <c r="Y86" s="40"/>
      <c r="Z86" s="4"/>
      <c r="AA86" s="4"/>
      <c r="AB86" s="4"/>
      <c r="AC86" s="4"/>
      <c r="AD86" s="24" t="s">
        <v>19</v>
      </c>
      <c r="AE86" s="25"/>
      <c r="AF86" s="26"/>
      <c r="AG86" s="38">
        <v>466</v>
      </c>
      <c r="AH86" s="102"/>
      <c r="AI86" s="103"/>
      <c r="AJ86" s="4"/>
      <c r="AK86" s="4"/>
      <c r="AL86" s="4"/>
      <c r="AM86" s="4"/>
      <c r="AN86" s="24" t="s">
        <v>19</v>
      </c>
      <c r="AO86" s="25"/>
      <c r="AP86" s="26"/>
      <c r="AQ86" s="38">
        <v>494</v>
      </c>
      <c r="AR86" s="39"/>
      <c r="AS86" s="40"/>
      <c r="AT86" s="4"/>
      <c r="AU86" s="4"/>
      <c r="AV86" s="4"/>
      <c r="AW86" s="4"/>
      <c r="AX86" s="24" t="s">
        <v>144</v>
      </c>
      <c r="AY86" s="25"/>
      <c r="AZ86" s="26"/>
      <c r="BA86" s="38" t="s">
        <v>111</v>
      </c>
      <c r="BB86" s="39"/>
      <c r="BC86" s="40"/>
      <c r="BD86" s="4"/>
      <c r="BE86" s="4"/>
      <c r="BF86" s="4"/>
      <c r="BG86" s="4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2:135" ht="48.75" customHeight="1" x14ac:dyDescent="0.3">
      <c r="B87" s="118"/>
      <c r="C87" s="1"/>
      <c r="D87" s="119"/>
      <c r="E87" s="120" t="s">
        <v>16</v>
      </c>
      <c r="F87" s="120" t="s">
        <v>17</v>
      </c>
      <c r="G87" s="13">
        <f>SUM(N88,X88,AH88,AR88,BB88,BL106)</f>
        <v>810</v>
      </c>
      <c r="H87" s="2"/>
      <c r="I87" s="2"/>
      <c r="J87" s="76" t="s">
        <v>145</v>
      </c>
      <c r="K87" s="77"/>
      <c r="L87" s="77"/>
      <c r="M87" s="77"/>
      <c r="N87" s="77"/>
      <c r="O87" s="78"/>
      <c r="P87" s="4"/>
      <c r="Q87" s="4"/>
      <c r="R87" s="4"/>
      <c r="S87" s="4"/>
      <c r="T87" s="76" t="s">
        <v>146</v>
      </c>
      <c r="U87" s="77"/>
      <c r="V87" s="77"/>
      <c r="W87" s="77"/>
      <c r="X87" s="77"/>
      <c r="Y87" s="78"/>
      <c r="Z87" s="4"/>
      <c r="AA87" s="4"/>
      <c r="AB87" s="4"/>
      <c r="AC87" s="4"/>
      <c r="AD87" s="94" t="s">
        <v>77</v>
      </c>
      <c r="AE87" s="95"/>
      <c r="AF87" s="95"/>
      <c r="AG87" s="95"/>
      <c r="AH87" s="96"/>
      <c r="AI87" s="97"/>
      <c r="AJ87" s="4"/>
      <c r="AK87" s="4"/>
      <c r="AL87" s="4"/>
      <c r="AM87" s="4"/>
      <c r="AN87" s="87" t="s">
        <v>64</v>
      </c>
      <c r="AO87" s="88"/>
      <c r="AP87" s="88"/>
      <c r="AQ87" s="88"/>
      <c r="AR87" s="88"/>
      <c r="AS87" s="89"/>
      <c r="AT87" s="4"/>
      <c r="AU87" s="4"/>
      <c r="AV87" s="4"/>
      <c r="AW87" s="4"/>
      <c r="AX87" s="114" t="s">
        <v>106</v>
      </c>
      <c r="AY87" s="115"/>
      <c r="AZ87" s="115"/>
      <c r="BA87" s="115"/>
      <c r="BB87" s="116"/>
      <c r="BC87" s="117"/>
      <c r="BD87" s="4"/>
      <c r="BE87" s="4"/>
      <c r="BF87" s="4"/>
      <c r="BG87" s="4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2:135" x14ac:dyDescent="0.3">
      <c r="B88" s="118"/>
      <c r="C88" s="1"/>
      <c r="D88" s="119"/>
      <c r="E88" s="120"/>
      <c r="F88" s="120"/>
      <c r="G88" s="105"/>
      <c r="H88" s="121"/>
      <c r="I88" s="122"/>
      <c r="J88" s="79">
        <v>3</v>
      </c>
      <c r="K88" s="80"/>
      <c r="L88" s="81">
        <v>5</v>
      </c>
      <c r="M88" s="80"/>
      <c r="N88" s="81">
        <v>180</v>
      </c>
      <c r="O88" s="82"/>
      <c r="P88" s="4"/>
      <c r="Q88" s="4"/>
      <c r="R88" s="4"/>
      <c r="S88" s="4"/>
      <c r="T88" s="79">
        <v>3</v>
      </c>
      <c r="U88" s="80"/>
      <c r="V88" s="81">
        <v>5</v>
      </c>
      <c r="W88" s="80"/>
      <c r="X88" s="81">
        <v>180</v>
      </c>
      <c r="Y88" s="82"/>
      <c r="Z88" s="4"/>
      <c r="AA88" s="4"/>
      <c r="AB88" s="4"/>
      <c r="AC88" s="4"/>
      <c r="AD88" s="98">
        <v>3</v>
      </c>
      <c r="AE88" s="99"/>
      <c r="AF88" s="100">
        <v>5</v>
      </c>
      <c r="AG88" s="99"/>
      <c r="AH88" s="100">
        <v>180</v>
      </c>
      <c r="AI88" s="101"/>
      <c r="AJ88" s="4"/>
      <c r="AK88" s="4"/>
      <c r="AL88" s="4"/>
      <c r="AM88" s="4"/>
      <c r="AN88" s="45">
        <v>3</v>
      </c>
      <c r="AO88" s="46"/>
      <c r="AP88" s="47">
        <v>5</v>
      </c>
      <c r="AQ88" s="46"/>
      <c r="AR88" s="47">
        <v>180</v>
      </c>
      <c r="AS88" s="48"/>
      <c r="AT88" s="4"/>
      <c r="AU88" s="4"/>
      <c r="AV88" s="4"/>
      <c r="AW88" s="4"/>
      <c r="AX88" s="110">
        <v>2</v>
      </c>
      <c r="AY88" s="111"/>
      <c r="AZ88" s="108">
        <v>2</v>
      </c>
      <c r="BA88" s="111"/>
      <c r="BB88" s="108">
        <v>90</v>
      </c>
      <c r="BC88" s="109"/>
      <c r="BD88" s="4"/>
      <c r="BE88" s="4"/>
      <c r="BF88" s="4"/>
      <c r="BG88" s="4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2:135" ht="15" thickBot="1" x14ac:dyDescent="0.35">
      <c r="B89" s="118"/>
      <c r="C89" s="1"/>
      <c r="D89" s="119"/>
      <c r="E89" s="11">
        <f>SUM(J88,T88,AD88,AN88,AX88)</f>
        <v>14</v>
      </c>
      <c r="F89" s="11">
        <f>SUM(J89:BC89)</f>
        <v>22</v>
      </c>
      <c r="G89" s="105"/>
      <c r="H89" s="2"/>
      <c r="I89" s="2"/>
      <c r="J89" s="83">
        <v>2</v>
      </c>
      <c r="K89" s="84"/>
      <c r="L89" s="85">
        <v>1</v>
      </c>
      <c r="M89" s="84"/>
      <c r="N89" s="85">
        <v>2</v>
      </c>
      <c r="O89" s="86"/>
      <c r="P89" s="4"/>
      <c r="Q89" s="4"/>
      <c r="R89" s="4"/>
      <c r="S89" s="4"/>
      <c r="T89" s="83">
        <v>2</v>
      </c>
      <c r="U89" s="84"/>
      <c r="V89" s="85">
        <v>1</v>
      </c>
      <c r="W89" s="84"/>
      <c r="X89" s="85">
        <v>2</v>
      </c>
      <c r="Y89" s="86"/>
      <c r="Z89" s="4"/>
      <c r="AA89" s="4"/>
      <c r="AB89" s="4"/>
      <c r="AC89" s="4"/>
      <c r="AD89" s="72">
        <v>2</v>
      </c>
      <c r="AE89" s="73"/>
      <c r="AF89" s="68">
        <v>1</v>
      </c>
      <c r="AG89" s="73"/>
      <c r="AH89" s="68">
        <v>2</v>
      </c>
      <c r="AI89" s="69"/>
      <c r="AJ89" s="4"/>
      <c r="AK89" s="4"/>
      <c r="AL89" s="4"/>
      <c r="AM89" s="4"/>
      <c r="AN89" s="49">
        <v>2</v>
      </c>
      <c r="AO89" s="50"/>
      <c r="AP89" s="51">
        <v>0</v>
      </c>
      <c r="AQ89" s="50"/>
      <c r="AR89" s="51">
        <v>3</v>
      </c>
      <c r="AS89" s="52"/>
      <c r="AT89" s="4"/>
      <c r="AU89" s="4"/>
      <c r="AV89" s="4"/>
      <c r="AW89" s="4"/>
      <c r="AX89" s="112">
        <v>2</v>
      </c>
      <c r="AY89" s="113"/>
      <c r="AZ89" s="106">
        <v>0</v>
      </c>
      <c r="BA89" s="113"/>
      <c r="BB89" s="106">
        <v>0</v>
      </c>
      <c r="BC89" s="107"/>
      <c r="BD89" s="4"/>
      <c r="BE89" s="4"/>
      <c r="BF89" s="4"/>
      <c r="BG89" s="4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2:135" ht="10.050000000000001" customHeight="1" x14ac:dyDescent="0.3">
      <c r="B90" s="118"/>
      <c r="C90" s="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2:135" ht="10.050000000000001" customHeight="1" x14ac:dyDescent="0.3"/>
    <row r="92" spans="2:135" ht="10.050000000000001" customHeight="1" x14ac:dyDescent="0.3"/>
    <row r="93" spans="2:135" ht="10.050000000000001" customHeight="1" x14ac:dyDescent="0.3"/>
    <row r="94" spans="2:135" ht="15" thickBot="1" x14ac:dyDescent="0.35"/>
    <row r="95" spans="2:135" ht="15.6" thickTop="1" thickBot="1" x14ac:dyDescent="0.35">
      <c r="BI95" s="63" t="s">
        <v>15</v>
      </c>
      <c r="BJ95" s="150" t="s">
        <v>65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6"/>
    </row>
    <row r="96" spans="2:135" ht="14.55" customHeight="1" x14ac:dyDescent="0.3">
      <c r="BI96" s="64"/>
      <c r="BJ96" s="137"/>
      <c r="BK96" s="17"/>
      <c r="BL96" s="16"/>
      <c r="BR96" s="123" t="s">
        <v>7</v>
      </c>
      <c r="BS96" s="124"/>
      <c r="BT96" s="124"/>
      <c r="BU96" s="124"/>
      <c r="BV96" s="125"/>
      <c r="BW96" s="126"/>
      <c r="CA96" s="8"/>
    </row>
    <row r="97" spans="61:79" x14ac:dyDescent="0.3">
      <c r="BI97" s="64"/>
      <c r="BJ97" s="137"/>
      <c r="BK97" s="17"/>
      <c r="BL97" s="16"/>
      <c r="BR97" s="127" t="s">
        <v>8</v>
      </c>
      <c r="BS97" s="128"/>
      <c r="BT97" s="128"/>
      <c r="BU97" s="128"/>
      <c r="BV97" s="129"/>
      <c r="BW97" s="130"/>
      <c r="CA97" s="8"/>
    </row>
    <row r="98" spans="61:79" x14ac:dyDescent="0.3">
      <c r="BI98" s="64"/>
      <c r="BJ98" s="137"/>
      <c r="BK98" s="17"/>
      <c r="BL98" s="16"/>
      <c r="BR98" s="66" t="s">
        <v>9</v>
      </c>
      <c r="BS98" s="67"/>
      <c r="BT98" s="131" t="s">
        <v>18</v>
      </c>
      <c r="BU98" s="67"/>
      <c r="BV98" s="131" t="s">
        <v>10</v>
      </c>
      <c r="BW98" s="132"/>
      <c r="CA98" s="8"/>
    </row>
    <row r="99" spans="61:79" ht="15" thickBot="1" x14ac:dyDescent="0.35">
      <c r="BI99" s="64"/>
      <c r="BJ99" s="137"/>
      <c r="BK99" s="17"/>
      <c r="BL99" s="16"/>
      <c r="BR99" s="133" t="s">
        <v>11</v>
      </c>
      <c r="BS99" s="134"/>
      <c r="BT99" s="135" t="s">
        <v>12</v>
      </c>
      <c r="BU99" s="134"/>
      <c r="BV99" s="135" t="s">
        <v>13</v>
      </c>
      <c r="BW99" s="136"/>
      <c r="CA99" s="8"/>
    </row>
    <row r="100" spans="61:79" ht="48.75" customHeight="1" x14ac:dyDescent="0.3">
      <c r="BI100" s="64"/>
      <c r="BJ100" s="90" t="s">
        <v>31</v>
      </c>
      <c r="BL100" s="74" t="s">
        <v>22</v>
      </c>
      <c r="BN100" s="62" t="s">
        <v>14</v>
      </c>
      <c r="BO100" s="62"/>
      <c r="BP100" s="62"/>
      <c r="BQ100" s="62"/>
      <c r="BS100" s="151" t="s">
        <v>46</v>
      </c>
      <c r="BU100" s="152" t="s">
        <v>30</v>
      </c>
      <c r="BW100" s="153" t="s">
        <v>62</v>
      </c>
      <c r="CA100" s="8"/>
    </row>
    <row r="101" spans="61:79" ht="14.55" customHeight="1" x14ac:dyDescent="0.3">
      <c r="BI101" s="64"/>
      <c r="BJ101" s="90"/>
      <c r="BL101" s="74"/>
      <c r="BN101" s="62"/>
      <c r="BO101" s="62"/>
      <c r="BP101" s="62"/>
      <c r="BQ101" s="62"/>
      <c r="BS101" s="60"/>
      <c r="BU101" s="75"/>
      <c r="BW101" s="61"/>
      <c r="CA101" s="8"/>
    </row>
    <row r="102" spans="61:79" ht="14.55" customHeight="1" x14ac:dyDescent="0.3">
      <c r="BI102" s="64"/>
      <c r="BJ102" s="90"/>
      <c r="BL102" s="74"/>
      <c r="BN102" s="62"/>
      <c r="BO102" s="62"/>
      <c r="BP102" s="62"/>
      <c r="BQ102" s="62"/>
      <c r="BS102" s="60"/>
      <c r="BU102" s="75"/>
      <c r="BW102" s="61"/>
      <c r="CA102" s="8"/>
    </row>
    <row r="103" spans="61:79" ht="14.55" customHeight="1" x14ac:dyDescent="0.3">
      <c r="BI103" s="64"/>
      <c r="BJ103" s="90"/>
      <c r="BL103" s="74"/>
      <c r="BN103" s="62"/>
      <c r="BO103" s="62"/>
      <c r="BP103" s="62"/>
      <c r="BQ103" s="62"/>
      <c r="BS103" s="60"/>
      <c r="BU103" s="75"/>
      <c r="BW103" s="61"/>
      <c r="CA103" s="8"/>
    </row>
    <row r="104" spans="61:79" ht="14.55" customHeight="1" x14ac:dyDescent="0.3">
      <c r="BI104" s="64"/>
      <c r="BJ104" s="90"/>
      <c r="BK104" s="7"/>
      <c r="BL104" s="74"/>
      <c r="BM104" s="7"/>
      <c r="BN104" s="62"/>
      <c r="BO104" s="62"/>
      <c r="BP104" s="62"/>
      <c r="BQ104" s="62"/>
      <c r="BR104" s="7"/>
      <c r="BS104" s="60"/>
      <c r="BT104" s="7"/>
      <c r="BU104" s="75"/>
      <c r="BV104" s="7"/>
      <c r="BW104" s="61"/>
      <c r="CA104" s="8"/>
    </row>
    <row r="105" spans="61:79" x14ac:dyDescent="0.3">
      <c r="BI105" s="64"/>
      <c r="BJ105" s="90"/>
      <c r="BK105" s="7"/>
      <c r="BL105" s="74"/>
      <c r="BM105" s="7"/>
      <c r="BN105" s="62"/>
      <c r="BO105" s="62"/>
      <c r="BP105" s="62"/>
      <c r="BQ105" s="62"/>
      <c r="BR105" s="7"/>
      <c r="BS105" s="60"/>
      <c r="BT105" s="7"/>
      <c r="BU105" s="75"/>
      <c r="BV105" s="7"/>
      <c r="BW105" s="61"/>
      <c r="CA105" s="8"/>
    </row>
    <row r="106" spans="61:79" x14ac:dyDescent="0.3">
      <c r="BI106" s="64"/>
      <c r="BJ106" s="90"/>
      <c r="BK106" s="7"/>
      <c r="BL106" s="74"/>
      <c r="BM106" s="7"/>
      <c r="BN106" s="62"/>
      <c r="BO106" s="62"/>
      <c r="BP106" s="62"/>
      <c r="BQ106" s="62"/>
      <c r="BR106" s="7"/>
      <c r="BS106" s="60"/>
      <c r="BT106" s="7"/>
      <c r="BU106" s="75"/>
      <c r="BV106" s="7"/>
      <c r="BW106" s="61"/>
      <c r="CA106" s="8"/>
    </row>
    <row r="107" spans="61:79" x14ac:dyDescent="0.3">
      <c r="BI107" s="64"/>
      <c r="BJ107" s="90"/>
      <c r="BK107" s="7"/>
      <c r="BL107" s="74"/>
      <c r="BM107" s="7"/>
      <c r="BN107" s="62"/>
      <c r="BO107" s="62"/>
      <c r="BP107" s="62"/>
      <c r="BQ107" s="62"/>
      <c r="BR107" s="7"/>
      <c r="BS107" s="60"/>
      <c r="BT107" s="7"/>
      <c r="BU107" s="75"/>
      <c r="BV107" s="7"/>
      <c r="BW107" s="61"/>
      <c r="CA107" s="8"/>
    </row>
    <row r="108" spans="61:79" ht="15" thickBot="1" x14ac:dyDescent="0.35">
      <c r="BI108" s="65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10"/>
    </row>
    <row r="109" spans="61:79" ht="15" thickTop="1" x14ac:dyDescent="0.3"/>
  </sheetData>
  <mergeCells count="736"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AQ6:AS6"/>
    <mergeCell ref="AX6:AZ6"/>
    <mergeCell ref="BA6:BC6"/>
    <mergeCell ref="N9:O9"/>
    <mergeCell ref="T9:U9"/>
    <mergeCell ref="V9:W9"/>
    <mergeCell ref="AP8:AQ8"/>
    <mergeCell ref="AR8:AS8"/>
    <mergeCell ref="AX8:AY8"/>
    <mergeCell ref="AZ8:BA8"/>
    <mergeCell ref="BB8:BC8"/>
    <mergeCell ref="F15:F16"/>
    <mergeCell ref="J15:O15"/>
    <mergeCell ref="T15:Y15"/>
    <mergeCell ref="DP6:DU6"/>
    <mergeCell ref="DZ6:EE6"/>
    <mergeCell ref="E7:E8"/>
    <mergeCell ref="F7:F8"/>
    <mergeCell ref="J7:O7"/>
    <mergeCell ref="T7:Y7"/>
    <mergeCell ref="AD7:AI7"/>
    <mergeCell ref="AN7:AS7"/>
    <mergeCell ref="AX7:BC7"/>
    <mergeCell ref="DP7:DU7"/>
    <mergeCell ref="DZ7:EE7"/>
    <mergeCell ref="G8:G9"/>
    <mergeCell ref="H8:I8"/>
    <mergeCell ref="J8:K8"/>
    <mergeCell ref="L8:M8"/>
    <mergeCell ref="N8:O8"/>
    <mergeCell ref="T8:U8"/>
    <mergeCell ref="DR8:DS8"/>
    <mergeCell ref="DT8:DU8"/>
    <mergeCell ref="DZ8:EA8"/>
    <mergeCell ref="EB8:EC8"/>
    <mergeCell ref="ED8:EE8"/>
    <mergeCell ref="J9:K9"/>
    <mergeCell ref="L9:M9"/>
    <mergeCell ref="DP8:DQ8"/>
    <mergeCell ref="V8:W8"/>
    <mergeCell ref="X8:Y8"/>
    <mergeCell ref="AD8:AE8"/>
    <mergeCell ref="AF8:AG8"/>
    <mergeCell ref="AH8:AI8"/>
    <mergeCell ref="AN8:AO8"/>
    <mergeCell ref="DT9:DU9"/>
    <mergeCell ref="DZ9:EA9"/>
    <mergeCell ref="EB9:EC9"/>
    <mergeCell ref="ED9:EE9"/>
    <mergeCell ref="D14:D17"/>
    <mergeCell ref="J14:L14"/>
    <mergeCell ref="M14:O14"/>
    <mergeCell ref="T14:V14"/>
    <mergeCell ref="W14:Y14"/>
    <mergeCell ref="AD14:AF14"/>
    <mergeCell ref="AR9:AS9"/>
    <mergeCell ref="AX9:AY9"/>
    <mergeCell ref="AZ9:BA9"/>
    <mergeCell ref="BB9:BC9"/>
    <mergeCell ref="DP9:DQ9"/>
    <mergeCell ref="DR9:DS9"/>
    <mergeCell ref="X9:Y9"/>
    <mergeCell ref="AD9:AE9"/>
    <mergeCell ref="AF9:AG9"/>
    <mergeCell ref="AH9:AI9"/>
    <mergeCell ref="AN9:AO9"/>
    <mergeCell ref="AP9:AQ9"/>
    <mergeCell ref="BK14:BM14"/>
    <mergeCell ref="DP14:DU14"/>
    <mergeCell ref="DZ14:EE14"/>
    <mergeCell ref="E15:E16"/>
    <mergeCell ref="AD15:AI15"/>
    <mergeCell ref="AN15:AS15"/>
    <mergeCell ref="AX15:BC15"/>
    <mergeCell ref="AG14:AI14"/>
    <mergeCell ref="AN14:AP14"/>
    <mergeCell ref="AQ14:AS14"/>
    <mergeCell ref="AX14:AZ14"/>
    <mergeCell ref="BA14:BC14"/>
    <mergeCell ref="BH14:BJ14"/>
    <mergeCell ref="AF16:AG16"/>
    <mergeCell ref="AH16:AI16"/>
    <mergeCell ref="AN16:AO16"/>
    <mergeCell ref="AP16:AQ16"/>
    <mergeCell ref="BH15:BM15"/>
    <mergeCell ref="DP15:DU15"/>
    <mergeCell ref="DZ15:EE15"/>
    <mergeCell ref="G16:G17"/>
    <mergeCell ref="H16:I16"/>
    <mergeCell ref="J16:K16"/>
    <mergeCell ref="L16:M16"/>
    <mergeCell ref="N16:O16"/>
    <mergeCell ref="T16:U16"/>
    <mergeCell ref="V16:W16"/>
    <mergeCell ref="ED16:EE16"/>
    <mergeCell ref="J17:K17"/>
    <mergeCell ref="L17:M17"/>
    <mergeCell ref="N17:O17"/>
    <mergeCell ref="T17:U17"/>
    <mergeCell ref="V17:W17"/>
    <mergeCell ref="X17:Y17"/>
    <mergeCell ref="AD17:AE17"/>
    <mergeCell ref="AF17:AG17"/>
    <mergeCell ref="AH17:AI17"/>
    <mergeCell ref="BL16:BM16"/>
    <mergeCell ref="DP16:DQ16"/>
    <mergeCell ref="DR16:DS16"/>
    <mergeCell ref="DT16:DU16"/>
    <mergeCell ref="DZ16:EA16"/>
    <mergeCell ref="EB16:EC16"/>
    <mergeCell ref="AR16:AS16"/>
    <mergeCell ref="AX16:AY16"/>
    <mergeCell ref="AZ16:BA16"/>
    <mergeCell ref="BB16:BC16"/>
    <mergeCell ref="BH16:BI16"/>
    <mergeCell ref="BJ16:BK16"/>
    <mergeCell ref="X16:Y16"/>
    <mergeCell ref="AD16:AE16"/>
    <mergeCell ref="DZ17:EA17"/>
    <mergeCell ref="EB17:EC17"/>
    <mergeCell ref="ED17:EE17"/>
    <mergeCell ref="B23:B36"/>
    <mergeCell ref="D24:D27"/>
    <mergeCell ref="J24:L24"/>
    <mergeCell ref="M24:O24"/>
    <mergeCell ref="T24:V24"/>
    <mergeCell ref="W24:Y24"/>
    <mergeCell ref="AD24:AF24"/>
    <mergeCell ref="BH17:BI17"/>
    <mergeCell ref="BJ17:BK17"/>
    <mergeCell ref="BL17:BM17"/>
    <mergeCell ref="DP17:DQ17"/>
    <mergeCell ref="DR17:DS17"/>
    <mergeCell ref="DT17:DU17"/>
    <mergeCell ref="AN17:AO17"/>
    <mergeCell ref="AP17:AQ17"/>
    <mergeCell ref="AR17:AS17"/>
    <mergeCell ref="AX17:AY17"/>
    <mergeCell ref="AZ17:BA17"/>
    <mergeCell ref="BB17:BC17"/>
    <mergeCell ref="BK24:BM24"/>
    <mergeCell ref="DP24:DU24"/>
    <mergeCell ref="DZ24:EE24"/>
    <mergeCell ref="E25:E26"/>
    <mergeCell ref="F25:F26"/>
    <mergeCell ref="J25:O25"/>
    <mergeCell ref="T25:Y25"/>
    <mergeCell ref="AD25:AI25"/>
    <mergeCell ref="AN25:AS25"/>
    <mergeCell ref="AX25:BC25"/>
    <mergeCell ref="AG24:AI24"/>
    <mergeCell ref="AN24:AP24"/>
    <mergeCell ref="AQ24:AS24"/>
    <mergeCell ref="AX24:AZ24"/>
    <mergeCell ref="BA24:BC24"/>
    <mergeCell ref="BH24:BJ24"/>
    <mergeCell ref="AD26:AE26"/>
    <mergeCell ref="AF26:AG26"/>
    <mergeCell ref="AH26:AI26"/>
    <mergeCell ref="AN26:AO26"/>
    <mergeCell ref="AP26:AQ26"/>
    <mergeCell ref="BH25:BM25"/>
    <mergeCell ref="DP25:DU25"/>
    <mergeCell ref="DZ25:EE25"/>
    <mergeCell ref="G26:G27"/>
    <mergeCell ref="H26:I26"/>
    <mergeCell ref="J26:K26"/>
    <mergeCell ref="L26:M26"/>
    <mergeCell ref="N26:O26"/>
    <mergeCell ref="T26:U26"/>
    <mergeCell ref="V26:W26"/>
    <mergeCell ref="BB27:BC27"/>
    <mergeCell ref="ED26:EE26"/>
    <mergeCell ref="J27:K27"/>
    <mergeCell ref="L27:M27"/>
    <mergeCell ref="N27:O27"/>
    <mergeCell ref="T27:U27"/>
    <mergeCell ref="V27:W27"/>
    <mergeCell ref="X27:Y27"/>
    <mergeCell ref="AD27:AE27"/>
    <mergeCell ref="AF27:AG27"/>
    <mergeCell ref="AH27:AI27"/>
    <mergeCell ref="BL26:BM26"/>
    <mergeCell ref="DP26:DQ26"/>
    <mergeCell ref="DR26:DS26"/>
    <mergeCell ref="DT26:DU26"/>
    <mergeCell ref="DZ26:EA26"/>
    <mergeCell ref="EB26:EC26"/>
    <mergeCell ref="AR26:AS26"/>
    <mergeCell ref="AX26:AY26"/>
    <mergeCell ref="AZ26:BA26"/>
    <mergeCell ref="BB26:BC26"/>
    <mergeCell ref="BH26:BI26"/>
    <mergeCell ref="BJ26:BK26"/>
    <mergeCell ref="X26:Y26"/>
    <mergeCell ref="BA32:BC32"/>
    <mergeCell ref="DP32:DU32"/>
    <mergeCell ref="AN32:AP32"/>
    <mergeCell ref="AQ32:AS32"/>
    <mergeCell ref="AX32:AZ32"/>
    <mergeCell ref="DZ32:EE32"/>
    <mergeCell ref="DZ27:EA27"/>
    <mergeCell ref="EB27:EC27"/>
    <mergeCell ref="ED27:EE27"/>
    <mergeCell ref="D32:D35"/>
    <mergeCell ref="J32:L32"/>
    <mergeCell ref="M32:O32"/>
    <mergeCell ref="T32:V32"/>
    <mergeCell ref="W32:Y32"/>
    <mergeCell ref="AD32:AF32"/>
    <mergeCell ref="AG32:AI32"/>
    <mergeCell ref="BH27:BI27"/>
    <mergeCell ref="BJ27:BK27"/>
    <mergeCell ref="BL27:BM27"/>
    <mergeCell ref="DP27:DQ27"/>
    <mergeCell ref="DR27:DS27"/>
    <mergeCell ref="DT27:DU27"/>
    <mergeCell ref="AN27:AO27"/>
    <mergeCell ref="AP27:AQ27"/>
    <mergeCell ref="AR27:AS27"/>
    <mergeCell ref="AX27:AY27"/>
    <mergeCell ref="AZ27:BA27"/>
    <mergeCell ref="AD33:AI33"/>
    <mergeCell ref="AN33:AS33"/>
    <mergeCell ref="G34:G35"/>
    <mergeCell ref="H34:I34"/>
    <mergeCell ref="J34:K34"/>
    <mergeCell ref="L34:M34"/>
    <mergeCell ref="N34:O34"/>
    <mergeCell ref="T34:U34"/>
    <mergeCell ref="V34:W34"/>
    <mergeCell ref="N35:O35"/>
    <mergeCell ref="T35:U35"/>
    <mergeCell ref="V35:W35"/>
    <mergeCell ref="X35:Y35"/>
    <mergeCell ref="E33:E34"/>
    <mergeCell ref="F33:F34"/>
    <mergeCell ref="J33:O33"/>
    <mergeCell ref="T33:Y33"/>
    <mergeCell ref="ED34:EE34"/>
    <mergeCell ref="AN34:AO34"/>
    <mergeCell ref="AP34:AQ34"/>
    <mergeCell ref="AR34:AS34"/>
    <mergeCell ref="AX34:AY34"/>
    <mergeCell ref="AZ34:BA34"/>
    <mergeCell ref="BB34:BC34"/>
    <mergeCell ref="AX33:BC33"/>
    <mergeCell ref="DP33:DU33"/>
    <mergeCell ref="DZ33:EE33"/>
    <mergeCell ref="DP34:DQ34"/>
    <mergeCell ref="DR34:DS34"/>
    <mergeCell ref="DT34:DU34"/>
    <mergeCell ref="DZ34:EA34"/>
    <mergeCell ref="EB34:EC34"/>
    <mergeCell ref="X34:Y34"/>
    <mergeCell ref="AD34:AE34"/>
    <mergeCell ref="AF34:AG34"/>
    <mergeCell ref="AH34:AI34"/>
    <mergeCell ref="DZ35:EA35"/>
    <mergeCell ref="EB35:EC35"/>
    <mergeCell ref="ED35:EE35"/>
    <mergeCell ref="B41:B54"/>
    <mergeCell ref="D42:D45"/>
    <mergeCell ref="J42:L42"/>
    <mergeCell ref="M42:O42"/>
    <mergeCell ref="T42:V42"/>
    <mergeCell ref="W42:Y42"/>
    <mergeCell ref="AD42:AF42"/>
    <mergeCell ref="AX35:AY35"/>
    <mergeCell ref="AZ35:BA35"/>
    <mergeCell ref="BB35:BC35"/>
    <mergeCell ref="DP35:DQ35"/>
    <mergeCell ref="DR35:DS35"/>
    <mergeCell ref="DT35:DU35"/>
    <mergeCell ref="AD35:AE35"/>
    <mergeCell ref="AF35:AG35"/>
    <mergeCell ref="AH35:AI35"/>
    <mergeCell ref="AN35:AO35"/>
    <mergeCell ref="AP35:AQ35"/>
    <mergeCell ref="AR35:AS35"/>
    <mergeCell ref="J35:K35"/>
    <mergeCell ref="L35:M35"/>
    <mergeCell ref="BK42:BM42"/>
    <mergeCell ref="DP42:DU42"/>
    <mergeCell ref="DZ42:EE42"/>
    <mergeCell ref="E43:E44"/>
    <mergeCell ref="F43:F44"/>
    <mergeCell ref="J43:O43"/>
    <mergeCell ref="T43:Y43"/>
    <mergeCell ref="AD43:AI43"/>
    <mergeCell ref="AN43:AS43"/>
    <mergeCell ref="AX43:BC43"/>
    <mergeCell ref="AG42:AI42"/>
    <mergeCell ref="AN42:AP42"/>
    <mergeCell ref="AQ42:AS42"/>
    <mergeCell ref="AX42:AZ42"/>
    <mergeCell ref="BA42:BC42"/>
    <mergeCell ref="BH42:BJ42"/>
    <mergeCell ref="AD44:AE44"/>
    <mergeCell ref="AF44:AG44"/>
    <mergeCell ref="AH44:AI44"/>
    <mergeCell ref="AN44:AO44"/>
    <mergeCell ref="AP44:AQ44"/>
    <mergeCell ref="BH43:BM43"/>
    <mergeCell ref="DP43:DU43"/>
    <mergeCell ref="DZ43:EE43"/>
    <mergeCell ref="G44:G45"/>
    <mergeCell ref="H44:I44"/>
    <mergeCell ref="J44:K44"/>
    <mergeCell ref="L44:M44"/>
    <mergeCell ref="N44:O44"/>
    <mergeCell ref="T44:U44"/>
    <mergeCell ref="V44:W44"/>
    <mergeCell ref="BB45:BC45"/>
    <mergeCell ref="ED44:EE44"/>
    <mergeCell ref="J45:K45"/>
    <mergeCell ref="L45:M45"/>
    <mergeCell ref="N45:O45"/>
    <mergeCell ref="T45:U45"/>
    <mergeCell ref="V45:W45"/>
    <mergeCell ref="X45:Y45"/>
    <mergeCell ref="AD45:AE45"/>
    <mergeCell ref="AF45:AG45"/>
    <mergeCell ref="AH45:AI45"/>
    <mergeCell ref="BL44:BM44"/>
    <mergeCell ref="DP44:DQ44"/>
    <mergeCell ref="DR44:DS44"/>
    <mergeCell ref="DT44:DU44"/>
    <mergeCell ref="DZ44:EA44"/>
    <mergeCell ref="EB44:EC44"/>
    <mergeCell ref="AR44:AS44"/>
    <mergeCell ref="AX44:AY44"/>
    <mergeCell ref="AZ44:BA44"/>
    <mergeCell ref="BB44:BC44"/>
    <mergeCell ref="BH44:BI44"/>
    <mergeCell ref="BJ44:BK44"/>
    <mergeCell ref="X44:Y44"/>
    <mergeCell ref="BA50:BC50"/>
    <mergeCell ref="DP50:DU50"/>
    <mergeCell ref="AN50:AP50"/>
    <mergeCell ref="AQ50:AS50"/>
    <mergeCell ref="AX50:AZ50"/>
    <mergeCell ref="DZ50:EE50"/>
    <mergeCell ref="DZ45:EA45"/>
    <mergeCell ref="EB45:EC45"/>
    <mergeCell ref="ED45:EE45"/>
    <mergeCell ref="D50:D53"/>
    <mergeCell ref="J50:L50"/>
    <mergeCell ref="M50:O50"/>
    <mergeCell ref="T50:V50"/>
    <mergeCell ref="W50:Y50"/>
    <mergeCell ref="AD50:AF50"/>
    <mergeCell ref="AG50:AI50"/>
    <mergeCell ref="BH45:BI45"/>
    <mergeCell ref="BJ45:BK45"/>
    <mergeCell ref="BL45:BM45"/>
    <mergeCell ref="DP45:DQ45"/>
    <mergeCell ref="DR45:DS45"/>
    <mergeCell ref="DT45:DU45"/>
    <mergeCell ref="AN45:AO45"/>
    <mergeCell ref="AP45:AQ45"/>
    <mergeCell ref="AR45:AS45"/>
    <mergeCell ref="AX45:AY45"/>
    <mergeCell ref="AZ45:BA45"/>
    <mergeCell ref="AD51:AI51"/>
    <mergeCell ref="AN51:AS51"/>
    <mergeCell ref="G52:G53"/>
    <mergeCell ref="H52:I52"/>
    <mergeCell ref="J52:K52"/>
    <mergeCell ref="L52:M52"/>
    <mergeCell ref="N52:O52"/>
    <mergeCell ref="T52:U52"/>
    <mergeCell ref="V52:W52"/>
    <mergeCell ref="N53:O53"/>
    <mergeCell ref="T53:U53"/>
    <mergeCell ref="V53:W53"/>
    <mergeCell ref="X53:Y53"/>
    <mergeCell ref="E51:E52"/>
    <mergeCell ref="F51:F52"/>
    <mergeCell ref="J51:O51"/>
    <mergeCell ref="T51:Y51"/>
    <mergeCell ref="ED52:EE52"/>
    <mergeCell ref="AN52:AO52"/>
    <mergeCell ref="AP52:AQ52"/>
    <mergeCell ref="AR52:AS52"/>
    <mergeCell ref="AX52:AY52"/>
    <mergeCell ref="AZ52:BA52"/>
    <mergeCell ref="BB52:BC52"/>
    <mergeCell ref="AX51:BC51"/>
    <mergeCell ref="DP51:DU51"/>
    <mergeCell ref="DZ51:EE51"/>
    <mergeCell ref="DP52:DQ52"/>
    <mergeCell ref="DR52:DS52"/>
    <mergeCell ref="DT52:DU52"/>
    <mergeCell ref="DZ52:EA52"/>
    <mergeCell ref="EB52:EC52"/>
    <mergeCell ref="X52:Y52"/>
    <mergeCell ref="AD52:AE52"/>
    <mergeCell ref="AF52:AG52"/>
    <mergeCell ref="AH52:AI52"/>
    <mergeCell ref="DZ53:EA53"/>
    <mergeCell ref="EB53:EC53"/>
    <mergeCell ref="ED53:EE53"/>
    <mergeCell ref="B59:B72"/>
    <mergeCell ref="D60:D63"/>
    <mergeCell ref="J60:L60"/>
    <mergeCell ref="M60:O60"/>
    <mergeCell ref="T60:V60"/>
    <mergeCell ref="W60:Y60"/>
    <mergeCell ref="AD60:AF60"/>
    <mergeCell ref="AX53:AY53"/>
    <mergeCell ref="AZ53:BA53"/>
    <mergeCell ref="BB53:BC53"/>
    <mergeCell ref="DP53:DQ53"/>
    <mergeCell ref="DR53:DS53"/>
    <mergeCell ref="DT53:DU53"/>
    <mergeCell ref="AD53:AE53"/>
    <mergeCell ref="AF53:AG53"/>
    <mergeCell ref="AH53:AI53"/>
    <mergeCell ref="AN53:AO53"/>
    <mergeCell ref="AP53:AQ53"/>
    <mergeCell ref="AR53:AS53"/>
    <mergeCell ref="J53:K53"/>
    <mergeCell ref="L53:M53"/>
    <mergeCell ref="BK60:BM60"/>
    <mergeCell ref="DP60:DU60"/>
    <mergeCell ref="DZ60:EE60"/>
    <mergeCell ref="E61:E62"/>
    <mergeCell ref="F61:F62"/>
    <mergeCell ref="J61:O61"/>
    <mergeCell ref="T61:Y61"/>
    <mergeCell ref="AD61:AI61"/>
    <mergeCell ref="AN61:AS61"/>
    <mergeCell ref="AX61:BC61"/>
    <mergeCell ref="AG60:AI60"/>
    <mergeCell ref="AN60:AP60"/>
    <mergeCell ref="AQ60:AS60"/>
    <mergeCell ref="AX60:AZ60"/>
    <mergeCell ref="BA60:BC60"/>
    <mergeCell ref="BH60:BJ60"/>
    <mergeCell ref="AF62:AG62"/>
    <mergeCell ref="AH62:AI62"/>
    <mergeCell ref="AN62:AO62"/>
    <mergeCell ref="AP62:AQ62"/>
    <mergeCell ref="BH61:BM61"/>
    <mergeCell ref="DP61:DU61"/>
    <mergeCell ref="DZ61:EE61"/>
    <mergeCell ref="G62:G63"/>
    <mergeCell ref="H62:I62"/>
    <mergeCell ref="J62:K62"/>
    <mergeCell ref="L62:M62"/>
    <mergeCell ref="N62:O62"/>
    <mergeCell ref="T62:U62"/>
    <mergeCell ref="V62:W62"/>
    <mergeCell ref="ED62:EE62"/>
    <mergeCell ref="J63:K63"/>
    <mergeCell ref="L63:M63"/>
    <mergeCell ref="N63:O63"/>
    <mergeCell ref="T63:U63"/>
    <mergeCell ref="V63:W63"/>
    <mergeCell ref="X63:Y63"/>
    <mergeCell ref="AD63:AE63"/>
    <mergeCell ref="AF63:AG63"/>
    <mergeCell ref="AH63:AI63"/>
    <mergeCell ref="BL62:BM62"/>
    <mergeCell ref="DP62:DQ62"/>
    <mergeCell ref="DR62:DS62"/>
    <mergeCell ref="DT62:DU62"/>
    <mergeCell ref="DZ62:EA62"/>
    <mergeCell ref="EB62:EC62"/>
    <mergeCell ref="AR62:AS62"/>
    <mergeCell ref="AX62:AY62"/>
    <mergeCell ref="AZ62:BA62"/>
    <mergeCell ref="BB62:BC62"/>
    <mergeCell ref="BH62:BI62"/>
    <mergeCell ref="BJ62:BK62"/>
    <mergeCell ref="X62:Y62"/>
    <mergeCell ref="AD62:AE62"/>
    <mergeCell ref="DZ63:EA63"/>
    <mergeCell ref="EB63:EC63"/>
    <mergeCell ref="ED63:EE63"/>
    <mergeCell ref="BL63:BM63"/>
    <mergeCell ref="DP63:DQ63"/>
    <mergeCell ref="DR63:DS63"/>
    <mergeCell ref="DT63:DU63"/>
    <mergeCell ref="D68:D71"/>
    <mergeCell ref="J68:L68"/>
    <mergeCell ref="M68:O68"/>
    <mergeCell ref="T68:V68"/>
    <mergeCell ref="W68:Y68"/>
    <mergeCell ref="AD68:AF68"/>
    <mergeCell ref="AG68:AI68"/>
    <mergeCell ref="BH63:BI63"/>
    <mergeCell ref="BJ63:BK63"/>
    <mergeCell ref="AN63:AO63"/>
    <mergeCell ref="AP63:AQ63"/>
    <mergeCell ref="AR63:AS63"/>
    <mergeCell ref="AX63:AY63"/>
    <mergeCell ref="AZ63:BA63"/>
    <mergeCell ref="BB63:BC63"/>
    <mergeCell ref="G70:G71"/>
    <mergeCell ref="H70:I70"/>
    <mergeCell ref="J70:K70"/>
    <mergeCell ref="L70:M70"/>
    <mergeCell ref="N70:O70"/>
    <mergeCell ref="T70:U70"/>
    <mergeCell ref="V70:W70"/>
    <mergeCell ref="X70:Y70"/>
    <mergeCell ref="AD71:AE71"/>
    <mergeCell ref="DP68:DU68"/>
    <mergeCell ref="DZ68:EE68"/>
    <mergeCell ref="E69:E70"/>
    <mergeCell ref="F69:F70"/>
    <mergeCell ref="J69:O69"/>
    <mergeCell ref="T69:Y69"/>
    <mergeCell ref="AD69:AI69"/>
    <mergeCell ref="AN69:AS69"/>
    <mergeCell ref="AX69:BC69"/>
    <mergeCell ref="BH69:BM69"/>
    <mergeCell ref="AN68:AP68"/>
    <mergeCell ref="AQ68:AS68"/>
    <mergeCell ref="AX68:AZ68"/>
    <mergeCell ref="BA68:BC68"/>
    <mergeCell ref="BH68:BJ68"/>
    <mergeCell ref="BK68:BM68"/>
    <mergeCell ref="AD70:AE70"/>
    <mergeCell ref="AF70:AG70"/>
    <mergeCell ref="AH70:AI70"/>
    <mergeCell ref="AN70:AO70"/>
    <mergeCell ref="AP70:AQ70"/>
    <mergeCell ref="AR70:AS70"/>
    <mergeCell ref="DP69:DU69"/>
    <mergeCell ref="DZ69:EE69"/>
    <mergeCell ref="DP70:DQ70"/>
    <mergeCell ref="DR70:DS70"/>
    <mergeCell ref="DT70:DU70"/>
    <mergeCell ref="DZ70:EA70"/>
    <mergeCell ref="EB70:EC70"/>
    <mergeCell ref="ED70:EE70"/>
    <mergeCell ref="AX70:AY70"/>
    <mergeCell ref="AZ70:BA70"/>
    <mergeCell ref="BB70:BC70"/>
    <mergeCell ref="BH70:BI70"/>
    <mergeCell ref="BJ70:BK70"/>
    <mergeCell ref="BL70:BM70"/>
    <mergeCell ref="AF71:AG71"/>
    <mergeCell ref="AH71:AI71"/>
    <mergeCell ref="AN71:AO71"/>
    <mergeCell ref="AP71:AQ71"/>
    <mergeCell ref="AR71:AS71"/>
    <mergeCell ref="J71:K71"/>
    <mergeCell ref="L71:M71"/>
    <mergeCell ref="N71:O71"/>
    <mergeCell ref="T71:U71"/>
    <mergeCell ref="V71:W71"/>
    <mergeCell ref="X71:Y71"/>
    <mergeCell ref="DP71:DQ71"/>
    <mergeCell ref="DR71:DS71"/>
    <mergeCell ref="DT71:DU71"/>
    <mergeCell ref="DZ71:EA71"/>
    <mergeCell ref="EB71:EC71"/>
    <mergeCell ref="ED71:EE71"/>
    <mergeCell ref="AX71:AY71"/>
    <mergeCell ref="AZ71:BA71"/>
    <mergeCell ref="BB71:BC71"/>
    <mergeCell ref="BH71:BI71"/>
    <mergeCell ref="BJ71:BK71"/>
    <mergeCell ref="BL71:BM71"/>
    <mergeCell ref="B77:B90"/>
    <mergeCell ref="D78:D81"/>
    <mergeCell ref="J78:L78"/>
    <mergeCell ref="M78:O78"/>
    <mergeCell ref="T78:V78"/>
    <mergeCell ref="W78:Y78"/>
    <mergeCell ref="V80:W80"/>
    <mergeCell ref="X80:Y80"/>
    <mergeCell ref="J81:K81"/>
    <mergeCell ref="L81:M81"/>
    <mergeCell ref="N80:O80"/>
    <mergeCell ref="T80:U80"/>
    <mergeCell ref="V81:W81"/>
    <mergeCell ref="X81:Y81"/>
    <mergeCell ref="L88:M88"/>
    <mergeCell ref="N88:O88"/>
    <mergeCell ref="T88:U88"/>
    <mergeCell ref="J89:K89"/>
    <mergeCell ref="L89:M89"/>
    <mergeCell ref="N89:O89"/>
    <mergeCell ref="T89:U89"/>
    <mergeCell ref="V89:W89"/>
    <mergeCell ref="DP78:DU78"/>
    <mergeCell ref="DZ78:EE78"/>
    <mergeCell ref="E79:E80"/>
    <mergeCell ref="F79:F80"/>
    <mergeCell ref="J79:O79"/>
    <mergeCell ref="T79:Y79"/>
    <mergeCell ref="AD79:AI79"/>
    <mergeCell ref="AN79:AS79"/>
    <mergeCell ref="AD78:AF78"/>
    <mergeCell ref="AG78:AI78"/>
    <mergeCell ref="AN78:AP78"/>
    <mergeCell ref="AQ78:AS78"/>
    <mergeCell ref="AX78:AZ78"/>
    <mergeCell ref="BA78:BC78"/>
    <mergeCell ref="AX79:BC79"/>
    <mergeCell ref="DP79:DU79"/>
    <mergeCell ref="DZ79:EE79"/>
    <mergeCell ref="G80:G81"/>
    <mergeCell ref="H80:I80"/>
    <mergeCell ref="J80:K80"/>
    <mergeCell ref="L80:M80"/>
    <mergeCell ref="AX80:AY80"/>
    <mergeCell ref="AZ80:BA80"/>
    <mergeCell ref="BB80:BC80"/>
    <mergeCell ref="AD80:AE80"/>
    <mergeCell ref="AF80:AG80"/>
    <mergeCell ref="AH80:AI80"/>
    <mergeCell ref="AN80:AO80"/>
    <mergeCell ref="AP80:AQ80"/>
    <mergeCell ref="AR80:AS80"/>
    <mergeCell ref="DP80:DQ80"/>
    <mergeCell ref="DR80:DS80"/>
    <mergeCell ref="DT80:DU80"/>
    <mergeCell ref="DZ80:EA80"/>
    <mergeCell ref="EB80:EC80"/>
    <mergeCell ref="DT81:DU81"/>
    <mergeCell ref="DZ81:EA81"/>
    <mergeCell ref="EB81:EC81"/>
    <mergeCell ref="ED80:EE80"/>
    <mergeCell ref="ED81:EE81"/>
    <mergeCell ref="D86:D89"/>
    <mergeCell ref="J86:L86"/>
    <mergeCell ref="M86:O86"/>
    <mergeCell ref="T86:V86"/>
    <mergeCell ref="W86:Y86"/>
    <mergeCell ref="AD86:AF86"/>
    <mergeCell ref="BB81:BC81"/>
    <mergeCell ref="DP81:DQ81"/>
    <mergeCell ref="DR81:DS81"/>
    <mergeCell ref="AH81:AI81"/>
    <mergeCell ref="AN81:AO81"/>
    <mergeCell ref="AP81:AQ81"/>
    <mergeCell ref="AR81:AS81"/>
    <mergeCell ref="AX81:AY81"/>
    <mergeCell ref="AZ81:BA81"/>
    <mergeCell ref="N81:O81"/>
    <mergeCell ref="T81:U81"/>
    <mergeCell ref="G88:G89"/>
    <mergeCell ref="H88:I88"/>
    <mergeCell ref="J88:K88"/>
    <mergeCell ref="AD81:AE81"/>
    <mergeCell ref="AF81:AG81"/>
    <mergeCell ref="DZ86:EE86"/>
    <mergeCell ref="E87:E88"/>
    <mergeCell ref="F87:F88"/>
    <mergeCell ref="J87:O87"/>
    <mergeCell ref="T87:Y87"/>
    <mergeCell ref="AD87:AI87"/>
    <mergeCell ref="AN87:AS87"/>
    <mergeCell ref="AX87:BC87"/>
    <mergeCell ref="DP87:DU87"/>
    <mergeCell ref="DZ87:EE87"/>
    <mergeCell ref="AG86:AI86"/>
    <mergeCell ref="AN86:AP86"/>
    <mergeCell ref="AQ86:AS86"/>
    <mergeCell ref="AX86:AZ86"/>
    <mergeCell ref="BA86:BC86"/>
    <mergeCell ref="DP86:DU86"/>
    <mergeCell ref="DR88:DS88"/>
    <mergeCell ref="DT88:DU88"/>
    <mergeCell ref="DZ88:EA88"/>
    <mergeCell ref="EB88:EC88"/>
    <mergeCell ref="ED88:EE88"/>
    <mergeCell ref="AP88:AQ88"/>
    <mergeCell ref="AR88:AS88"/>
    <mergeCell ref="AX88:AY88"/>
    <mergeCell ref="AZ88:BA88"/>
    <mergeCell ref="BB88:BC88"/>
    <mergeCell ref="DP88:DQ88"/>
    <mergeCell ref="V88:W88"/>
    <mergeCell ref="X88:Y88"/>
    <mergeCell ref="AD88:AE88"/>
    <mergeCell ref="AF88:AG88"/>
    <mergeCell ref="AH88:AI88"/>
    <mergeCell ref="AN88:AO88"/>
    <mergeCell ref="AR89:AS89"/>
    <mergeCell ref="AX89:AY89"/>
    <mergeCell ref="AZ89:BA89"/>
    <mergeCell ref="BB89:BC89"/>
    <mergeCell ref="DP89:DQ89"/>
    <mergeCell ref="DR89:DS89"/>
    <mergeCell ref="X89:Y89"/>
    <mergeCell ref="AD89:AE89"/>
    <mergeCell ref="AF89:AG89"/>
    <mergeCell ref="AH89:AI89"/>
    <mergeCell ref="AN89:AO89"/>
    <mergeCell ref="AP89:AQ89"/>
    <mergeCell ref="DT89:DU89"/>
    <mergeCell ref="DZ89:EA89"/>
    <mergeCell ref="EB89:EC89"/>
    <mergeCell ref="ED89:EE89"/>
    <mergeCell ref="BI95:BI108"/>
    <mergeCell ref="BR96:BW96"/>
    <mergeCell ref="BR97:BW97"/>
    <mergeCell ref="BR98:BS98"/>
    <mergeCell ref="BT98:BU98"/>
    <mergeCell ref="BV98:BW98"/>
    <mergeCell ref="BR99:BS99"/>
    <mergeCell ref="BT99:BU99"/>
    <mergeCell ref="BV99:BW99"/>
    <mergeCell ref="BL100:BL107"/>
    <mergeCell ref="BJ100:BJ107"/>
    <mergeCell ref="BJ95:BJ99"/>
    <mergeCell ref="BN100:BQ107"/>
    <mergeCell ref="BS100:BS107"/>
    <mergeCell ref="BU100:BU107"/>
    <mergeCell ref="BW100:BW107"/>
    <mergeCell ref="BH6:BJ6"/>
    <mergeCell ref="BK6:BM6"/>
    <mergeCell ref="BH7:BM7"/>
    <mergeCell ref="BH8:BI8"/>
    <mergeCell ref="BJ8:BK8"/>
    <mergeCell ref="BL8:BM8"/>
    <mergeCell ref="BH9:BI9"/>
    <mergeCell ref="BJ9:BK9"/>
    <mergeCell ref="BL9:BM9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E100"/>
  <sheetViews>
    <sheetView zoomScaleNormal="100" workbookViewId="0">
      <selection activeCell="B2" sqref="B2:CA2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171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5" spans="2:135" ht="10.050000000000001" customHeight="1" thickBot="1" x14ac:dyDescent="0.35">
      <c r="B5" s="118" t="s">
        <v>0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121</v>
      </c>
      <c r="K6" s="25"/>
      <c r="L6" s="26"/>
      <c r="M6" s="38" t="s">
        <v>109</v>
      </c>
      <c r="N6" s="39"/>
      <c r="O6" s="40"/>
      <c r="P6" s="4"/>
      <c r="Q6" s="4"/>
      <c r="R6" s="4"/>
      <c r="S6" s="4"/>
      <c r="T6" s="24" t="s">
        <v>119</v>
      </c>
      <c r="U6" s="25"/>
      <c r="V6" s="26"/>
      <c r="W6" s="38" t="s">
        <v>109</v>
      </c>
      <c r="X6" s="39"/>
      <c r="Y6" s="40"/>
      <c r="Z6" s="4"/>
      <c r="AA6" s="4"/>
      <c r="AB6" s="4"/>
      <c r="AC6" s="4"/>
      <c r="AD6" s="24" t="s">
        <v>114</v>
      </c>
      <c r="AE6" s="25"/>
      <c r="AF6" s="26"/>
      <c r="AG6" s="38">
        <v>111</v>
      </c>
      <c r="AH6" s="39"/>
      <c r="AI6" s="40"/>
      <c r="AJ6" s="4"/>
      <c r="AK6" s="4"/>
      <c r="AL6" s="4"/>
      <c r="AM6" s="4"/>
      <c r="AN6" s="24" t="s">
        <v>90</v>
      </c>
      <c r="AO6" s="25"/>
      <c r="AP6" s="26"/>
      <c r="AQ6" s="27" t="s">
        <v>116</v>
      </c>
      <c r="AR6" s="28"/>
      <c r="AS6" s="29"/>
      <c r="AT6" s="4"/>
      <c r="AU6" s="4"/>
      <c r="AV6" s="4"/>
      <c r="AW6" s="4"/>
      <c r="AX6" s="24" t="s">
        <v>114</v>
      </c>
      <c r="AY6" s="25"/>
      <c r="AZ6" s="26"/>
      <c r="BA6" s="27" t="s">
        <v>115</v>
      </c>
      <c r="BB6" s="28"/>
      <c r="BC6" s="29"/>
      <c r="BD6" s="4"/>
      <c r="BE6" s="4"/>
      <c r="BF6" s="4"/>
      <c r="BG6" s="4"/>
      <c r="BH6" s="24" t="s">
        <v>19</v>
      </c>
      <c r="BI6" s="25"/>
      <c r="BJ6" s="26"/>
      <c r="BK6" s="27" t="s">
        <v>33</v>
      </c>
      <c r="BL6" s="28"/>
      <c r="BM6" s="29"/>
      <c r="BN6" s="4"/>
      <c r="BO6" s="4"/>
      <c r="BP6" s="4"/>
      <c r="BQ6" s="4"/>
      <c r="BR6" s="24" t="s">
        <v>162</v>
      </c>
      <c r="BS6" s="25"/>
      <c r="BT6" s="26"/>
      <c r="BU6" s="27" t="s">
        <v>169</v>
      </c>
      <c r="BV6" s="28"/>
      <c r="BW6" s="29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SUM(N8,X8,AH8,AR8,BB8,BL8,BV8)</f>
        <v>945</v>
      </c>
      <c r="H7" s="2"/>
      <c r="I7" s="2"/>
      <c r="J7" s="114" t="s">
        <v>21</v>
      </c>
      <c r="K7" s="115"/>
      <c r="L7" s="115"/>
      <c r="M7" s="115"/>
      <c r="N7" s="116"/>
      <c r="O7" s="117"/>
      <c r="P7" s="4"/>
      <c r="Q7" s="4"/>
      <c r="R7" s="4"/>
      <c r="S7" s="4"/>
      <c r="T7" s="114" t="s">
        <v>120</v>
      </c>
      <c r="U7" s="115"/>
      <c r="V7" s="115"/>
      <c r="W7" s="115"/>
      <c r="X7" s="116"/>
      <c r="Y7" s="117"/>
      <c r="Z7" s="4"/>
      <c r="AA7" s="4"/>
      <c r="AB7" s="4"/>
      <c r="AC7" s="4"/>
      <c r="AD7" s="30" t="s">
        <v>161</v>
      </c>
      <c r="AE7" s="31"/>
      <c r="AF7" s="31"/>
      <c r="AG7" s="31"/>
      <c r="AH7" s="32"/>
      <c r="AI7" s="33"/>
      <c r="AJ7" s="4"/>
      <c r="AK7" s="4"/>
      <c r="AL7" s="4"/>
      <c r="AM7" s="4"/>
      <c r="AN7" s="30" t="s">
        <v>118</v>
      </c>
      <c r="AO7" s="31"/>
      <c r="AP7" s="31"/>
      <c r="AQ7" s="31"/>
      <c r="AR7" s="32"/>
      <c r="AS7" s="33"/>
      <c r="AT7" s="4"/>
      <c r="AU7" s="4"/>
      <c r="AV7" s="4"/>
      <c r="AW7" s="4"/>
      <c r="AX7" s="30" t="s">
        <v>23</v>
      </c>
      <c r="AY7" s="31"/>
      <c r="AZ7" s="31"/>
      <c r="BA7" s="31"/>
      <c r="BB7" s="32"/>
      <c r="BC7" s="33"/>
      <c r="BD7" s="4"/>
      <c r="BE7" s="4"/>
      <c r="BF7" s="4"/>
      <c r="BG7" s="4"/>
      <c r="BH7" s="53" t="s">
        <v>32</v>
      </c>
      <c r="BI7" s="54"/>
      <c r="BJ7" s="54"/>
      <c r="BK7" s="54"/>
      <c r="BL7" s="55"/>
      <c r="BM7" s="56"/>
      <c r="BN7" s="4"/>
      <c r="BO7" s="4"/>
      <c r="BP7" s="4"/>
      <c r="BQ7" s="4"/>
      <c r="BR7" s="30" t="s">
        <v>163</v>
      </c>
      <c r="BS7" s="31"/>
      <c r="BT7" s="31"/>
      <c r="BU7" s="31"/>
      <c r="BV7" s="32"/>
      <c r="BW7" s="33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110">
        <v>2</v>
      </c>
      <c r="K8" s="111"/>
      <c r="L8" s="108">
        <v>2</v>
      </c>
      <c r="M8" s="111"/>
      <c r="N8" s="108">
        <v>90</v>
      </c>
      <c r="O8" s="109"/>
      <c r="P8" s="4"/>
      <c r="Q8" s="4"/>
      <c r="R8" s="4"/>
      <c r="S8" s="4"/>
      <c r="T8" s="110">
        <v>2</v>
      </c>
      <c r="U8" s="111"/>
      <c r="V8" s="108">
        <v>2</v>
      </c>
      <c r="W8" s="111"/>
      <c r="X8" s="108">
        <v>90</v>
      </c>
      <c r="Y8" s="109"/>
      <c r="Z8" s="4"/>
      <c r="AA8" s="4"/>
      <c r="AB8" s="4"/>
      <c r="AC8" s="4"/>
      <c r="AD8" s="34">
        <v>3</v>
      </c>
      <c r="AE8" s="35"/>
      <c r="AF8" s="36">
        <v>4</v>
      </c>
      <c r="AG8" s="35"/>
      <c r="AH8" s="36">
        <v>150</v>
      </c>
      <c r="AI8" s="37"/>
      <c r="AJ8" s="4"/>
      <c r="AK8" s="4"/>
      <c r="AL8" s="4"/>
      <c r="AM8" s="4"/>
      <c r="AN8" s="34">
        <v>3</v>
      </c>
      <c r="AO8" s="35"/>
      <c r="AP8" s="36">
        <v>4</v>
      </c>
      <c r="AQ8" s="35"/>
      <c r="AR8" s="36">
        <v>150</v>
      </c>
      <c r="AS8" s="37"/>
      <c r="AT8" s="4"/>
      <c r="AU8" s="4"/>
      <c r="AV8" s="4"/>
      <c r="AW8" s="4"/>
      <c r="AX8" s="34">
        <v>3</v>
      </c>
      <c r="AY8" s="35"/>
      <c r="AZ8" s="36">
        <v>4</v>
      </c>
      <c r="BA8" s="35"/>
      <c r="BB8" s="36">
        <v>150</v>
      </c>
      <c r="BC8" s="37"/>
      <c r="BD8" s="4"/>
      <c r="BE8" s="4"/>
      <c r="BF8" s="4"/>
      <c r="BG8" s="4"/>
      <c r="BH8" s="57">
        <v>3</v>
      </c>
      <c r="BI8" s="58"/>
      <c r="BJ8" s="59">
        <v>6</v>
      </c>
      <c r="BK8" s="58"/>
      <c r="BL8" s="59">
        <v>180</v>
      </c>
      <c r="BM8" s="91"/>
      <c r="BN8" s="4"/>
      <c r="BO8" s="4"/>
      <c r="BP8" s="4"/>
      <c r="BQ8" s="4"/>
      <c r="BR8" s="34">
        <v>2</v>
      </c>
      <c r="BS8" s="35"/>
      <c r="BT8" s="36">
        <v>5</v>
      </c>
      <c r="BU8" s="35"/>
      <c r="BV8" s="36">
        <v>135</v>
      </c>
      <c r="BW8" s="37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SUM(J8,T8,AD8,AN8,AX8,BH8,BR8)</f>
        <v>18</v>
      </c>
      <c r="F9" s="11">
        <f>SUM(J9:BW9)</f>
        <v>27</v>
      </c>
      <c r="G9" s="105"/>
      <c r="H9" s="2"/>
      <c r="I9" s="2"/>
      <c r="J9" s="112">
        <v>2</v>
      </c>
      <c r="K9" s="113"/>
      <c r="L9" s="106">
        <v>0</v>
      </c>
      <c r="M9" s="113"/>
      <c r="N9" s="106">
        <v>0</v>
      </c>
      <c r="O9" s="107"/>
      <c r="P9" s="4"/>
      <c r="Q9" s="4"/>
      <c r="R9" s="4"/>
      <c r="S9" s="4"/>
      <c r="T9" s="112">
        <v>2</v>
      </c>
      <c r="U9" s="113"/>
      <c r="V9" s="106">
        <v>0</v>
      </c>
      <c r="W9" s="113"/>
      <c r="X9" s="106">
        <v>0</v>
      </c>
      <c r="Y9" s="107"/>
      <c r="Z9" s="4"/>
      <c r="AA9" s="4"/>
      <c r="AB9" s="4"/>
      <c r="AC9" s="4"/>
      <c r="AD9" s="20">
        <v>3</v>
      </c>
      <c r="AE9" s="21"/>
      <c r="AF9" s="22">
        <v>1</v>
      </c>
      <c r="AG9" s="21"/>
      <c r="AH9" s="22">
        <v>0</v>
      </c>
      <c r="AI9" s="23"/>
      <c r="AJ9" s="4"/>
      <c r="AK9" s="4"/>
      <c r="AL9" s="4"/>
      <c r="AM9" s="4"/>
      <c r="AN9" s="20">
        <v>2</v>
      </c>
      <c r="AO9" s="21"/>
      <c r="AP9" s="22">
        <v>2</v>
      </c>
      <c r="AQ9" s="21"/>
      <c r="AR9" s="22">
        <v>0</v>
      </c>
      <c r="AS9" s="23"/>
      <c r="AT9" s="4"/>
      <c r="AU9" s="4"/>
      <c r="AV9" s="4"/>
      <c r="AW9" s="4"/>
      <c r="AX9" s="20">
        <v>2</v>
      </c>
      <c r="AY9" s="21"/>
      <c r="AZ9" s="22">
        <v>2</v>
      </c>
      <c r="BA9" s="21"/>
      <c r="BB9" s="22">
        <v>0</v>
      </c>
      <c r="BC9" s="23"/>
      <c r="BD9" s="4"/>
      <c r="BE9" s="4"/>
      <c r="BF9" s="4"/>
      <c r="BG9" s="4"/>
      <c r="BH9" s="92">
        <v>3</v>
      </c>
      <c r="BI9" s="93"/>
      <c r="BJ9" s="70">
        <v>3</v>
      </c>
      <c r="BK9" s="93"/>
      <c r="BL9" s="70">
        <v>0</v>
      </c>
      <c r="BM9" s="71"/>
      <c r="BN9" s="4"/>
      <c r="BO9" s="4"/>
      <c r="BP9" s="4"/>
      <c r="BQ9" s="4"/>
      <c r="BR9" s="20">
        <v>1</v>
      </c>
      <c r="BS9" s="21"/>
      <c r="BT9" s="22">
        <v>2</v>
      </c>
      <c r="BU9" s="21"/>
      <c r="BV9" s="22">
        <v>2</v>
      </c>
      <c r="BW9" s="23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122</v>
      </c>
      <c r="K14" s="25"/>
      <c r="L14" s="26"/>
      <c r="M14" s="38" t="s">
        <v>109</v>
      </c>
      <c r="N14" s="39"/>
      <c r="O14" s="40"/>
      <c r="P14" s="4"/>
      <c r="Q14" s="4"/>
      <c r="R14" s="4"/>
      <c r="S14" s="4"/>
      <c r="T14" s="24" t="s">
        <v>114</v>
      </c>
      <c r="U14" s="25"/>
      <c r="V14" s="26"/>
      <c r="W14" s="38">
        <v>114</v>
      </c>
      <c r="X14" s="39"/>
      <c r="Y14" s="40"/>
      <c r="Z14" s="4"/>
      <c r="AA14" s="4"/>
      <c r="AB14" s="4"/>
      <c r="AC14" s="4"/>
      <c r="AD14" s="24" t="s">
        <v>114</v>
      </c>
      <c r="AE14" s="25"/>
      <c r="AF14" s="26"/>
      <c r="AG14" s="38">
        <v>131</v>
      </c>
      <c r="AH14" s="39"/>
      <c r="AI14" s="40"/>
      <c r="AJ14" s="4"/>
      <c r="AK14" s="4"/>
      <c r="AL14" s="4"/>
      <c r="AM14" s="4"/>
      <c r="AN14" s="24" t="s">
        <v>90</v>
      </c>
      <c r="AO14" s="25"/>
      <c r="AP14" s="26"/>
      <c r="AQ14" s="27" t="s">
        <v>164</v>
      </c>
      <c r="AR14" s="28"/>
      <c r="AS14" s="29"/>
      <c r="AT14" s="4"/>
      <c r="AU14" s="4"/>
      <c r="AV14" s="4"/>
      <c r="AW14" s="4"/>
      <c r="AX14" s="24" t="s">
        <v>19</v>
      </c>
      <c r="AY14" s="25"/>
      <c r="AZ14" s="26"/>
      <c r="BA14" s="38">
        <v>113</v>
      </c>
      <c r="BB14" s="39"/>
      <c r="BC14" s="40"/>
      <c r="BD14" s="4"/>
      <c r="BE14" s="4"/>
      <c r="BF14" s="4"/>
      <c r="BG14" s="4"/>
      <c r="BH14" s="24" t="s">
        <v>19</v>
      </c>
      <c r="BI14" s="25"/>
      <c r="BJ14" s="26"/>
      <c r="BK14" s="27" t="s">
        <v>35</v>
      </c>
      <c r="BL14" s="28"/>
      <c r="BM14" s="29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900</v>
      </c>
      <c r="H15" s="2"/>
      <c r="I15" s="2"/>
      <c r="J15" s="114" t="s">
        <v>123</v>
      </c>
      <c r="K15" s="115"/>
      <c r="L15" s="115"/>
      <c r="M15" s="115"/>
      <c r="N15" s="116"/>
      <c r="O15" s="117"/>
      <c r="P15" s="4"/>
      <c r="Q15" s="4"/>
      <c r="R15" s="4"/>
      <c r="S15" s="4"/>
      <c r="T15" s="30" t="s">
        <v>117</v>
      </c>
      <c r="U15" s="31"/>
      <c r="V15" s="31"/>
      <c r="W15" s="31"/>
      <c r="X15" s="32"/>
      <c r="Y15" s="33"/>
      <c r="Z15" s="4"/>
      <c r="AA15" s="4"/>
      <c r="AB15" s="4"/>
      <c r="AC15" s="4"/>
      <c r="AD15" s="30" t="s">
        <v>124</v>
      </c>
      <c r="AE15" s="31"/>
      <c r="AF15" s="31"/>
      <c r="AG15" s="31"/>
      <c r="AH15" s="32"/>
      <c r="AI15" s="33"/>
      <c r="AJ15" s="4"/>
      <c r="AK15" s="4"/>
      <c r="AL15" s="4"/>
      <c r="AM15" s="4"/>
      <c r="AN15" s="30" t="s">
        <v>165</v>
      </c>
      <c r="AO15" s="31"/>
      <c r="AP15" s="31"/>
      <c r="AQ15" s="31"/>
      <c r="AR15" s="32"/>
      <c r="AS15" s="33"/>
      <c r="AT15" s="4"/>
      <c r="AU15" s="4"/>
      <c r="AV15" s="4"/>
      <c r="AW15" s="4"/>
      <c r="AX15" s="30" t="s">
        <v>24</v>
      </c>
      <c r="AY15" s="31"/>
      <c r="AZ15" s="31"/>
      <c r="BA15" s="31"/>
      <c r="BB15" s="32"/>
      <c r="BC15" s="33"/>
      <c r="BD15" s="4"/>
      <c r="BE15" s="4"/>
      <c r="BF15" s="4"/>
      <c r="BG15" s="4"/>
      <c r="BH15" s="53" t="s">
        <v>34</v>
      </c>
      <c r="BI15" s="54"/>
      <c r="BJ15" s="54"/>
      <c r="BK15" s="54"/>
      <c r="BL15" s="55"/>
      <c r="BM15" s="56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110">
        <v>2</v>
      </c>
      <c r="K16" s="111"/>
      <c r="L16" s="108">
        <v>2</v>
      </c>
      <c r="M16" s="111"/>
      <c r="N16" s="108">
        <v>90</v>
      </c>
      <c r="O16" s="109"/>
      <c r="P16" s="4"/>
      <c r="Q16" s="4"/>
      <c r="R16" s="4"/>
      <c r="S16" s="4"/>
      <c r="T16" s="34">
        <v>4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2</v>
      </c>
      <c r="AE16" s="35"/>
      <c r="AF16" s="36">
        <v>3</v>
      </c>
      <c r="AG16" s="35"/>
      <c r="AH16" s="36">
        <v>105</v>
      </c>
      <c r="AI16" s="37"/>
      <c r="AJ16" s="4"/>
      <c r="AK16" s="4"/>
      <c r="AL16" s="4"/>
      <c r="AM16" s="4"/>
      <c r="AN16" s="34">
        <v>3</v>
      </c>
      <c r="AO16" s="35"/>
      <c r="AP16" s="36">
        <v>4</v>
      </c>
      <c r="AQ16" s="35"/>
      <c r="AR16" s="36">
        <v>150</v>
      </c>
      <c r="AS16" s="37"/>
      <c r="AT16" s="4"/>
      <c r="AU16" s="4"/>
      <c r="AV16" s="4"/>
      <c r="AW16" s="4"/>
      <c r="AX16" s="34">
        <v>3</v>
      </c>
      <c r="AY16" s="35"/>
      <c r="AZ16" s="36">
        <v>6</v>
      </c>
      <c r="BA16" s="35"/>
      <c r="BB16" s="36">
        <v>180</v>
      </c>
      <c r="BC16" s="37"/>
      <c r="BD16" s="4"/>
      <c r="BE16" s="4"/>
      <c r="BF16" s="4"/>
      <c r="BG16" s="4"/>
      <c r="BH16" s="57">
        <v>3</v>
      </c>
      <c r="BI16" s="58"/>
      <c r="BJ16" s="59">
        <v>6</v>
      </c>
      <c r="BK16" s="58"/>
      <c r="BL16" s="59">
        <v>180</v>
      </c>
      <c r="BM16" s="91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SUM(J16,T16,AD16,AN16,AX16,BH16,BR16)</f>
        <v>17</v>
      </c>
      <c r="F17" s="11">
        <f>SUM(J17:BW17)</f>
        <v>26</v>
      </c>
      <c r="G17" s="105"/>
      <c r="H17" s="2"/>
      <c r="I17" s="2"/>
      <c r="J17" s="112">
        <v>2</v>
      </c>
      <c r="K17" s="113"/>
      <c r="L17" s="106">
        <v>0</v>
      </c>
      <c r="M17" s="113"/>
      <c r="N17" s="106">
        <v>0</v>
      </c>
      <c r="O17" s="107"/>
      <c r="P17" s="4"/>
      <c r="Q17" s="4"/>
      <c r="R17" s="4"/>
      <c r="S17" s="4"/>
      <c r="T17" s="20">
        <v>3</v>
      </c>
      <c r="U17" s="21"/>
      <c r="V17" s="22">
        <v>2</v>
      </c>
      <c r="W17" s="21"/>
      <c r="X17" s="22">
        <v>0</v>
      </c>
      <c r="Y17" s="23"/>
      <c r="Z17" s="4"/>
      <c r="AA17" s="4"/>
      <c r="AB17" s="4"/>
      <c r="AC17" s="4"/>
      <c r="AD17" s="20">
        <v>1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20">
        <v>2</v>
      </c>
      <c r="AO17" s="21"/>
      <c r="AP17" s="22">
        <v>2</v>
      </c>
      <c r="AQ17" s="21"/>
      <c r="AR17" s="22">
        <v>0</v>
      </c>
      <c r="AS17" s="23"/>
      <c r="AT17" s="4"/>
      <c r="AU17" s="4"/>
      <c r="AV17" s="4"/>
      <c r="AW17" s="4"/>
      <c r="AX17" s="20">
        <v>1</v>
      </c>
      <c r="AY17" s="21"/>
      <c r="AZ17" s="22">
        <v>3</v>
      </c>
      <c r="BA17" s="21"/>
      <c r="BB17" s="22">
        <v>2</v>
      </c>
      <c r="BC17" s="23"/>
      <c r="BD17" s="4"/>
      <c r="BE17" s="4"/>
      <c r="BF17" s="4"/>
      <c r="BG17" s="4"/>
      <c r="BH17" s="92">
        <v>3</v>
      </c>
      <c r="BI17" s="93"/>
      <c r="BJ17" s="70">
        <v>3</v>
      </c>
      <c r="BK17" s="93"/>
      <c r="BL17" s="70">
        <v>0</v>
      </c>
      <c r="BM17" s="71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4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127</v>
      </c>
      <c r="K24" s="25"/>
      <c r="L24" s="26"/>
      <c r="M24" s="38" t="s">
        <v>110</v>
      </c>
      <c r="N24" s="39"/>
      <c r="O24" s="40"/>
      <c r="P24" s="4"/>
      <c r="Q24" s="4"/>
      <c r="R24" s="4"/>
      <c r="S24" s="4"/>
      <c r="T24" s="24" t="s">
        <v>114</v>
      </c>
      <c r="U24" s="25"/>
      <c r="V24" s="26"/>
      <c r="W24" s="38">
        <v>313</v>
      </c>
      <c r="X24" s="39"/>
      <c r="Y24" s="40"/>
      <c r="Z24" s="4"/>
      <c r="AA24" s="4"/>
      <c r="AB24" s="4"/>
      <c r="AC24" s="4"/>
      <c r="AD24" s="24" t="s">
        <v>25</v>
      </c>
      <c r="AE24" s="25"/>
      <c r="AF24" s="26"/>
      <c r="AG24" s="38">
        <v>115</v>
      </c>
      <c r="AH24" s="39"/>
      <c r="AI24" s="40"/>
      <c r="AJ24" s="4"/>
      <c r="AK24" s="4"/>
      <c r="AL24" s="4"/>
      <c r="AM24" s="4"/>
      <c r="AN24" s="24" t="s">
        <v>19</v>
      </c>
      <c r="AO24" s="25"/>
      <c r="AP24" s="26"/>
      <c r="AQ24" s="38">
        <v>111</v>
      </c>
      <c r="AR24" s="102"/>
      <c r="AS24" s="103"/>
      <c r="AT24" s="4"/>
      <c r="AU24" s="4"/>
      <c r="AV24" s="4"/>
      <c r="AW24" s="4"/>
      <c r="AX24" s="24" t="s">
        <v>19</v>
      </c>
      <c r="AY24" s="25"/>
      <c r="AZ24" s="26"/>
      <c r="BA24" s="38">
        <v>131</v>
      </c>
      <c r="BB24" s="102"/>
      <c r="BC24" s="103"/>
      <c r="BD24" s="4"/>
      <c r="BE24" s="4"/>
      <c r="BF24" s="4"/>
      <c r="BG24" s="4"/>
      <c r="BH24" s="24" t="s">
        <v>48</v>
      </c>
      <c r="BI24" s="25"/>
      <c r="BJ24" s="26"/>
      <c r="BK24" s="38">
        <v>111</v>
      </c>
      <c r="BL24" s="39"/>
      <c r="BM24" s="40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57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SUM(N26,X26,AH26,AR26,BB26,BL26)</f>
        <v>1005</v>
      </c>
      <c r="H25" s="2"/>
      <c r="I25" s="2"/>
      <c r="J25" s="114" t="s">
        <v>128</v>
      </c>
      <c r="K25" s="115"/>
      <c r="L25" s="115"/>
      <c r="M25" s="115"/>
      <c r="N25" s="116"/>
      <c r="O25" s="117"/>
      <c r="P25" s="4"/>
      <c r="Q25" s="4"/>
      <c r="R25" s="4"/>
      <c r="S25" s="4"/>
      <c r="T25" s="30" t="s">
        <v>125</v>
      </c>
      <c r="U25" s="31"/>
      <c r="V25" s="31"/>
      <c r="W25" s="31"/>
      <c r="X25" s="32"/>
      <c r="Y25" s="33"/>
      <c r="Z25" s="4"/>
      <c r="AA25" s="4"/>
      <c r="AB25" s="4"/>
      <c r="AC25" s="4"/>
      <c r="AD25" s="30" t="s">
        <v>166</v>
      </c>
      <c r="AE25" s="31"/>
      <c r="AF25" s="31"/>
      <c r="AG25" s="31"/>
      <c r="AH25" s="32"/>
      <c r="AI25" s="33"/>
      <c r="AJ25" s="4"/>
      <c r="AK25" s="4"/>
      <c r="AL25" s="4"/>
      <c r="AM25" s="4"/>
      <c r="AN25" s="53" t="s">
        <v>36</v>
      </c>
      <c r="AO25" s="54"/>
      <c r="AP25" s="54"/>
      <c r="AQ25" s="54"/>
      <c r="AR25" s="55"/>
      <c r="AS25" s="56"/>
      <c r="AT25" s="4"/>
      <c r="AU25" s="4"/>
      <c r="AV25" s="4"/>
      <c r="AW25" s="4"/>
      <c r="AX25" s="53" t="s">
        <v>37</v>
      </c>
      <c r="AY25" s="54"/>
      <c r="AZ25" s="54"/>
      <c r="BA25" s="54"/>
      <c r="BB25" s="55"/>
      <c r="BC25" s="56"/>
      <c r="BD25" s="4"/>
      <c r="BE25" s="4"/>
      <c r="BF25" s="4"/>
      <c r="BG25" s="4"/>
      <c r="BH25" s="146" t="s">
        <v>47</v>
      </c>
      <c r="BI25" s="147"/>
      <c r="BJ25" s="147"/>
      <c r="BK25" s="147"/>
      <c r="BL25" s="148"/>
      <c r="BM25" s="149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110">
        <v>2</v>
      </c>
      <c r="K26" s="111"/>
      <c r="L26" s="108">
        <v>2</v>
      </c>
      <c r="M26" s="111"/>
      <c r="N26" s="108">
        <v>90</v>
      </c>
      <c r="O26" s="109"/>
      <c r="P26" s="4"/>
      <c r="Q26" s="4"/>
      <c r="R26" s="4"/>
      <c r="S26" s="4"/>
      <c r="T26" s="34">
        <v>4</v>
      </c>
      <c r="U26" s="35"/>
      <c r="V26" s="36">
        <v>5</v>
      </c>
      <c r="W26" s="35"/>
      <c r="X26" s="36">
        <v>195</v>
      </c>
      <c r="Y26" s="37"/>
      <c r="Z26" s="4"/>
      <c r="AA26" s="4"/>
      <c r="AB26" s="4"/>
      <c r="AC26" s="4"/>
      <c r="AD26" s="34">
        <v>3</v>
      </c>
      <c r="AE26" s="35"/>
      <c r="AF26" s="36">
        <v>5</v>
      </c>
      <c r="AG26" s="35"/>
      <c r="AH26" s="36">
        <v>165</v>
      </c>
      <c r="AI26" s="37"/>
      <c r="AJ26" s="4"/>
      <c r="AK26" s="4"/>
      <c r="AL26" s="4"/>
      <c r="AM26" s="4"/>
      <c r="AN26" s="57">
        <v>3</v>
      </c>
      <c r="AO26" s="58"/>
      <c r="AP26" s="59">
        <v>6</v>
      </c>
      <c r="AQ26" s="58"/>
      <c r="AR26" s="59">
        <v>180</v>
      </c>
      <c r="AS26" s="91"/>
      <c r="AT26" s="4"/>
      <c r="AU26" s="4"/>
      <c r="AV26" s="4"/>
      <c r="AW26" s="4"/>
      <c r="AX26" s="57">
        <v>3</v>
      </c>
      <c r="AY26" s="58"/>
      <c r="AZ26" s="59">
        <v>7</v>
      </c>
      <c r="BA26" s="58"/>
      <c r="BB26" s="59">
        <v>195</v>
      </c>
      <c r="BC26" s="91"/>
      <c r="BD26" s="4"/>
      <c r="BE26" s="4"/>
      <c r="BF26" s="4"/>
      <c r="BG26" s="4"/>
      <c r="BH26" s="138">
        <v>3</v>
      </c>
      <c r="BI26" s="139"/>
      <c r="BJ26" s="140">
        <v>6</v>
      </c>
      <c r="BK26" s="139"/>
      <c r="BL26" s="140">
        <v>180</v>
      </c>
      <c r="BM26" s="141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thickBot="1" x14ac:dyDescent="0.35">
      <c r="B27" s="118"/>
      <c r="C27" s="1"/>
      <c r="D27" s="119"/>
      <c r="E27" s="11">
        <f>SUM(J26,T26,AD26,AN26,AX26,BH26,BR26)</f>
        <v>18</v>
      </c>
      <c r="F27" s="11">
        <f>SUM(J27:BW27)</f>
        <v>31</v>
      </c>
      <c r="G27" s="105"/>
      <c r="H27" s="2"/>
      <c r="I27" s="2"/>
      <c r="J27" s="112">
        <v>2</v>
      </c>
      <c r="K27" s="113"/>
      <c r="L27" s="106">
        <v>0</v>
      </c>
      <c r="M27" s="113"/>
      <c r="N27" s="106">
        <v>0</v>
      </c>
      <c r="O27" s="107"/>
      <c r="P27" s="4"/>
      <c r="Q27" s="4"/>
      <c r="R27" s="4"/>
      <c r="S27" s="4"/>
      <c r="T27" s="20">
        <v>3</v>
      </c>
      <c r="U27" s="21"/>
      <c r="V27" s="22">
        <v>2</v>
      </c>
      <c r="W27" s="21"/>
      <c r="X27" s="22">
        <v>0</v>
      </c>
      <c r="Y27" s="23"/>
      <c r="Z27" s="4"/>
      <c r="AA27" s="4"/>
      <c r="AB27" s="4"/>
      <c r="AC27" s="4"/>
      <c r="AD27" s="20">
        <v>2</v>
      </c>
      <c r="AE27" s="21"/>
      <c r="AF27" s="22">
        <v>2</v>
      </c>
      <c r="AG27" s="21"/>
      <c r="AH27" s="22">
        <v>1</v>
      </c>
      <c r="AI27" s="23"/>
      <c r="AJ27" s="4"/>
      <c r="AK27" s="4"/>
      <c r="AL27" s="4"/>
      <c r="AM27" s="4"/>
      <c r="AN27" s="92">
        <v>3</v>
      </c>
      <c r="AO27" s="93"/>
      <c r="AP27" s="70">
        <v>3</v>
      </c>
      <c r="AQ27" s="93"/>
      <c r="AR27" s="70">
        <v>0</v>
      </c>
      <c r="AS27" s="71"/>
      <c r="AT27" s="4"/>
      <c r="AU27" s="4"/>
      <c r="AV27" s="4"/>
      <c r="AW27" s="4"/>
      <c r="AX27" s="92">
        <v>3</v>
      </c>
      <c r="AY27" s="93"/>
      <c r="AZ27" s="70">
        <v>2</v>
      </c>
      <c r="BA27" s="93"/>
      <c r="BB27" s="70">
        <v>2</v>
      </c>
      <c r="BC27" s="71"/>
      <c r="BD27" s="4"/>
      <c r="BE27" s="4"/>
      <c r="BF27" s="4"/>
      <c r="BG27" s="4"/>
      <c r="BH27" s="142">
        <v>3</v>
      </c>
      <c r="BI27" s="143"/>
      <c r="BJ27" s="144">
        <v>3</v>
      </c>
      <c r="BK27" s="143"/>
      <c r="BL27" s="144">
        <v>0</v>
      </c>
      <c r="BM27" s="145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129</v>
      </c>
      <c r="K32" s="25"/>
      <c r="L32" s="26"/>
      <c r="M32" s="38" t="s">
        <v>110</v>
      </c>
      <c r="N32" s="39"/>
      <c r="O32" s="40"/>
      <c r="P32" s="4"/>
      <c r="Q32" s="4"/>
      <c r="R32" s="4"/>
      <c r="S32" s="4"/>
      <c r="T32" s="24" t="s">
        <v>19</v>
      </c>
      <c r="U32" s="25"/>
      <c r="V32" s="26"/>
      <c r="W32" s="38">
        <v>315</v>
      </c>
      <c r="X32" s="39"/>
      <c r="Y32" s="40"/>
      <c r="Z32" s="4"/>
      <c r="AA32" s="4"/>
      <c r="AB32" s="4"/>
      <c r="AC32" s="4"/>
      <c r="AD32" s="24" t="s">
        <v>25</v>
      </c>
      <c r="AE32" s="25"/>
      <c r="AF32" s="26"/>
      <c r="AG32" s="38">
        <v>432</v>
      </c>
      <c r="AH32" s="39"/>
      <c r="AI32" s="40"/>
      <c r="AJ32" s="4"/>
      <c r="AK32" s="4"/>
      <c r="AL32" s="4"/>
      <c r="AM32" s="4"/>
      <c r="AN32" s="24" t="s">
        <v>19</v>
      </c>
      <c r="AO32" s="25"/>
      <c r="AP32" s="26"/>
      <c r="AQ32" s="38">
        <v>112</v>
      </c>
      <c r="AR32" s="102"/>
      <c r="AS32" s="103"/>
      <c r="AT32" s="4"/>
      <c r="AU32" s="4"/>
      <c r="AV32" s="4"/>
      <c r="AW32" s="4"/>
      <c r="AX32" s="24" t="s">
        <v>19</v>
      </c>
      <c r="AY32" s="25"/>
      <c r="AZ32" s="26"/>
      <c r="BA32" s="38">
        <v>132</v>
      </c>
      <c r="BB32" s="102"/>
      <c r="BC32" s="103"/>
      <c r="BD32" s="4"/>
      <c r="BE32" s="4"/>
      <c r="BF32" s="4"/>
      <c r="BG32" s="4"/>
      <c r="BH32" s="24" t="s">
        <v>48</v>
      </c>
      <c r="BI32" s="25"/>
      <c r="BJ32" s="26"/>
      <c r="BK32" s="38">
        <v>121</v>
      </c>
      <c r="BL32" s="39"/>
      <c r="BM32" s="40"/>
      <c r="BN32" s="14"/>
      <c r="BO32" s="14"/>
      <c r="BP32" s="14"/>
      <c r="BQ32" s="1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915</v>
      </c>
      <c r="H33" s="2"/>
      <c r="I33" s="2"/>
      <c r="J33" s="114" t="s">
        <v>130</v>
      </c>
      <c r="K33" s="115"/>
      <c r="L33" s="115"/>
      <c r="M33" s="115"/>
      <c r="N33" s="116"/>
      <c r="O33" s="117"/>
      <c r="P33" s="4"/>
      <c r="Q33" s="4"/>
      <c r="R33" s="4"/>
      <c r="S33" s="4"/>
      <c r="T33" s="30" t="s">
        <v>26</v>
      </c>
      <c r="U33" s="31"/>
      <c r="V33" s="31"/>
      <c r="W33" s="31"/>
      <c r="X33" s="32"/>
      <c r="Y33" s="33"/>
      <c r="Z33" s="4"/>
      <c r="AA33" s="4"/>
      <c r="AB33" s="4"/>
      <c r="AC33" s="4"/>
      <c r="AD33" s="30" t="s">
        <v>27</v>
      </c>
      <c r="AE33" s="31"/>
      <c r="AF33" s="31"/>
      <c r="AG33" s="31"/>
      <c r="AH33" s="32"/>
      <c r="AI33" s="33"/>
      <c r="AJ33" s="4"/>
      <c r="AK33" s="4"/>
      <c r="AL33" s="4"/>
      <c r="AM33" s="4"/>
      <c r="AN33" s="53" t="s">
        <v>38</v>
      </c>
      <c r="AO33" s="54"/>
      <c r="AP33" s="54"/>
      <c r="AQ33" s="54"/>
      <c r="AR33" s="55"/>
      <c r="AS33" s="56"/>
      <c r="AT33" s="4"/>
      <c r="AU33" s="4"/>
      <c r="AV33" s="4"/>
      <c r="AW33" s="4"/>
      <c r="AX33" s="53" t="s">
        <v>39</v>
      </c>
      <c r="AY33" s="54"/>
      <c r="AZ33" s="54"/>
      <c r="BA33" s="54"/>
      <c r="BB33" s="55"/>
      <c r="BC33" s="56"/>
      <c r="BD33" s="4"/>
      <c r="BE33" s="4"/>
      <c r="BF33" s="4"/>
      <c r="BG33" s="4"/>
      <c r="BH33" s="146" t="s">
        <v>49</v>
      </c>
      <c r="BI33" s="147"/>
      <c r="BJ33" s="147"/>
      <c r="BK33" s="147"/>
      <c r="BL33" s="148"/>
      <c r="BM33" s="149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110">
        <v>2</v>
      </c>
      <c r="K34" s="111"/>
      <c r="L34" s="108">
        <v>2</v>
      </c>
      <c r="M34" s="111"/>
      <c r="N34" s="108">
        <v>90</v>
      </c>
      <c r="O34" s="109"/>
      <c r="P34" s="4"/>
      <c r="Q34" s="4"/>
      <c r="R34" s="4"/>
      <c r="S34" s="4"/>
      <c r="T34" s="34">
        <v>3</v>
      </c>
      <c r="U34" s="35"/>
      <c r="V34" s="36">
        <v>4</v>
      </c>
      <c r="W34" s="35"/>
      <c r="X34" s="36">
        <v>150</v>
      </c>
      <c r="Y34" s="37"/>
      <c r="Z34" s="4"/>
      <c r="AA34" s="4"/>
      <c r="AB34" s="4"/>
      <c r="AC34" s="4"/>
      <c r="AD34" s="34">
        <v>3</v>
      </c>
      <c r="AE34" s="35"/>
      <c r="AF34" s="36">
        <v>4</v>
      </c>
      <c r="AG34" s="35"/>
      <c r="AH34" s="36">
        <v>150</v>
      </c>
      <c r="AI34" s="37"/>
      <c r="AJ34" s="4"/>
      <c r="AK34" s="4"/>
      <c r="AL34" s="4"/>
      <c r="AM34" s="4"/>
      <c r="AN34" s="57">
        <v>3</v>
      </c>
      <c r="AO34" s="58"/>
      <c r="AP34" s="59">
        <v>6</v>
      </c>
      <c r="AQ34" s="58"/>
      <c r="AR34" s="59">
        <v>180</v>
      </c>
      <c r="AS34" s="91"/>
      <c r="AT34" s="4"/>
      <c r="AU34" s="4"/>
      <c r="AV34" s="4"/>
      <c r="AW34" s="4"/>
      <c r="AX34" s="57">
        <v>3</v>
      </c>
      <c r="AY34" s="58"/>
      <c r="AZ34" s="59">
        <v>5</v>
      </c>
      <c r="BA34" s="58"/>
      <c r="BB34" s="59">
        <v>165</v>
      </c>
      <c r="BC34" s="91"/>
      <c r="BD34" s="4"/>
      <c r="BE34" s="4"/>
      <c r="BF34" s="4"/>
      <c r="BG34" s="4"/>
      <c r="BH34" s="138">
        <v>3</v>
      </c>
      <c r="BI34" s="139"/>
      <c r="BJ34" s="140">
        <v>6</v>
      </c>
      <c r="BK34" s="139"/>
      <c r="BL34" s="140">
        <v>180</v>
      </c>
      <c r="BM34" s="141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SUM(J34,T34,AD34,AN34,AX34,BH34,BR34)</f>
        <v>17</v>
      </c>
      <c r="F35" s="11">
        <f>L34+V34+AF34+AP34+AZ34+BJ34+BT34</f>
        <v>27</v>
      </c>
      <c r="G35" s="105"/>
      <c r="H35" s="2"/>
      <c r="I35" s="2"/>
      <c r="J35" s="112">
        <v>2</v>
      </c>
      <c r="K35" s="113"/>
      <c r="L35" s="106">
        <v>0</v>
      </c>
      <c r="M35" s="113"/>
      <c r="N35" s="106">
        <v>0</v>
      </c>
      <c r="O35" s="107"/>
      <c r="P35" s="4"/>
      <c r="Q35" s="4"/>
      <c r="R35" s="4"/>
      <c r="S35" s="4"/>
      <c r="T35" s="20">
        <v>2</v>
      </c>
      <c r="U35" s="21"/>
      <c r="V35" s="22">
        <v>0</v>
      </c>
      <c r="W35" s="21"/>
      <c r="X35" s="22">
        <v>2</v>
      </c>
      <c r="Y35" s="23"/>
      <c r="Z35" s="4"/>
      <c r="AA35" s="4"/>
      <c r="AB35" s="4"/>
      <c r="AC35" s="4"/>
      <c r="AD35" s="20">
        <v>2</v>
      </c>
      <c r="AE35" s="21"/>
      <c r="AF35" s="22">
        <v>1</v>
      </c>
      <c r="AG35" s="21"/>
      <c r="AH35" s="22">
        <v>1</v>
      </c>
      <c r="AI35" s="23"/>
      <c r="AJ35" s="4"/>
      <c r="AK35" s="4"/>
      <c r="AL35" s="4"/>
      <c r="AM35" s="4"/>
      <c r="AN35" s="92">
        <v>3</v>
      </c>
      <c r="AO35" s="93"/>
      <c r="AP35" s="70">
        <v>3</v>
      </c>
      <c r="AQ35" s="93"/>
      <c r="AR35" s="70">
        <v>0</v>
      </c>
      <c r="AS35" s="71"/>
      <c r="AT35" s="4"/>
      <c r="AU35" s="4"/>
      <c r="AV35" s="4"/>
      <c r="AW35" s="4"/>
      <c r="AX35" s="92">
        <v>3</v>
      </c>
      <c r="AY35" s="93"/>
      <c r="AZ35" s="70">
        <v>2</v>
      </c>
      <c r="BA35" s="93"/>
      <c r="BB35" s="70">
        <v>0</v>
      </c>
      <c r="BC35" s="71"/>
      <c r="BD35" s="4"/>
      <c r="BE35" s="4"/>
      <c r="BF35" s="4"/>
      <c r="BG35" s="4"/>
      <c r="BH35" s="142">
        <v>3</v>
      </c>
      <c r="BI35" s="143"/>
      <c r="BJ35" s="144">
        <v>3</v>
      </c>
      <c r="BK35" s="143"/>
      <c r="BL35" s="144">
        <v>0</v>
      </c>
      <c r="BM35" s="145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3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131</v>
      </c>
      <c r="K42" s="25"/>
      <c r="L42" s="26"/>
      <c r="M42" s="38" t="s">
        <v>110</v>
      </c>
      <c r="N42" s="39"/>
      <c r="O42" s="40"/>
      <c r="P42" s="4"/>
      <c r="Q42" s="4"/>
      <c r="R42" s="4"/>
      <c r="S42" s="4"/>
      <c r="T42" s="24" t="s">
        <v>19</v>
      </c>
      <c r="U42" s="25"/>
      <c r="V42" s="26"/>
      <c r="W42" s="38">
        <v>233</v>
      </c>
      <c r="X42" s="102"/>
      <c r="Y42" s="103"/>
      <c r="Z42" s="4"/>
      <c r="AA42" s="4"/>
      <c r="AB42" s="4"/>
      <c r="AC42" s="4"/>
      <c r="AD42" s="24" t="s">
        <v>19</v>
      </c>
      <c r="AE42" s="25"/>
      <c r="AF42" s="26"/>
      <c r="AG42" s="38">
        <v>261</v>
      </c>
      <c r="AH42" s="102"/>
      <c r="AI42" s="103"/>
      <c r="AJ42" s="4"/>
      <c r="AK42" s="4"/>
      <c r="AL42" s="4"/>
      <c r="AM42" s="4"/>
      <c r="AN42" s="24" t="s">
        <v>48</v>
      </c>
      <c r="AO42" s="25"/>
      <c r="AP42" s="26"/>
      <c r="AQ42" s="38">
        <v>231</v>
      </c>
      <c r="AR42" s="39"/>
      <c r="AS42" s="40"/>
      <c r="AT42" s="4"/>
      <c r="AU42" s="4"/>
      <c r="AV42" s="4"/>
      <c r="AW42" s="4"/>
      <c r="AX42" s="24" t="s">
        <v>19</v>
      </c>
      <c r="AY42" s="25"/>
      <c r="AZ42" s="26"/>
      <c r="BA42" s="38">
        <v>241</v>
      </c>
      <c r="BB42" s="102"/>
      <c r="BC42" s="103"/>
      <c r="BD42" s="4"/>
      <c r="BE42" s="4"/>
      <c r="BF42" s="4"/>
      <c r="BG42" s="4"/>
      <c r="BH42" s="24" t="s">
        <v>19</v>
      </c>
      <c r="BI42" s="25"/>
      <c r="BJ42" s="26"/>
      <c r="BK42" s="38">
        <v>211</v>
      </c>
      <c r="BL42" s="102"/>
      <c r="BM42" s="103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930</v>
      </c>
      <c r="H43" s="2"/>
      <c r="I43" s="2"/>
      <c r="J43" s="114" t="s">
        <v>20</v>
      </c>
      <c r="K43" s="115"/>
      <c r="L43" s="115"/>
      <c r="M43" s="115"/>
      <c r="N43" s="116"/>
      <c r="O43" s="117"/>
      <c r="P43" s="4"/>
      <c r="Q43" s="4"/>
      <c r="R43" s="4"/>
      <c r="S43" s="4"/>
      <c r="T43" s="53" t="s">
        <v>40</v>
      </c>
      <c r="U43" s="54"/>
      <c r="V43" s="54"/>
      <c r="W43" s="54"/>
      <c r="X43" s="55"/>
      <c r="Y43" s="56"/>
      <c r="Z43" s="4"/>
      <c r="AA43" s="4"/>
      <c r="AB43" s="4"/>
      <c r="AC43" s="4"/>
      <c r="AD43" s="53" t="s">
        <v>41</v>
      </c>
      <c r="AE43" s="54"/>
      <c r="AF43" s="54"/>
      <c r="AG43" s="54"/>
      <c r="AH43" s="55"/>
      <c r="AI43" s="56"/>
      <c r="AJ43" s="4"/>
      <c r="AK43" s="4"/>
      <c r="AL43" s="4"/>
      <c r="AM43" s="4"/>
      <c r="AN43" s="146" t="s">
        <v>50</v>
      </c>
      <c r="AO43" s="147"/>
      <c r="AP43" s="147"/>
      <c r="AQ43" s="147"/>
      <c r="AR43" s="148"/>
      <c r="AS43" s="149"/>
      <c r="AT43" s="4"/>
      <c r="AU43" s="4"/>
      <c r="AV43" s="4"/>
      <c r="AW43" s="4"/>
      <c r="AX43" s="94" t="s">
        <v>78</v>
      </c>
      <c r="AY43" s="95"/>
      <c r="AZ43" s="95"/>
      <c r="BA43" s="95"/>
      <c r="BB43" s="96"/>
      <c r="BC43" s="97"/>
      <c r="BD43" s="4"/>
      <c r="BE43" s="4"/>
      <c r="BF43" s="4"/>
      <c r="BG43" s="4"/>
      <c r="BH43" s="94" t="s">
        <v>66</v>
      </c>
      <c r="BI43" s="95"/>
      <c r="BJ43" s="95"/>
      <c r="BK43" s="95"/>
      <c r="BL43" s="96"/>
      <c r="BM43" s="97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110">
        <v>2</v>
      </c>
      <c r="K44" s="111"/>
      <c r="L44" s="108">
        <v>2</v>
      </c>
      <c r="M44" s="111"/>
      <c r="N44" s="108">
        <v>90</v>
      </c>
      <c r="O44" s="109"/>
      <c r="P44" s="4"/>
      <c r="Q44" s="4"/>
      <c r="R44" s="4"/>
      <c r="S44" s="4"/>
      <c r="T44" s="57">
        <v>3</v>
      </c>
      <c r="U44" s="58"/>
      <c r="V44" s="59">
        <v>5</v>
      </c>
      <c r="W44" s="58"/>
      <c r="X44" s="59">
        <v>165</v>
      </c>
      <c r="Y44" s="91"/>
      <c r="Z44" s="4"/>
      <c r="AA44" s="4"/>
      <c r="AB44" s="4"/>
      <c r="AC44" s="4"/>
      <c r="AD44" s="57">
        <v>3</v>
      </c>
      <c r="AE44" s="58"/>
      <c r="AF44" s="59">
        <v>5</v>
      </c>
      <c r="AG44" s="58"/>
      <c r="AH44" s="59">
        <v>165</v>
      </c>
      <c r="AI44" s="91"/>
      <c r="AJ44" s="4"/>
      <c r="AK44" s="4"/>
      <c r="AL44" s="4"/>
      <c r="AM44" s="4"/>
      <c r="AN44" s="138">
        <v>3</v>
      </c>
      <c r="AO44" s="139"/>
      <c r="AP44" s="140">
        <v>6</v>
      </c>
      <c r="AQ44" s="139"/>
      <c r="AR44" s="140">
        <v>180</v>
      </c>
      <c r="AS44" s="141"/>
      <c r="AT44" s="4"/>
      <c r="AU44" s="4"/>
      <c r="AV44" s="4"/>
      <c r="AW44" s="4"/>
      <c r="AX44" s="98">
        <v>3</v>
      </c>
      <c r="AY44" s="99"/>
      <c r="AZ44" s="100">
        <v>5</v>
      </c>
      <c r="BA44" s="99"/>
      <c r="BB44" s="100">
        <v>165</v>
      </c>
      <c r="BC44" s="101"/>
      <c r="BD44" s="4"/>
      <c r="BE44" s="4"/>
      <c r="BF44" s="4"/>
      <c r="BG44" s="4"/>
      <c r="BH44" s="98">
        <v>3</v>
      </c>
      <c r="BI44" s="99"/>
      <c r="BJ44" s="100">
        <v>5</v>
      </c>
      <c r="BK44" s="99"/>
      <c r="BL44" s="100">
        <v>165</v>
      </c>
      <c r="BM44" s="101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17</v>
      </c>
      <c r="F45" s="11">
        <f>SUM(J45:BM45)</f>
        <v>28</v>
      </c>
      <c r="G45" s="105"/>
      <c r="H45" s="2"/>
      <c r="I45" s="2"/>
      <c r="J45" s="112">
        <v>2</v>
      </c>
      <c r="K45" s="113"/>
      <c r="L45" s="106">
        <v>0</v>
      </c>
      <c r="M45" s="113"/>
      <c r="N45" s="106">
        <v>0</v>
      </c>
      <c r="O45" s="107"/>
      <c r="P45" s="4"/>
      <c r="Q45" s="4"/>
      <c r="R45" s="4"/>
      <c r="S45" s="4"/>
      <c r="T45" s="92">
        <v>3</v>
      </c>
      <c r="U45" s="93"/>
      <c r="V45" s="70">
        <v>2</v>
      </c>
      <c r="W45" s="93"/>
      <c r="X45" s="70">
        <v>0</v>
      </c>
      <c r="Y45" s="71"/>
      <c r="Z45" s="4"/>
      <c r="AA45" s="4"/>
      <c r="AB45" s="4"/>
      <c r="AC45" s="4"/>
      <c r="AD45" s="92">
        <v>3</v>
      </c>
      <c r="AE45" s="93"/>
      <c r="AF45" s="70">
        <v>2</v>
      </c>
      <c r="AG45" s="93"/>
      <c r="AH45" s="70">
        <v>0</v>
      </c>
      <c r="AI45" s="71"/>
      <c r="AJ45" s="4"/>
      <c r="AK45" s="4"/>
      <c r="AL45" s="4"/>
      <c r="AM45" s="4"/>
      <c r="AN45" s="142">
        <v>3</v>
      </c>
      <c r="AO45" s="143"/>
      <c r="AP45" s="144">
        <v>3</v>
      </c>
      <c r="AQ45" s="143"/>
      <c r="AR45" s="144">
        <v>0</v>
      </c>
      <c r="AS45" s="145"/>
      <c r="AT45" s="4"/>
      <c r="AU45" s="4"/>
      <c r="AV45" s="4"/>
      <c r="AW45" s="4"/>
      <c r="AX45" s="72">
        <v>3</v>
      </c>
      <c r="AY45" s="73"/>
      <c r="AZ45" s="68">
        <v>2</v>
      </c>
      <c r="BA45" s="73"/>
      <c r="BB45" s="68">
        <v>0</v>
      </c>
      <c r="BC45" s="69"/>
      <c r="BD45" s="4"/>
      <c r="BE45" s="4"/>
      <c r="BF45" s="4"/>
      <c r="BG45" s="4"/>
      <c r="BH45" s="72">
        <v>3</v>
      </c>
      <c r="BI45" s="73"/>
      <c r="BJ45" s="68">
        <v>2</v>
      </c>
      <c r="BK45" s="73"/>
      <c r="BL45" s="68">
        <v>0</v>
      </c>
      <c r="BM45" s="69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133</v>
      </c>
      <c r="K50" s="25"/>
      <c r="L50" s="26"/>
      <c r="M50" s="38" t="s">
        <v>110</v>
      </c>
      <c r="N50" s="39"/>
      <c r="O50" s="40"/>
      <c r="P50" s="4"/>
      <c r="Q50" s="4"/>
      <c r="R50" s="4"/>
      <c r="S50" s="4"/>
      <c r="T50" s="24" t="s">
        <v>19</v>
      </c>
      <c r="U50" s="25"/>
      <c r="V50" s="26"/>
      <c r="W50" s="38">
        <v>221</v>
      </c>
      <c r="X50" s="102"/>
      <c r="Y50" s="103"/>
      <c r="Z50" s="4"/>
      <c r="AA50" s="4"/>
      <c r="AB50" s="4"/>
      <c r="AC50" s="4"/>
      <c r="AD50" s="24" t="s">
        <v>19</v>
      </c>
      <c r="AE50" s="25"/>
      <c r="AF50" s="26"/>
      <c r="AG50" s="38">
        <v>251</v>
      </c>
      <c r="AH50" s="102"/>
      <c r="AI50" s="103"/>
      <c r="AJ50" s="4"/>
      <c r="AK50" s="4"/>
      <c r="AL50" s="4"/>
      <c r="AM50" s="4"/>
      <c r="AN50" s="24" t="s">
        <v>19</v>
      </c>
      <c r="AO50" s="25"/>
      <c r="AP50" s="26"/>
      <c r="AQ50" s="38">
        <v>272</v>
      </c>
      <c r="AR50" s="102"/>
      <c r="AS50" s="103"/>
      <c r="AT50" s="4"/>
      <c r="AU50" s="4"/>
      <c r="AV50" s="4"/>
      <c r="AW50" s="4"/>
      <c r="AX50" s="24" t="s">
        <v>19</v>
      </c>
      <c r="AY50" s="25"/>
      <c r="AZ50" s="26"/>
      <c r="BA50" s="38">
        <v>243</v>
      </c>
      <c r="BB50" s="102"/>
      <c r="BC50" s="103"/>
      <c r="BD50" s="4"/>
      <c r="BE50" s="4"/>
      <c r="BF50" s="4"/>
      <c r="BG50" s="4"/>
      <c r="BH50" s="24" t="s">
        <v>19</v>
      </c>
      <c r="BI50" s="25"/>
      <c r="BJ50" s="26"/>
      <c r="BK50" s="38">
        <v>242</v>
      </c>
      <c r="BL50" s="102"/>
      <c r="BM50" s="103"/>
      <c r="BN50" s="4"/>
      <c r="BO50" s="4"/>
      <c r="BP50" s="4"/>
      <c r="BQ50" s="4"/>
      <c r="BR50" s="24" t="s">
        <v>19</v>
      </c>
      <c r="BS50" s="25"/>
      <c r="BT50" s="26"/>
      <c r="BU50" s="38">
        <v>291</v>
      </c>
      <c r="BV50" s="39"/>
      <c r="BW50" s="40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SUM(N52,X52,AH52,AR52,BB52,BL52,BV52)</f>
        <v>1020</v>
      </c>
      <c r="H51" s="2"/>
      <c r="I51" s="2"/>
      <c r="J51" s="114" t="s">
        <v>132</v>
      </c>
      <c r="K51" s="115"/>
      <c r="L51" s="115"/>
      <c r="M51" s="115"/>
      <c r="N51" s="116"/>
      <c r="O51" s="117"/>
      <c r="P51" s="4"/>
      <c r="Q51" s="4"/>
      <c r="R51" s="4"/>
      <c r="S51" s="4"/>
      <c r="T51" s="53" t="s">
        <v>43</v>
      </c>
      <c r="U51" s="54"/>
      <c r="V51" s="54"/>
      <c r="W51" s="54"/>
      <c r="X51" s="55"/>
      <c r="Y51" s="56"/>
      <c r="Z51" s="4"/>
      <c r="AA51" s="4"/>
      <c r="AB51" s="4"/>
      <c r="AC51" s="4"/>
      <c r="AD51" s="53" t="s">
        <v>67</v>
      </c>
      <c r="AE51" s="54"/>
      <c r="AF51" s="54"/>
      <c r="AG51" s="54"/>
      <c r="AH51" s="55"/>
      <c r="AI51" s="56"/>
      <c r="AJ51" s="4"/>
      <c r="AK51" s="4"/>
      <c r="AL51" s="4"/>
      <c r="AM51" s="4"/>
      <c r="AN51" s="53" t="s">
        <v>45</v>
      </c>
      <c r="AO51" s="54"/>
      <c r="AP51" s="54"/>
      <c r="AQ51" s="54"/>
      <c r="AR51" s="55"/>
      <c r="AS51" s="56"/>
      <c r="AT51" s="4"/>
      <c r="AU51" s="4"/>
      <c r="AV51" s="4"/>
      <c r="AW51" s="4"/>
      <c r="AX51" s="94" t="s">
        <v>79</v>
      </c>
      <c r="AY51" s="95"/>
      <c r="AZ51" s="95"/>
      <c r="BA51" s="95"/>
      <c r="BB51" s="96"/>
      <c r="BC51" s="97"/>
      <c r="BD51" s="4"/>
      <c r="BE51" s="4"/>
      <c r="BF51" s="4"/>
      <c r="BG51" s="4"/>
      <c r="BH51" s="94" t="s">
        <v>69</v>
      </c>
      <c r="BI51" s="95"/>
      <c r="BJ51" s="95"/>
      <c r="BK51" s="95"/>
      <c r="BL51" s="96"/>
      <c r="BM51" s="97"/>
      <c r="BN51" s="4"/>
      <c r="BO51" s="4"/>
      <c r="BP51" s="4"/>
      <c r="BQ51" s="4"/>
      <c r="BR51" s="41" t="s">
        <v>152</v>
      </c>
      <c r="BS51" s="42"/>
      <c r="BT51" s="42"/>
      <c r="BU51" s="42"/>
      <c r="BV51" s="43"/>
      <c r="BW51" s="4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110">
        <v>2</v>
      </c>
      <c r="K52" s="111"/>
      <c r="L52" s="108">
        <v>2</v>
      </c>
      <c r="M52" s="111"/>
      <c r="N52" s="108">
        <v>90</v>
      </c>
      <c r="O52" s="109"/>
      <c r="P52" s="4"/>
      <c r="Q52" s="4"/>
      <c r="R52" s="4"/>
      <c r="S52" s="4"/>
      <c r="T52" s="57">
        <v>3</v>
      </c>
      <c r="U52" s="58"/>
      <c r="V52" s="59">
        <v>6</v>
      </c>
      <c r="W52" s="58"/>
      <c r="X52" s="59">
        <v>180</v>
      </c>
      <c r="Y52" s="91"/>
      <c r="Z52" s="4"/>
      <c r="AA52" s="4"/>
      <c r="AB52" s="4"/>
      <c r="AC52" s="4"/>
      <c r="AD52" s="57">
        <v>3</v>
      </c>
      <c r="AE52" s="58"/>
      <c r="AF52" s="59">
        <v>6</v>
      </c>
      <c r="AG52" s="58"/>
      <c r="AH52" s="59">
        <v>180</v>
      </c>
      <c r="AI52" s="91"/>
      <c r="AJ52" s="4"/>
      <c r="AK52" s="4"/>
      <c r="AL52" s="4"/>
      <c r="AM52" s="4"/>
      <c r="AN52" s="57">
        <v>3</v>
      </c>
      <c r="AO52" s="58"/>
      <c r="AP52" s="59">
        <v>6</v>
      </c>
      <c r="AQ52" s="58"/>
      <c r="AR52" s="59">
        <v>180</v>
      </c>
      <c r="AS52" s="91"/>
      <c r="AT52" s="4"/>
      <c r="AU52" s="4"/>
      <c r="AV52" s="4"/>
      <c r="AW52" s="4"/>
      <c r="AX52" s="98">
        <v>3</v>
      </c>
      <c r="AY52" s="99"/>
      <c r="AZ52" s="100">
        <v>6</v>
      </c>
      <c r="BA52" s="99"/>
      <c r="BB52" s="100">
        <v>180</v>
      </c>
      <c r="BC52" s="101"/>
      <c r="BD52" s="4"/>
      <c r="BE52" s="4"/>
      <c r="BF52" s="4"/>
      <c r="BG52" s="4"/>
      <c r="BH52" s="98">
        <v>3</v>
      </c>
      <c r="BI52" s="99"/>
      <c r="BJ52" s="100">
        <v>6</v>
      </c>
      <c r="BK52" s="99"/>
      <c r="BL52" s="100">
        <v>180</v>
      </c>
      <c r="BM52" s="101"/>
      <c r="BN52" s="4"/>
      <c r="BO52" s="4"/>
      <c r="BP52" s="4"/>
      <c r="BQ52" s="4"/>
      <c r="BR52" s="45">
        <v>1</v>
      </c>
      <c r="BS52" s="46"/>
      <c r="BT52" s="47">
        <v>2</v>
      </c>
      <c r="BU52" s="46"/>
      <c r="BV52" s="47">
        <v>30</v>
      </c>
      <c r="BW52" s="48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J52+T52+AD52+AN52+AX52+BH52+BR52</f>
        <v>18</v>
      </c>
      <c r="F53" s="11">
        <f>L52+V52+AF52+AP52+AZ52+BJ52+BT52</f>
        <v>34</v>
      </c>
      <c r="G53" s="105"/>
      <c r="H53" s="2"/>
      <c r="I53" s="2"/>
      <c r="J53" s="112">
        <v>2</v>
      </c>
      <c r="K53" s="113"/>
      <c r="L53" s="106">
        <v>0</v>
      </c>
      <c r="M53" s="113"/>
      <c r="N53" s="106">
        <v>0</v>
      </c>
      <c r="O53" s="107"/>
      <c r="P53" s="4"/>
      <c r="Q53" s="4"/>
      <c r="R53" s="4"/>
      <c r="S53" s="4"/>
      <c r="T53" s="92">
        <v>3</v>
      </c>
      <c r="U53" s="93"/>
      <c r="V53" s="70">
        <v>3</v>
      </c>
      <c r="W53" s="93"/>
      <c r="X53" s="70">
        <v>0</v>
      </c>
      <c r="Y53" s="71"/>
      <c r="Z53" s="4"/>
      <c r="AA53" s="4"/>
      <c r="AB53" s="4"/>
      <c r="AC53" s="4"/>
      <c r="AD53" s="92">
        <v>3</v>
      </c>
      <c r="AE53" s="93"/>
      <c r="AF53" s="70">
        <v>3</v>
      </c>
      <c r="AG53" s="93"/>
      <c r="AH53" s="70">
        <v>0</v>
      </c>
      <c r="AI53" s="71"/>
      <c r="AJ53" s="4"/>
      <c r="AK53" s="4"/>
      <c r="AL53" s="4"/>
      <c r="AM53" s="4"/>
      <c r="AN53" s="92">
        <v>3</v>
      </c>
      <c r="AO53" s="93"/>
      <c r="AP53" s="70">
        <v>3</v>
      </c>
      <c r="AQ53" s="93"/>
      <c r="AR53" s="70">
        <v>0</v>
      </c>
      <c r="AS53" s="71"/>
      <c r="AT53" s="4"/>
      <c r="AU53" s="4"/>
      <c r="AV53" s="4"/>
      <c r="AW53" s="4"/>
      <c r="AX53" s="72">
        <v>3</v>
      </c>
      <c r="AY53" s="73"/>
      <c r="AZ53" s="68">
        <v>3</v>
      </c>
      <c r="BA53" s="73"/>
      <c r="BB53" s="68">
        <v>0</v>
      </c>
      <c r="BC53" s="69"/>
      <c r="BD53" s="4"/>
      <c r="BE53" s="4"/>
      <c r="BF53" s="4"/>
      <c r="BG53" s="4"/>
      <c r="BH53" s="72">
        <v>3</v>
      </c>
      <c r="BI53" s="73"/>
      <c r="BJ53" s="68">
        <v>3</v>
      </c>
      <c r="BK53" s="73"/>
      <c r="BL53" s="68">
        <v>0</v>
      </c>
      <c r="BM53" s="69"/>
      <c r="BN53" s="4"/>
      <c r="BO53" s="4"/>
      <c r="BP53" s="4"/>
      <c r="BQ53" s="4"/>
      <c r="BR53" s="49">
        <v>2</v>
      </c>
      <c r="BS53" s="50"/>
      <c r="BT53" s="51">
        <v>0</v>
      </c>
      <c r="BU53" s="50"/>
      <c r="BV53" s="51">
        <v>0</v>
      </c>
      <c r="BW53" s="52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2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135</v>
      </c>
      <c r="K60" s="25"/>
      <c r="L60" s="26"/>
      <c r="M60" s="38" t="s">
        <v>111</v>
      </c>
      <c r="N60" s="39"/>
      <c r="O60" s="40"/>
      <c r="P60" s="4"/>
      <c r="Q60" s="4"/>
      <c r="R60" s="4"/>
      <c r="S60" s="4"/>
      <c r="T60" s="24" t="s">
        <v>136</v>
      </c>
      <c r="U60" s="25"/>
      <c r="V60" s="26"/>
      <c r="W60" s="38" t="s">
        <v>110</v>
      </c>
      <c r="X60" s="39"/>
      <c r="Y60" s="40"/>
      <c r="Z60" s="4"/>
      <c r="AA60" s="4"/>
      <c r="AB60" s="4"/>
      <c r="AC60" s="4"/>
      <c r="AD60" s="24" t="s">
        <v>19</v>
      </c>
      <c r="AE60" s="25"/>
      <c r="AF60" s="26"/>
      <c r="AG60" s="38">
        <v>344</v>
      </c>
      <c r="AH60" s="102"/>
      <c r="AI60" s="103"/>
      <c r="AJ60" s="4"/>
      <c r="AK60" s="4"/>
      <c r="AL60" s="4"/>
      <c r="AM60" s="4"/>
      <c r="AN60" s="24" t="s">
        <v>137</v>
      </c>
      <c r="AO60" s="25"/>
      <c r="AP60" s="26"/>
      <c r="AQ60" s="38" t="s">
        <v>111</v>
      </c>
      <c r="AR60" s="39"/>
      <c r="AS60" s="40"/>
      <c r="AT60" s="4"/>
      <c r="AU60" s="4"/>
      <c r="AV60" s="4"/>
      <c r="AW60" s="4"/>
      <c r="AX60" s="24" t="s">
        <v>137</v>
      </c>
      <c r="AY60" s="25"/>
      <c r="AZ60" s="26"/>
      <c r="BA60" s="38" t="s">
        <v>111</v>
      </c>
      <c r="BB60" s="39"/>
      <c r="BC60" s="40"/>
      <c r="BD60" s="4"/>
      <c r="BE60" s="4"/>
      <c r="BF60" s="4"/>
      <c r="BG60" s="4"/>
      <c r="BH60" s="24" t="s">
        <v>167</v>
      </c>
      <c r="BI60" s="25"/>
      <c r="BJ60" s="26"/>
      <c r="BK60" s="38">
        <v>215</v>
      </c>
      <c r="BL60" s="39"/>
      <c r="BM60" s="40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885</v>
      </c>
      <c r="H61" s="2"/>
      <c r="I61" s="2"/>
      <c r="J61" s="114" t="s">
        <v>134</v>
      </c>
      <c r="K61" s="115"/>
      <c r="L61" s="115"/>
      <c r="M61" s="115"/>
      <c r="N61" s="116"/>
      <c r="O61" s="117"/>
      <c r="P61" s="4"/>
      <c r="Q61" s="4"/>
      <c r="R61" s="4"/>
      <c r="S61" s="4"/>
      <c r="T61" s="30" t="s">
        <v>28</v>
      </c>
      <c r="U61" s="31"/>
      <c r="V61" s="31"/>
      <c r="W61" s="31"/>
      <c r="X61" s="32"/>
      <c r="Y61" s="33"/>
      <c r="Z61" s="4"/>
      <c r="AA61" s="4"/>
      <c r="AB61" s="4"/>
      <c r="AC61" s="4"/>
      <c r="AD61" s="94" t="s">
        <v>71</v>
      </c>
      <c r="AE61" s="95"/>
      <c r="AF61" s="95"/>
      <c r="AG61" s="95"/>
      <c r="AH61" s="96"/>
      <c r="AI61" s="97"/>
      <c r="AJ61" s="4"/>
      <c r="AK61" s="4"/>
      <c r="AL61" s="4"/>
      <c r="AM61" s="4"/>
      <c r="AN61" s="76" t="s">
        <v>138</v>
      </c>
      <c r="AO61" s="77"/>
      <c r="AP61" s="77"/>
      <c r="AQ61" s="77"/>
      <c r="AR61" s="77"/>
      <c r="AS61" s="78"/>
      <c r="AT61" s="4"/>
      <c r="AU61" s="4"/>
      <c r="AV61" s="4"/>
      <c r="AW61" s="4"/>
      <c r="AX61" s="76" t="s">
        <v>139</v>
      </c>
      <c r="AY61" s="77"/>
      <c r="AZ61" s="77"/>
      <c r="BA61" s="77"/>
      <c r="BB61" s="77"/>
      <c r="BC61" s="78"/>
      <c r="BD61" s="4"/>
      <c r="BE61" s="4"/>
      <c r="BF61" s="4"/>
      <c r="BG61" s="4"/>
      <c r="BH61" s="30" t="s">
        <v>168</v>
      </c>
      <c r="BI61" s="31"/>
      <c r="BJ61" s="31"/>
      <c r="BK61" s="31"/>
      <c r="BL61" s="32"/>
      <c r="BM61" s="33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110">
        <v>2</v>
      </c>
      <c r="K62" s="111"/>
      <c r="L62" s="108">
        <v>2</v>
      </c>
      <c r="M62" s="111"/>
      <c r="N62" s="108">
        <v>90</v>
      </c>
      <c r="O62" s="109"/>
      <c r="P62" s="4"/>
      <c r="Q62" s="4"/>
      <c r="R62" s="4"/>
      <c r="S62" s="4"/>
      <c r="T62" s="34">
        <v>3</v>
      </c>
      <c r="U62" s="35"/>
      <c r="V62" s="36">
        <v>4</v>
      </c>
      <c r="W62" s="35"/>
      <c r="X62" s="36">
        <v>150</v>
      </c>
      <c r="Y62" s="37"/>
      <c r="Z62" s="4"/>
      <c r="AA62" s="4"/>
      <c r="AB62" s="4"/>
      <c r="AC62" s="4"/>
      <c r="AD62" s="98">
        <v>3</v>
      </c>
      <c r="AE62" s="99"/>
      <c r="AF62" s="100">
        <v>6</v>
      </c>
      <c r="AG62" s="99"/>
      <c r="AH62" s="100">
        <v>180</v>
      </c>
      <c r="AI62" s="101"/>
      <c r="AJ62" s="4"/>
      <c r="AK62" s="4"/>
      <c r="AL62" s="4"/>
      <c r="AM62" s="4"/>
      <c r="AN62" s="79">
        <v>3</v>
      </c>
      <c r="AO62" s="80"/>
      <c r="AP62" s="81">
        <v>6</v>
      </c>
      <c r="AQ62" s="80"/>
      <c r="AR62" s="81">
        <v>180</v>
      </c>
      <c r="AS62" s="82"/>
      <c r="AT62" s="4"/>
      <c r="AU62" s="4"/>
      <c r="AV62" s="4"/>
      <c r="AW62" s="4"/>
      <c r="AX62" s="79">
        <v>3</v>
      </c>
      <c r="AY62" s="80"/>
      <c r="AZ62" s="81">
        <v>6</v>
      </c>
      <c r="BA62" s="80"/>
      <c r="BB62" s="81">
        <v>180</v>
      </c>
      <c r="BC62" s="82"/>
      <c r="BD62" s="4"/>
      <c r="BE62" s="4"/>
      <c r="BF62" s="4"/>
      <c r="BG62" s="4"/>
      <c r="BH62" s="34">
        <v>2</v>
      </c>
      <c r="BI62" s="35"/>
      <c r="BJ62" s="36">
        <v>4</v>
      </c>
      <c r="BK62" s="35"/>
      <c r="BL62" s="36">
        <v>105</v>
      </c>
      <c r="BM62" s="37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16</v>
      </c>
      <c r="F63" s="11">
        <f>SUM(J63:BM63)</f>
        <v>28</v>
      </c>
      <c r="G63" s="105"/>
      <c r="H63" s="2"/>
      <c r="I63" s="2"/>
      <c r="J63" s="112">
        <v>2</v>
      </c>
      <c r="K63" s="113"/>
      <c r="L63" s="106">
        <v>0</v>
      </c>
      <c r="M63" s="113"/>
      <c r="N63" s="106">
        <v>0</v>
      </c>
      <c r="O63" s="107"/>
      <c r="P63" s="4"/>
      <c r="Q63" s="4"/>
      <c r="R63" s="4"/>
      <c r="S63" s="4"/>
      <c r="T63" s="20">
        <v>2</v>
      </c>
      <c r="U63" s="21"/>
      <c r="V63" s="22">
        <v>2</v>
      </c>
      <c r="W63" s="21"/>
      <c r="X63" s="22">
        <v>0</v>
      </c>
      <c r="Y63" s="23"/>
      <c r="Z63" s="4"/>
      <c r="AA63" s="4"/>
      <c r="AB63" s="4"/>
      <c r="AC63" s="4"/>
      <c r="AD63" s="72">
        <v>3</v>
      </c>
      <c r="AE63" s="73"/>
      <c r="AF63" s="68">
        <v>3</v>
      </c>
      <c r="AG63" s="73"/>
      <c r="AH63" s="68">
        <v>0</v>
      </c>
      <c r="AI63" s="69"/>
      <c r="AJ63" s="4"/>
      <c r="AK63" s="4"/>
      <c r="AL63" s="4"/>
      <c r="AM63" s="4"/>
      <c r="AN63" s="83">
        <v>3</v>
      </c>
      <c r="AO63" s="84"/>
      <c r="AP63" s="85">
        <v>3</v>
      </c>
      <c r="AQ63" s="84"/>
      <c r="AR63" s="85">
        <v>0</v>
      </c>
      <c r="AS63" s="86"/>
      <c r="AT63" s="4"/>
      <c r="AU63" s="4"/>
      <c r="AV63" s="4"/>
      <c r="AW63" s="4"/>
      <c r="AX63" s="83">
        <v>3</v>
      </c>
      <c r="AY63" s="84"/>
      <c r="AZ63" s="85">
        <v>3</v>
      </c>
      <c r="BA63" s="84"/>
      <c r="BB63" s="85">
        <v>0</v>
      </c>
      <c r="BC63" s="86"/>
      <c r="BD63" s="4"/>
      <c r="BE63" s="4"/>
      <c r="BF63" s="4"/>
      <c r="BG63" s="4"/>
      <c r="BH63" s="20">
        <v>2</v>
      </c>
      <c r="BI63" s="21"/>
      <c r="BJ63" s="22">
        <v>1</v>
      </c>
      <c r="BK63" s="21"/>
      <c r="BL63" s="22">
        <v>1</v>
      </c>
      <c r="BM63" s="23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136</v>
      </c>
      <c r="K68" s="25"/>
      <c r="L68" s="26"/>
      <c r="M68" s="38" t="s">
        <v>110</v>
      </c>
      <c r="N68" s="39"/>
      <c r="O68" s="40"/>
      <c r="P68" s="4"/>
      <c r="Q68" s="4"/>
      <c r="R68" s="4"/>
      <c r="S68" s="4"/>
      <c r="T68" s="24" t="s">
        <v>19</v>
      </c>
      <c r="U68" s="25"/>
      <c r="V68" s="26"/>
      <c r="W68" s="38">
        <v>363</v>
      </c>
      <c r="X68" s="102"/>
      <c r="Y68" s="103"/>
      <c r="Z68" s="4"/>
      <c r="AA68" s="4"/>
      <c r="AB68" s="4"/>
      <c r="AC68" s="4"/>
      <c r="AD68" s="24" t="s">
        <v>19</v>
      </c>
      <c r="AE68" s="25"/>
      <c r="AF68" s="26"/>
      <c r="AG68" s="38">
        <v>374</v>
      </c>
      <c r="AH68" s="102"/>
      <c r="AI68" s="103"/>
      <c r="AJ68" s="4"/>
      <c r="AK68" s="4"/>
      <c r="AL68" s="4"/>
      <c r="AM68" s="4"/>
      <c r="AN68" s="24" t="s">
        <v>19</v>
      </c>
      <c r="AO68" s="25"/>
      <c r="AP68" s="26"/>
      <c r="AQ68" s="38">
        <v>322</v>
      </c>
      <c r="AR68" s="102"/>
      <c r="AS68" s="103"/>
      <c r="AT68" s="4"/>
      <c r="AU68" s="4"/>
      <c r="AV68" s="4"/>
      <c r="AW68" s="4"/>
      <c r="AX68" s="24" t="s">
        <v>113</v>
      </c>
      <c r="AY68" s="25"/>
      <c r="AZ68" s="26"/>
      <c r="BA68" s="38" t="s">
        <v>111</v>
      </c>
      <c r="BB68" s="39"/>
      <c r="BC68" s="40"/>
      <c r="BD68" s="4"/>
      <c r="BE68" s="4"/>
      <c r="BF68" s="4"/>
      <c r="BG68" s="4"/>
      <c r="BH68" s="24" t="s">
        <v>19</v>
      </c>
      <c r="BI68" s="25"/>
      <c r="BJ68" s="26"/>
      <c r="BK68" s="38">
        <v>392</v>
      </c>
      <c r="BL68" s="39"/>
      <c r="BM68" s="40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885</v>
      </c>
      <c r="H69" s="2"/>
      <c r="I69" s="2"/>
      <c r="J69" s="30" t="s">
        <v>29</v>
      </c>
      <c r="K69" s="31"/>
      <c r="L69" s="31"/>
      <c r="M69" s="31"/>
      <c r="N69" s="32"/>
      <c r="O69" s="33"/>
      <c r="P69" s="4"/>
      <c r="Q69" s="4"/>
      <c r="R69" s="4"/>
      <c r="S69" s="4"/>
      <c r="T69" s="53" t="s">
        <v>72</v>
      </c>
      <c r="U69" s="54"/>
      <c r="V69" s="54"/>
      <c r="W69" s="54"/>
      <c r="X69" s="55"/>
      <c r="Y69" s="56"/>
      <c r="Z69" s="4"/>
      <c r="AA69" s="4"/>
      <c r="AB69" s="4"/>
      <c r="AC69" s="4"/>
      <c r="AD69" s="94" t="s">
        <v>87</v>
      </c>
      <c r="AE69" s="95"/>
      <c r="AF69" s="95"/>
      <c r="AG69" s="95"/>
      <c r="AH69" s="96"/>
      <c r="AI69" s="97"/>
      <c r="AJ69" s="4"/>
      <c r="AK69" s="4"/>
      <c r="AL69" s="4"/>
      <c r="AM69" s="4"/>
      <c r="AN69" s="94" t="s">
        <v>73</v>
      </c>
      <c r="AO69" s="95"/>
      <c r="AP69" s="95"/>
      <c r="AQ69" s="95"/>
      <c r="AR69" s="96"/>
      <c r="AS69" s="97"/>
      <c r="AT69" s="4"/>
      <c r="AU69" s="4"/>
      <c r="AV69" s="4"/>
      <c r="AW69" s="4"/>
      <c r="AX69" s="154" t="s">
        <v>61</v>
      </c>
      <c r="AY69" s="155"/>
      <c r="AZ69" s="155"/>
      <c r="BA69" s="155"/>
      <c r="BB69" s="156"/>
      <c r="BC69" s="157"/>
      <c r="BD69" s="4"/>
      <c r="BE69" s="4"/>
      <c r="BF69" s="4"/>
      <c r="BG69" s="4"/>
      <c r="BH69" s="41" t="s">
        <v>153</v>
      </c>
      <c r="BI69" s="42"/>
      <c r="BJ69" s="42"/>
      <c r="BK69" s="42"/>
      <c r="BL69" s="43"/>
      <c r="BM69" s="4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34">
        <v>3</v>
      </c>
      <c r="K70" s="35"/>
      <c r="L70" s="36">
        <v>4</v>
      </c>
      <c r="M70" s="35"/>
      <c r="N70" s="36">
        <v>150</v>
      </c>
      <c r="O70" s="37"/>
      <c r="P70" s="4"/>
      <c r="Q70" s="4"/>
      <c r="R70" s="4"/>
      <c r="S70" s="4"/>
      <c r="T70" s="57">
        <v>3</v>
      </c>
      <c r="U70" s="58"/>
      <c r="V70" s="59">
        <v>6</v>
      </c>
      <c r="W70" s="58"/>
      <c r="X70" s="59">
        <v>180</v>
      </c>
      <c r="Y70" s="91"/>
      <c r="Z70" s="4"/>
      <c r="AA70" s="4"/>
      <c r="AB70" s="4"/>
      <c r="AC70" s="4"/>
      <c r="AD70" s="98">
        <v>3</v>
      </c>
      <c r="AE70" s="99"/>
      <c r="AF70" s="100">
        <v>5</v>
      </c>
      <c r="AG70" s="99"/>
      <c r="AH70" s="100">
        <v>165</v>
      </c>
      <c r="AI70" s="101"/>
      <c r="AJ70" s="4"/>
      <c r="AK70" s="4"/>
      <c r="AL70" s="4"/>
      <c r="AM70" s="4"/>
      <c r="AN70" s="98">
        <v>3</v>
      </c>
      <c r="AO70" s="99"/>
      <c r="AP70" s="100">
        <v>6</v>
      </c>
      <c r="AQ70" s="99"/>
      <c r="AR70" s="100">
        <v>180</v>
      </c>
      <c r="AS70" s="101"/>
      <c r="AT70" s="4"/>
      <c r="AU70" s="4"/>
      <c r="AV70" s="4"/>
      <c r="AW70" s="4"/>
      <c r="AX70" s="79">
        <v>3</v>
      </c>
      <c r="AY70" s="80"/>
      <c r="AZ70" s="81">
        <v>6</v>
      </c>
      <c r="BA70" s="80"/>
      <c r="BB70" s="81">
        <v>180</v>
      </c>
      <c r="BC70" s="82"/>
      <c r="BD70" s="4"/>
      <c r="BE70" s="4"/>
      <c r="BF70" s="4"/>
      <c r="BG70" s="4"/>
      <c r="BH70" s="45">
        <v>1</v>
      </c>
      <c r="BI70" s="46"/>
      <c r="BJ70" s="47">
        <v>2</v>
      </c>
      <c r="BK70" s="46"/>
      <c r="BL70" s="47">
        <v>30</v>
      </c>
      <c r="BM70" s="48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SUM(J70,T70,AD70,AN70,AX70,BH70)</f>
        <v>16</v>
      </c>
      <c r="F71" s="11">
        <f>L70+V70+AF70+AP70+AZ70+BJ70</f>
        <v>29</v>
      </c>
      <c r="G71" s="105"/>
      <c r="H71" s="2"/>
      <c r="I71" s="2"/>
      <c r="J71" s="20">
        <v>2</v>
      </c>
      <c r="K71" s="21"/>
      <c r="L71" s="22">
        <v>2</v>
      </c>
      <c r="M71" s="21"/>
      <c r="N71" s="22">
        <v>0</v>
      </c>
      <c r="O71" s="23"/>
      <c r="P71" s="4"/>
      <c r="Q71" s="4"/>
      <c r="R71" s="4"/>
      <c r="S71" s="4"/>
      <c r="T71" s="92">
        <v>3</v>
      </c>
      <c r="U71" s="93"/>
      <c r="V71" s="70">
        <v>3</v>
      </c>
      <c r="W71" s="93"/>
      <c r="X71" s="70">
        <v>0</v>
      </c>
      <c r="Y71" s="71"/>
      <c r="Z71" s="4"/>
      <c r="AA71" s="4"/>
      <c r="AB71" s="4"/>
      <c r="AC71" s="4"/>
      <c r="AD71" s="72">
        <v>3</v>
      </c>
      <c r="AE71" s="73"/>
      <c r="AF71" s="68">
        <v>2</v>
      </c>
      <c r="AG71" s="73"/>
      <c r="AH71" s="68">
        <v>0</v>
      </c>
      <c r="AI71" s="69"/>
      <c r="AJ71" s="4"/>
      <c r="AK71" s="4"/>
      <c r="AL71" s="4"/>
      <c r="AM71" s="4"/>
      <c r="AN71" s="72">
        <v>3</v>
      </c>
      <c r="AO71" s="73"/>
      <c r="AP71" s="68">
        <v>3</v>
      </c>
      <c r="AQ71" s="73"/>
      <c r="AR71" s="68">
        <v>0</v>
      </c>
      <c r="AS71" s="69"/>
      <c r="AT71" s="4"/>
      <c r="AU71" s="4"/>
      <c r="AV71" s="4"/>
      <c r="AW71" s="4"/>
      <c r="AX71" s="83">
        <v>3</v>
      </c>
      <c r="AY71" s="84"/>
      <c r="AZ71" s="85">
        <v>0</v>
      </c>
      <c r="BA71" s="84"/>
      <c r="BB71" s="85">
        <v>3</v>
      </c>
      <c r="BC71" s="86"/>
      <c r="BD71" s="4"/>
      <c r="BE71" s="4"/>
      <c r="BF71" s="4"/>
      <c r="BG71" s="4"/>
      <c r="BH71" s="49">
        <v>2</v>
      </c>
      <c r="BI71" s="50"/>
      <c r="BJ71" s="51">
        <v>0</v>
      </c>
      <c r="BK71" s="50"/>
      <c r="BL71" s="51">
        <v>0</v>
      </c>
      <c r="BM71" s="52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thickBot="1" x14ac:dyDescent="0.35"/>
    <row r="77" spans="2:135" ht="10.050000000000001" customHeight="1" thickTop="1" thickBot="1" x14ac:dyDescent="0.35">
      <c r="B77" s="118" t="s">
        <v>1</v>
      </c>
      <c r="C77" s="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I77" s="63" t="s">
        <v>15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6"/>
    </row>
    <row r="78" spans="2:135" ht="15" customHeight="1" x14ac:dyDescent="0.3">
      <c r="B78" s="118"/>
      <c r="C78" s="1"/>
      <c r="D78" s="119" t="s">
        <v>5</v>
      </c>
      <c r="E78" s="11"/>
      <c r="F78" s="11"/>
      <c r="G78" s="2"/>
      <c r="H78" s="2"/>
      <c r="I78" s="2"/>
      <c r="J78" s="24" t="s">
        <v>141</v>
      </c>
      <c r="K78" s="25"/>
      <c r="L78" s="26"/>
      <c r="M78" s="38" t="s">
        <v>111</v>
      </c>
      <c r="N78" s="39"/>
      <c r="O78" s="40"/>
      <c r="P78" s="4"/>
      <c r="Q78" s="4"/>
      <c r="R78" s="4"/>
      <c r="S78" s="4"/>
      <c r="T78" s="24" t="s">
        <v>19</v>
      </c>
      <c r="U78" s="25"/>
      <c r="V78" s="26"/>
      <c r="W78" s="38">
        <v>464</v>
      </c>
      <c r="X78" s="102"/>
      <c r="Y78" s="103"/>
      <c r="Z78" s="4"/>
      <c r="AA78" s="4"/>
      <c r="AB78" s="4"/>
      <c r="AC78" s="4"/>
      <c r="AD78" s="24" t="s">
        <v>19</v>
      </c>
      <c r="AE78" s="25"/>
      <c r="AF78" s="26"/>
      <c r="AG78" s="38">
        <v>445</v>
      </c>
      <c r="AH78" s="102"/>
      <c r="AI78" s="103"/>
      <c r="AJ78" s="4"/>
      <c r="AK78" s="4"/>
      <c r="AL78" s="4"/>
      <c r="AM78" s="4"/>
      <c r="AN78" s="24" t="s">
        <v>137</v>
      </c>
      <c r="AO78" s="25"/>
      <c r="AP78" s="26"/>
      <c r="AQ78" s="38" t="s">
        <v>112</v>
      </c>
      <c r="AR78" s="39"/>
      <c r="AS78" s="40"/>
      <c r="AT78" s="4"/>
      <c r="AU78" s="4"/>
      <c r="AV78" s="4"/>
      <c r="AW78" s="4"/>
      <c r="AX78" s="24" t="s">
        <v>19</v>
      </c>
      <c r="AY78" s="25"/>
      <c r="AZ78" s="26"/>
      <c r="BA78" s="38">
        <v>493</v>
      </c>
      <c r="BB78" s="39"/>
      <c r="BC78" s="40"/>
      <c r="BD78" s="4"/>
      <c r="BE78" s="4"/>
      <c r="BF78" s="4"/>
      <c r="BG78" s="4"/>
      <c r="BI78" s="64"/>
      <c r="BJ78" s="137" t="s">
        <v>65</v>
      </c>
      <c r="BK78" s="17"/>
      <c r="BL78" s="16"/>
      <c r="BR78" s="123" t="s">
        <v>7</v>
      </c>
      <c r="BS78" s="124"/>
      <c r="BT78" s="124"/>
      <c r="BU78" s="124"/>
      <c r="BV78" s="125"/>
      <c r="BW78" s="126"/>
      <c r="CA78" s="8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79" s="118"/>
      <c r="C79" s="1"/>
      <c r="D79" s="119"/>
      <c r="E79" s="120" t="s">
        <v>16</v>
      </c>
      <c r="F79" s="120" t="s">
        <v>17</v>
      </c>
      <c r="G79" s="13">
        <f>SUM(N80,X80,AH80,AR80,BB80,BL80)</f>
        <v>750</v>
      </c>
      <c r="H79" s="2"/>
      <c r="I79" s="2"/>
      <c r="J79" s="114" t="s">
        <v>142</v>
      </c>
      <c r="K79" s="115"/>
      <c r="L79" s="115"/>
      <c r="M79" s="115"/>
      <c r="N79" s="116"/>
      <c r="O79" s="117"/>
      <c r="P79" s="4"/>
      <c r="Q79" s="4"/>
      <c r="R79" s="4"/>
      <c r="S79" s="4"/>
      <c r="T79" s="53" t="s">
        <v>74</v>
      </c>
      <c r="U79" s="54"/>
      <c r="V79" s="54"/>
      <c r="W79" s="54"/>
      <c r="X79" s="55"/>
      <c r="Y79" s="56"/>
      <c r="Z79" s="4"/>
      <c r="AA79" s="4"/>
      <c r="AB79" s="4"/>
      <c r="AC79" s="4"/>
      <c r="AD79" s="94" t="s">
        <v>80</v>
      </c>
      <c r="AE79" s="95"/>
      <c r="AF79" s="95"/>
      <c r="AG79" s="95"/>
      <c r="AH79" s="96"/>
      <c r="AI79" s="97"/>
      <c r="AJ79" s="4"/>
      <c r="AK79" s="4"/>
      <c r="AL79" s="4"/>
      <c r="AM79" s="4"/>
      <c r="AN79" s="76" t="s">
        <v>143</v>
      </c>
      <c r="AO79" s="77"/>
      <c r="AP79" s="77"/>
      <c r="AQ79" s="77"/>
      <c r="AR79" s="77"/>
      <c r="AS79" s="78"/>
      <c r="AT79" s="4"/>
      <c r="AU79" s="4"/>
      <c r="AV79" s="4"/>
      <c r="AW79" s="4"/>
      <c r="AX79" s="41" t="s">
        <v>63</v>
      </c>
      <c r="AY79" s="42"/>
      <c r="AZ79" s="42"/>
      <c r="BA79" s="42"/>
      <c r="BB79" s="43"/>
      <c r="BC79" s="44"/>
      <c r="BD79" s="4"/>
      <c r="BE79" s="4"/>
      <c r="BF79" s="4"/>
      <c r="BG79" s="4"/>
      <c r="BI79" s="64"/>
      <c r="BJ79" s="137"/>
      <c r="BK79" s="17"/>
      <c r="BL79" s="16"/>
      <c r="BR79" s="127" t="s">
        <v>8</v>
      </c>
      <c r="BS79" s="128"/>
      <c r="BT79" s="128"/>
      <c r="BU79" s="128"/>
      <c r="BV79" s="129"/>
      <c r="BW79" s="130"/>
      <c r="CA79" s="8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80" s="118"/>
      <c r="C80" s="1"/>
      <c r="D80" s="119"/>
      <c r="E80" s="120"/>
      <c r="F80" s="120"/>
      <c r="G80" s="105"/>
      <c r="H80" s="121"/>
      <c r="I80" s="122"/>
      <c r="J80" s="110">
        <v>2</v>
      </c>
      <c r="K80" s="111"/>
      <c r="L80" s="108">
        <v>2</v>
      </c>
      <c r="M80" s="111"/>
      <c r="N80" s="108">
        <v>90</v>
      </c>
      <c r="O80" s="109"/>
      <c r="P80" s="4"/>
      <c r="Q80" s="4"/>
      <c r="R80" s="4"/>
      <c r="S80" s="4"/>
      <c r="T80" s="57">
        <v>3</v>
      </c>
      <c r="U80" s="58"/>
      <c r="V80" s="59">
        <v>6</v>
      </c>
      <c r="W80" s="58"/>
      <c r="X80" s="59">
        <v>180</v>
      </c>
      <c r="Y80" s="91"/>
      <c r="Z80" s="4"/>
      <c r="AA80" s="4"/>
      <c r="AB80" s="4"/>
      <c r="AC80" s="4"/>
      <c r="AD80" s="98">
        <v>3</v>
      </c>
      <c r="AE80" s="99"/>
      <c r="AF80" s="100">
        <v>6</v>
      </c>
      <c r="AG80" s="99"/>
      <c r="AH80" s="100">
        <v>180</v>
      </c>
      <c r="AI80" s="101"/>
      <c r="AJ80" s="4"/>
      <c r="AK80" s="4"/>
      <c r="AL80" s="4"/>
      <c r="AM80" s="4"/>
      <c r="AN80" s="79">
        <v>3</v>
      </c>
      <c r="AO80" s="80"/>
      <c r="AP80" s="81">
        <v>6</v>
      </c>
      <c r="AQ80" s="80"/>
      <c r="AR80" s="81">
        <v>180</v>
      </c>
      <c r="AS80" s="82"/>
      <c r="AT80" s="4"/>
      <c r="AU80" s="4"/>
      <c r="AV80" s="4"/>
      <c r="AW80" s="4"/>
      <c r="AX80" s="45">
        <v>3</v>
      </c>
      <c r="AY80" s="46"/>
      <c r="AZ80" s="47">
        <v>2</v>
      </c>
      <c r="BA80" s="46"/>
      <c r="BB80" s="47">
        <v>120</v>
      </c>
      <c r="BC80" s="48"/>
      <c r="BD80" s="4"/>
      <c r="BE80" s="4"/>
      <c r="BF80" s="4"/>
      <c r="BG80" s="4"/>
      <c r="BI80" s="64"/>
      <c r="BJ80" s="137"/>
      <c r="BK80" s="17"/>
      <c r="BL80" s="16"/>
      <c r="BR80" s="66" t="s">
        <v>9</v>
      </c>
      <c r="BS80" s="67"/>
      <c r="BT80" s="131" t="s">
        <v>18</v>
      </c>
      <c r="BU80" s="67"/>
      <c r="BV80" s="131" t="s">
        <v>10</v>
      </c>
      <c r="BW80" s="132"/>
      <c r="CA80" s="8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2:135" ht="15" thickBot="1" x14ac:dyDescent="0.35">
      <c r="B81" s="118"/>
      <c r="C81" s="1"/>
      <c r="D81" s="119"/>
      <c r="E81" s="11">
        <f>SUM(J80,T80,AD80,AN80,AX80)</f>
        <v>14</v>
      </c>
      <c r="F81" s="11">
        <f>SUM(J81:BC81)</f>
        <v>22</v>
      </c>
      <c r="G81" s="105"/>
      <c r="H81" s="2"/>
      <c r="I81" s="2"/>
      <c r="J81" s="112">
        <v>2</v>
      </c>
      <c r="K81" s="113"/>
      <c r="L81" s="106">
        <v>0</v>
      </c>
      <c r="M81" s="113"/>
      <c r="N81" s="106">
        <v>0</v>
      </c>
      <c r="O81" s="107"/>
      <c r="P81" s="4"/>
      <c r="Q81" s="4"/>
      <c r="R81" s="4"/>
      <c r="S81" s="4"/>
      <c r="T81" s="92">
        <v>3</v>
      </c>
      <c r="U81" s="93"/>
      <c r="V81" s="70">
        <v>3</v>
      </c>
      <c r="W81" s="93"/>
      <c r="X81" s="70">
        <v>0</v>
      </c>
      <c r="Y81" s="71"/>
      <c r="Z81" s="4"/>
      <c r="AA81" s="4"/>
      <c r="AB81" s="4"/>
      <c r="AC81" s="4"/>
      <c r="AD81" s="72">
        <v>3</v>
      </c>
      <c r="AE81" s="73"/>
      <c r="AF81" s="68">
        <v>3</v>
      </c>
      <c r="AG81" s="73"/>
      <c r="AH81" s="68">
        <v>0</v>
      </c>
      <c r="AI81" s="69"/>
      <c r="AJ81" s="4"/>
      <c r="AK81" s="4"/>
      <c r="AL81" s="4"/>
      <c r="AM81" s="4"/>
      <c r="AN81" s="83">
        <v>3</v>
      </c>
      <c r="AO81" s="84"/>
      <c r="AP81" s="85">
        <v>3</v>
      </c>
      <c r="AQ81" s="84"/>
      <c r="AR81" s="85">
        <v>0</v>
      </c>
      <c r="AS81" s="86"/>
      <c r="AT81" s="4"/>
      <c r="AU81" s="4"/>
      <c r="AV81" s="4"/>
      <c r="AW81" s="4"/>
      <c r="AX81" s="49">
        <v>2</v>
      </c>
      <c r="AY81" s="50"/>
      <c r="AZ81" s="51">
        <v>0</v>
      </c>
      <c r="BA81" s="50"/>
      <c r="BB81" s="51">
        <v>0</v>
      </c>
      <c r="BC81" s="52"/>
      <c r="BD81" s="4"/>
      <c r="BE81" s="4"/>
      <c r="BF81" s="4"/>
      <c r="BG81" s="4"/>
      <c r="BI81" s="64"/>
      <c r="BJ81" s="137"/>
      <c r="BK81" s="17"/>
      <c r="BL81" s="16"/>
      <c r="BR81" s="133" t="s">
        <v>11</v>
      </c>
      <c r="BS81" s="134"/>
      <c r="BT81" s="135" t="s">
        <v>12</v>
      </c>
      <c r="BU81" s="134"/>
      <c r="BV81" s="135" t="s">
        <v>13</v>
      </c>
      <c r="BW81" s="136"/>
      <c r="CA81" s="8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2:135" ht="10.050000000000001" customHeight="1" x14ac:dyDescent="0.3">
      <c r="B82" s="118"/>
      <c r="C82" s="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I82" s="64"/>
      <c r="BL82" s="16"/>
      <c r="CA82" s="8"/>
    </row>
    <row r="83" spans="2:135" ht="10.050000000000001" customHeight="1" x14ac:dyDescent="0.3">
      <c r="B83" s="118"/>
      <c r="C83" s="3"/>
      <c r="BI83" s="64"/>
      <c r="BL83" s="16"/>
      <c r="CA83" s="8"/>
    </row>
    <row r="84" spans="2:135" ht="10.050000000000001" customHeight="1" x14ac:dyDescent="0.3">
      <c r="B84" s="118"/>
      <c r="C84" s="3"/>
      <c r="BI84" s="64"/>
      <c r="BJ84" s="90"/>
      <c r="BL84" s="15"/>
      <c r="BN84" s="18"/>
      <c r="BO84" s="18"/>
      <c r="BP84" s="18"/>
      <c r="BQ84" s="18"/>
      <c r="BS84" s="60"/>
      <c r="BU84" s="75" t="s">
        <v>30</v>
      </c>
      <c r="BW84" s="61"/>
      <c r="CA84" s="8"/>
    </row>
    <row r="85" spans="2:135" ht="10.050000000000001" customHeight="1" thickBot="1" x14ac:dyDescent="0.35">
      <c r="B85" s="118"/>
      <c r="C85" s="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I85" s="64"/>
      <c r="BJ85" s="90"/>
      <c r="BL85" s="74" t="s">
        <v>22</v>
      </c>
      <c r="BN85" s="18"/>
      <c r="BO85" s="18"/>
      <c r="BP85" s="18"/>
      <c r="BQ85" s="18"/>
      <c r="BS85" s="60"/>
      <c r="BU85" s="75"/>
      <c r="BW85" s="61"/>
      <c r="CA85" s="8"/>
    </row>
    <row r="86" spans="2:135" ht="15" customHeight="1" x14ac:dyDescent="0.3">
      <c r="B86" s="118"/>
      <c r="C86" s="1"/>
      <c r="D86" s="119" t="s">
        <v>6</v>
      </c>
      <c r="E86" s="11"/>
      <c r="F86" s="11"/>
      <c r="G86" s="2"/>
      <c r="H86" s="2"/>
      <c r="I86" s="2"/>
      <c r="J86" s="24" t="s">
        <v>144</v>
      </c>
      <c r="K86" s="25"/>
      <c r="L86" s="26"/>
      <c r="M86" s="38" t="s">
        <v>111</v>
      </c>
      <c r="N86" s="39"/>
      <c r="O86" s="40"/>
      <c r="P86" s="4"/>
      <c r="Q86" s="4"/>
      <c r="R86" s="4"/>
      <c r="S86" s="4"/>
      <c r="T86" s="24" t="s">
        <v>19</v>
      </c>
      <c r="U86" s="25"/>
      <c r="V86" s="26"/>
      <c r="W86" s="38">
        <v>446</v>
      </c>
      <c r="X86" s="102"/>
      <c r="Y86" s="103"/>
      <c r="Z86" s="4"/>
      <c r="AA86" s="4"/>
      <c r="AB86" s="4"/>
      <c r="AC86" s="4"/>
      <c r="AD86" s="24" t="s">
        <v>19</v>
      </c>
      <c r="AE86" s="25"/>
      <c r="AF86" s="26"/>
      <c r="AG86" s="38">
        <v>447</v>
      </c>
      <c r="AH86" s="102"/>
      <c r="AI86" s="103"/>
      <c r="AJ86" s="4"/>
      <c r="AK86" s="4"/>
      <c r="AL86" s="4"/>
      <c r="AM86" s="4"/>
      <c r="AN86" s="24" t="s">
        <v>137</v>
      </c>
      <c r="AO86" s="25"/>
      <c r="AP86" s="26"/>
      <c r="AQ86" s="38" t="s">
        <v>112</v>
      </c>
      <c r="AR86" s="39"/>
      <c r="AS86" s="40"/>
      <c r="AT86" s="4"/>
      <c r="AU86" s="4"/>
      <c r="AV86" s="4"/>
      <c r="AW86" s="4"/>
      <c r="AX86" s="24" t="s">
        <v>19</v>
      </c>
      <c r="AY86" s="25"/>
      <c r="AZ86" s="26"/>
      <c r="BA86" s="38">
        <v>494</v>
      </c>
      <c r="BB86" s="39"/>
      <c r="BC86" s="40"/>
      <c r="BD86" s="4"/>
      <c r="BE86" s="4"/>
      <c r="BF86" s="4"/>
      <c r="BG86" s="4"/>
      <c r="BI86" s="64"/>
      <c r="BJ86" s="90" t="s">
        <v>31</v>
      </c>
      <c r="BK86" s="7"/>
      <c r="BL86" s="74"/>
      <c r="BM86" s="7"/>
      <c r="BN86" s="62" t="s">
        <v>14</v>
      </c>
      <c r="BO86" s="62"/>
      <c r="BP86" s="62"/>
      <c r="BQ86" s="62"/>
      <c r="BR86" s="7"/>
      <c r="BS86" s="60" t="s">
        <v>46</v>
      </c>
      <c r="BT86" s="7"/>
      <c r="BU86" s="75"/>
      <c r="BV86" s="7"/>
      <c r="BW86" s="61" t="s">
        <v>62</v>
      </c>
      <c r="CA86" s="8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2:135" ht="48.75" customHeight="1" x14ac:dyDescent="0.3">
      <c r="B87" s="118"/>
      <c r="C87" s="1"/>
      <c r="D87" s="119"/>
      <c r="E87" s="120" t="s">
        <v>16</v>
      </c>
      <c r="F87" s="120" t="s">
        <v>17</v>
      </c>
      <c r="G87" s="13">
        <f>SUM(N88,X88,AH88,AR88,BB88,BL88)</f>
        <v>750</v>
      </c>
      <c r="H87" s="2"/>
      <c r="I87" s="2"/>
      <c r="J87" s="114" t="s">
        <v>106</v>
      </c>
      <c r="K87" s="115"/>
      <c r="L87" s="115"/>
      <c r="M87" s="115"/>
      <c r="N87" s="116"/>
      <c r="O87" s="117"/>
      <c r="P87" s="4"/>
      <c r="Q87" s="4"/>
      <c r="R87" s="4"/>
      <c r="S87" s="4"/>
      <c r="T87" s="94" t="s">
        <v>76</v>
      </c>
      <c r="U87" s="95"/>
      <c r="V87" s="95"/>
      <c r="W87" s="95"/>
      <c r="X87" s="96"/>
      <c r="Y87" s="97"/>
      <c r="Z87" s="4"/>
      <c r="AA87" s="4"/>
      <c r="AB87" s="4"/>
      <c r="AC87" s="4"/>
      <c r="AD87" s="94" t="s">
        <v>81</v>
      </c>
      <c r="AE87" s="95"/>
      <c r="AF87" s="95"/>
      <c r="AG87" s="95"/>
      <c r="AH87" s="96"/>
      <c r="AI87" s="97"/>
      <c r="AJ87" s="4"/>
      <c r="AK87" s="4"/>
      <c r="AL87" s="4"/>
      <c r="AM87" s="4"/>
      <c r="AN87" s="76" t="s">
        <v>145</v>
      </c>
      <c r="AO87" s="77"/>
      <c r="AP87" s="77"/>
      <c r="AQ87" s="77"/>
      <c r="AR87" s="77"/>
      <c r="AS87" s="78"/>
      <c r="AT87" s="4"/>
      <c r="AU87" s="4"/>
      <c r="AV87" s="4"/>
      <c r="AW87" s="4"/>
      <c r="AX87" s="41" t="s">
        <v>64</v>
      </c>
      <c r="AY87" s="42"/>
      <c r="AZ87" s="42"/>
      <c r="BA87" s="42"/>
      <c r="BB87" s="43"/>
      <c r="BC87" s="44"/>
      <c r="BD87" s="4"/>
      <c r="BE87" s="4"/>
      <c r="BF87" s="4"/>
      <c r="BG87" s="4"/>
      <c r="BI87" s="64"/>
      <c r="BJ87" s="90"/>
      <c r="BK87" s="7"/>
      <c r="BL87" s="74"/>
      <c r="BM87" s="7"/>
      <c r="BN87" s="62"/>
      <c r="BO87" s="62"/>
      <c r="BP87" s="62"/>
      <c r="BQ87" s="62"/>
      <c r="BR87" s="7"/>
      <c r="BS87" s="60"/>
      <c r="BT87" s="7"/>
      <c r="BU87" s="75"/>
      <c r="BV87" s="7"/>
      <c r="BW87" s="61"/>
      <c r="CA87" s="8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2:135" x14ac:dyDescent="0.3">
      <c r="B88" s="118"/>
      <c r="C88" s="1"/>
      <c r="D88" s="119"/>
      <c r="E88" s="120"/>
      <c r="F88" s="120"/>
      <c r="G88" s="105"/>
      <c r="H88" s="121"/>
      <c r="I88" s="122"/>
      <c r="J88" s="110">
        <v>2</v>
      </c>
      <c r="K88" s="111"/>
      <c r="L88" s="108">
        <v>2</v>
      </c>
      <c r="M88" s="111"/>
      <c r="N88" s="108">
        <v>90</v>
      </c>
      <c r="O88" s="109"/>
      <c r="P88" s="4"/>
      <c r="Q88" s="4"/>
      <c r="R88" s="4"/>
      <c r="S88" s="4"/>
      <c r="T88" s="98">
        <v>3</v>
      </c>
      <c r="U88" s="99"/>
      <c r="V88" s="100">
        <v>6</v>
      </c>
      <c r="W88" s="99"/>
      <c r="X88" s="100">
        <v>180</v>
      </c>
      <c r="Y88" s="101"/>
      <c r="Z88" s="4"/>
      <c r="AA88" s="4"/>
      <c r="AB88" s="4"/>
      <c r="AC88" s="4"/>
      <c r="AD88" s="98">
        <v>3</v>
      </c>
      <c r="AE88" s="99"/>
      <c r="AF88" s="100">
        <v>6</v>
      </c>
      <c r="AG88" s="99"/>
      <c r="AH88" s="100">
        <v>180</v>
      </c>
      <c r="AI88" s="101"/>
      <c r="AJ88" s="4"/>
      <c r="AK88" s="4"/>
      <c r="AL88" s="4"/>
      <c r="AM88" s="4"/>
      <c r="AN88" s="79">
        <v>3</v>
      </c>
      <c r="AO88" s="80"/>
      <c r="AP88" s="81">
        <v>6</v>
      </c>
      <c r="AQ88" s="80"/>
      <c r="AR88" s="81">
        <v>180</v>
      </c>
      <c r="AS88" s="82"/>
      <c r="AT88" s="4"/>
      <c r="AU88" s="4"/>
      <c r="AV88" s="4"/>
      <c r="AW88" s="4"/>
      <c r="AX88" s="45">
        <v>3</v>
      </c>
      <c r="AY88" s="46"/>
      <c r="AZ88" s="47">
        <v>2</v>
      </c>
      <c r="BA88" s="46"/>
      <c r="BB88" s="47">
        <v>120</v>
      </c>
      <c r="BC88" s="48"/>
      <c r="BD88" s="4"/>
      <c r="BE88" s="4"/>
      <c r="BF88" s="4"/>
      <c r="BG88" s="4"/>
      <c r="BI88" s="64"/>
      <c r="BJ88" s="90"/>
      <c r="BK88" s="7"/>
      <c r="BL88" s="74"/>
      <c r="BM88" s="7"/>
      <c r="BN88" s="62"/>
      <c r="BO88" s="62"/>
      <c r="BP88" s="62"/>
      <c r="BQ88" s="62"/>
      <c r="BR88" s="7"/>
      <c r="BS88" s="60"/>
      <c r="BT88" s="7"/>
      <c r="BU88" s="75"/>
      <c r="BV88" s="7"/>
      <c r="BW88" s="61"/>
      <c r="CA88" s="8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2:135" ht="15" thickBot="1" x14ac:dyDescent="0.35">
      <c r="B89" s="118"/>
      <c r="C89" s="1"/>
      <c r="D89" s="119"/>
      <c r="E89" s="11">
        <f>SUM(J88,T88,AD88,AN88,AX88)</f>
        <v>14</v>
      </c>
      <c r="F89" s="11">
        <f>SUM(J89:BC89)</f>
        <v>22</v>
      </c>
      <c r="G89" s="105"/>
      <c r="H89" s="2"/>
      <c r="I89" s="2"/>
      <c r="J89" s="112">
        <v>2</v>
      </c>
      <c r="K89" s="113"/>
      <c r="L89" s="106">
        <v>0</v>
      </c>
      <c r="M89" s="113"/>
      <c r="N89" s="106">
        <v>0</v>
      </c>
      <c r="O89" s="107"/>
      <c r="P89" s="4"/>
      <c r="Q89" s="4"/>
      <c r="R89" s="4"/>
      <c r="S89" s="4"/>
      <c r="T89" s="72">
        <v>3</v>
      </c>
      <c r="U89" s="73"/>
      <c r="V89" s="68">
        <v>3</v>
      </c>
      <c r="W89" s="73"/>
      <c r="X89" s="68">
        <v>0</v>
      </c>
      <c r="Y89" s="69"/>
      <c r="Z89" s="4"/>
      <c r="AA89" s="4"/>
      <c r="AB89" s="4"/>
      <c r="AC89" s="4"/>
      <c r="AD89" s="72">
        <v>3</v>
      </c>
      <c r="AE89" s="73"/>
      <c r="AF89" s="68">
        <v>3</v>
      </c>
      <c r="AG89" s="73"/>
      <c r="AH89" s="68">
        <v>0</v>
      </c>
      <c r="AI89" s="69"/>
      <c r="AJ89" s="4"/>
      <c r="AK89" s="4"/>
      <c r="AL89" s="4"/>
      <c r="AM89" s="4"/>
      <c r="AN89" s="83">
        <v>3</v>
      </c>
      <c r="AO89" s="84"/>
      <c r="AP89" s="85">
        <v>3</v>
      </c>
      <c r="AQ89" s="84"/>
      <c r="AR89" s="85">
        <v>0</v>
      </c>
      <c r="AS89" s="86"/>
      <c r="AT89" s="4"/>
      <c r="AU89" s="4"/>
      <c r="AV89" s="4"/>
      <c r="AW89" s="4"/>
      <c r="AX89" s="49">
        <v>2</v>
      </c>
      <c r="AY89" s="50"/>
      <c r="AZ89" s="51">
        <v>0</v>
      </c>
      <c r="BA89" s="50"/>
      <c r="BB89" s="51">
        <v>0</v>
      </c>
      <c r="BC89" s="52"/>
      <c r="BD89" s="4"/>
      <c r="BE89" s="4"/>
      <c r="BF89" s="4"/>
      <c r="BG89" s="4"/>
      <c r="BI89" s="64"/>
      <c r="BJ89" s="90"/>
      <c r="BK89" s="7"/>
      <c r="BL89" s="74"/>
      <c r="BM89" s="7"/>
      <c r="BN89" s="62"/>
      <c r="BO89" s="62"/>
      <c r="BP89" s="62"/>
      <c r="BQ89" s="62"/>
      <c r="BR89" s="7"/>
      <c r="BS89" s="60"/>
      <c r="BT89" s="7"/>
      <c r="BU89" s="75"/>
      <c r="BV89" s="7"/>
      <c r="BW89" s="61"/>
      <c r="CA89" s="8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2:135" ht="10.050000000000001" customHeight="1" thickBot="1" x14ac:dyDescent="0.35">
      <c r="B90" s="118"/>
      <c r="C90" s="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I90" s="65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10"/>
    </row>
    <row r="91" spans="2:135" ht="10.050000000000001" customHeight="1" thickTop="1" x14ac:dyDescent="0.3"/>
    <row r="92" spans="2:135" ht="10.050000000000001" customHeight="1" x14ac:dyDescent="0.3"/>
    <row r="93" spans="2:135" ht="10.050000000000001" customHeight="1" x14ac:dyDescent="0.3"/>
    <row r="100" ht="48.75" customHeight="1" x14ac:dyDescent="0.3"/>
  </sheetData>
  <mergeCells count="775"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N8:O8"/>
    <mergeCell ref="AN8:AO8"/>
    <mergeCell ref="AP8:AQ8"/>
    <mergeCell ref="AR8:AS8"/>
    <mergeCell ref="AX8:AY8"/>
    <mergeCell ref="AZ8:BA8"/>
    <mergeCell ref="BB8:BC8"/>
    <mergeCell ref="T8:U8"/>
    <mergeCell ref="V8:W8"/>
    <mergeCell ref="X8:Y8"/>
    <mergeCell ref="AD8:AE8"/>
    <mergeCell ref="AF8:AG8"/>
    <mergeCell ref="AH8:AI8"/>
    <mergeCell ref="E7:E8"/>
    <mergeCell ref="F7:F8"/>
    <mergeCell ref="J7:O7"/>
    <mergeCell ref="T7:Y7"/>
    <mergeCell ref="AD7:AI7"/>
    <mergeCell ref="AN7:AS7"/>
    <mergeCell ref="AX7:BC7"/>
    <mergeCell ref="AQ6:AS6"/>
    <mergeCell ref="AX6:AZ6"/>
    <mergeCell ref="BA6:BC6"/>
    <mergeCell ref="G8:G9"/>
    <mergeCell ref="H8:I8"/>
    <mergeCell ref="J8:K8"/>
    <mergeCell ref="L8:M8"/>
    <mergeCell ref="AR9:AS9"/>
    <mergeCell ref="J9:K9"/>
    <mergeCell ref="L9:M9"/>
    <mergeCell ref="N9:O9"/>
    <mergeCell ref="T9:U9"/>
    <mergeCell ref="V9:W9"/>
    <mergeCell ref="X9:Y9"/>
    <mergeCell ref="DT8:DU8"/>
    <mergeCell ref="DZ8:EA8"/>
    <mergeCell ref="EB8:EC8"/>
    <mergeCell ref="ED8:EE8"/>
    <mergeCell ref="BH8:BI8"/>
    <mergeCell ref="BJ8:BK8"/>
    <mergeCell ref="BL8:BM8"/>
    <mergeCell ref="DP6:DU6"/>
    <mergeCell ref="DZ6:EE6"/>
    <mergeCell ref="BH6:BJ6"/>
    <mergeCell ref="BK6:BM6"/>
    <mergeCell ref="BH7:BM7"/>
    <mergeCell ref="DP7:DU7"/>
    <mergeCell ref="DZ7:EE7"/>
    <mergeCell ref="DP8:DQ8"/>
    <mergeCell ref="DR8:DS8"/>
    <mergeCell ref="BR6:BT6"/>
    <mergeCell ref="BU6:BW6"/>
    <mergeCell ref="BR7:BW7"/>
    <mergeCell ref="BR8:BS8"/>
    <mergeCell ref="BT8:BU8"/>
    <mergeCell ref="BV8:BW8"/>
    <mergeCell ref="DZ9:EA9"/>
    <mergeCell ref="EB9:EC9"/>
    <mergeCell ref="ED9:EE9"/>
    <mergeCell ref="D14:D17"/>
    <mergeCell ref="J14:L14"/>
    <mergeCell ref="M14:O14"/>
    <mergeCell ref="T14:V14"/>
    <mergeCell ref="W14:Y14"/>
    <mergeCell ref="AD14:AF14"/>
    <mergeCell ref="AG14:AI14"/>
    <mergeCell ref="DP9:DQ9"/>
    <mergeCell ref="DR9:DS9"/>
    <mergeCell ref="DT9:DU9"/>
    <mergeCell ref="AX9:AY9"/>
    <mergeCell ref="AZ9:BA9"/>
    <mergeCell ref="BB9:BC9"/>
    <mergeCell ref="BH9:BI9"/>
    <mergeCell ref="BJ9:BK9"/>
    <mergeCell ref="BL9:BM9"/>
    <mergeCell ref="AD9:AE9"/>
    <mergeCell ref="AF9:AG9"/>
    <mergeCell ref="AH9:AI9"/>
    <mergeCell ref="AN9:AO9"/>
    <mergeCell ref="AP9:AQ9"/>
    <mergeCell ref="E15:E16"/>
    <mergeCell ref="F15:F16"/>
    <mergeCell ref="J15:O15"/>
    <mergeCell ref="T15:Y15"/>
    <mergeCell ref="AD15:AI15"/>
    <mergeCell ref="AN15:AS15"/>
    <mergeCell ref="AN14:AP14"/>
    <mergeCell ref="AQ14:AS14"/>
    <mergeCell ref="AX14:AZ14"/>
    <mergeCell ref="G16:G17"/>
    <mergeCell ref="H16:I16"/>
    <mergeCell ref="J16:K16"/>
    <mergeCell ref="L16:M16"/>
    <mergeCell ref="AN17:AO17"/>
    <mergeCell ref="AP17:AQ17"/>
    <mergeCell ref="AR17:AS17"/>
    <mergeCell ref="AX17:AY17"/>
    <mergeCell ref="AZ17:BA17"/>
    <mergeCell ref="J17:K17"/>
    <mergeCell ref="L17:M17"/>
    <mergeCell ref="N17:O17"/>
    <mergeCell ref="T17:U17"/>
    <mergeCell ref="V17:W17"/>
    <mergeCell ref="X17:Y17"/>
    <mergeCell ref="DP14:DU14"/>
    <mergeCell ref="DZ14:EE14"/>
    <mergeCell ref="BA14:BC14"/>
    <mergeCell ref="BH14:BJ14"/>
    <mergeCell ref="BK14:BM14"/>
    <mergeCell ref="N16:O16"/>
    <mergeCell ref="T16:U16"/>
    <mergeCell ref="V16:W16"/>
    <mergeCell ref="X16:Y16"/>
    <mergeCell ref="AD16:AE16"/>
    <mergeCell ref="AF16:AG16"/>
    <mergeCell ref="AX15:BC15"/>
    <mergeCell ref="BH15:BM15"/>
    <mergeCell ref="BJ16:BK16"/>
    <mergeCell ref="AH16:AI16"/>
    <mergeCell ref="AN16:AO16"/>
    <mergeCell ref="AP16:AQ16"/>
    <mergeCell ref="AR16:AS16"/>
    <mergeCell ref="AX16:AY16"/>
    <mergeCell ref="AZ16:BA16"/>
    <mergeCell ref="DP15:DU15"/>
    <mergeCell ref="DZ15:EE15"/>
    <mergeCell ref="ED16:EE16"/>
    <mergeCell ref="AD17:AE17"/>
    <mergeCell ref="AF17:AG17"/>
    <mergeCell ref="AH17:AI17"/>
    <mergeCell ref="DP16:DQ16"/>
    <mergeCell ref="DR16:DS16"/>
    <mergeCell ref="DT16:DU16"/>
    <mergeCell ref="DZ16:EA16"/>
    <mergeCell ref="EB16:EC16"/>
    <mergeCell ref="BB16:BC16"/>
    <mergeCell ref="BH16:BI16"/>
    <mergeCell ref="BL16:BM16"/>
    <mergeCell ref="DP17:DQ17"/>
    <mergeCell ref="DR17:DS17"/>
    <mergeCell ref="DT17:DU17"/>
    <mergeCell ref="DZ17:EA17"/>
    <mergeCell ref="EB17:EC17"/>
    <mergeCell ref="B23:B36"/>
    <mergeCell ref="D24:D27"/>
    <mergeCell ref="J24:L24"/>
    <mergeCell ref="M24:O24"/>
    <mergeCell ref="T24:V24"/>
    <mergeCell ref="W24:Y24"/>
    <mergeCell ref="E25:E26"/>
    <mergeCell ref="F25:F26"/>
    <mergeCell ref="J25:O25"/>
    <mergeCell ref="T25:Y25"/>
    <mergeCell ref="G26:G27"/>
    <mergeCell ref="H26:I26"/>
    <mergeCell ref="J26:K26"/>
    <mergeCell ref="L26:M26"/>
    <mergeCell ref="N26:O26"/>
    <mergeCell ref="T26:U26"/>
    <mergeCell ref="V26:W26"/>
    <mergeCell ref="X26:Y26"/>
    <mergeCell ref="L34:M34"/>
    <mergeCell ref="J27:K27"/>
    <mergeCell ref="L27:M27"/>
    <mergeCell ref="N27:O27"/>
    <mergeCell ref="T27:U27"/>
    <mergeCell ref="V27:W27"/>
    <mergeCell ref="AD33:AI33"/>
    <mergeCell ref="AN33:AS33"/>
    <mergeCell ref="AX33:BC33"/>
    <mergeCell ref="AQ32:AS32"/>
    <mergeCell ref="AX32:AZ32"/>
    <mergeCell ref="ED17:EE17"/>
    <mergeCell ref="BH17:BI17"/>
    <mergeCell ref="BJ17:BK17"/>
    <mergeCell ref="BL17:BM17"/>
    <mergeCell ref="BB17:BC17"/>
    <mergeCell ref="DZ25:EE25"/>
    <mergeCell ref="AD25:AI25"/>
    <mergeCell ref="AN25:AS25"/>
    <mergeCell ref="AX25:BC25"/>
    <mergeCell ref="BH25:BM25"/>
    <mergeCell ref="DP25:DU25"/>
    <mergeCell ref="AX27:AY27"/>
    <mergeCell ref="DZ26:EA26"/>
    <mergeCell ref="EB26:EC26"/>
    <mergeCell ref="ED26:EE26"/>
    <mergeCell ref="DT26:DU26"/>
    <mergeCell ref="EB27:EC27"/>
    <mergeCell ref="ED27:EE27"/>
    <mergeCell ref="DT27:DU27"/>
    <mergeCell ref="DZ27:EA27"/>
    <mergeCell ref="BH24:BJ24"/>
    <mergeCell ref="BK24:BM24"/>
    <mergeCell ref="DP24:DU24"/>
    <mergeCell ref="DZ24:EE24"/>
    <mergeCell ref="AD24:AF24"/>
    <mergeCell ref="AG24:AI24"/>
    <mergeCell ref="AN24:AP24"/>
    <mergeCell ref="AQ24:AS24"/>
    <mergeCell ref="AX24:AZ24"/>
    <mergeCell ref="BA24:BC24"/>
    <mergeCell ref="X27:Y27"/>
    <mergeCell ref="AD27:AE27"/>
    <mergeCell ref="DP26:DQ26"/>
    <mergeCell ref="DR26:DS26"/>
    <mergeCell ref="AX26:AY26"/>
    <mergeCell ref="AZ26:BA26"/>
    <mergeCell ref="BB26:BC26"/>
    <mergeCell ref="BH26:BI26"/>
    <mergeCell ref="BJ26:BK26"/>
    <mergeCell ref="BL26:BM26"/>
    <mergeCell ref="AD26:AE26"/>
    <mergeCell ref="AF26:AG26"/>
    <mergeCell ref="AH26:AI26"/>
    <mergeCell ref="AN26:AO26"/>
    <mergeCell ref="DR27:DS27"/>
    <mergeCell ref="AP26:AQ26"/>
    <mergeCell ref="AR26:AS26"/>
    <mergeCell ref="D32:D35"/>
    <mergeCell ref="J32:L32"/>
    <mergeCell ref="M32:O32"/>
    <mergeCell ref="T32:V32"/>
    <mergeCell ref="W32:Y32"/>
    <mergeCell ref="AD32:AF32"/>
    <mergeCell ref="AG32:AI32"/>
    <mergeCell ref="AN32:AP32"/>
    <mergeCell ref="DP27:DQ27"/>
    <mergeCell ref="AZ27:BA27"/>
    <mergeCell ref="BB27:BC27"/>
    <mergeCell ref="BH27:BI27"/>
    <mergeCell ref="BJ27:BK27"/>
    <mergeCell ref="BL27:BM27"/>
    <mergeCell ref="AF27:AG27"/>
    <mergeCell ref="AH27:AI27"/>
    <mergeCell ref="AN27:AO27"/>
    <mergeCell ref="AP27:AQ27"/>
    <mergeCell ref="AR27:AS27"/>
    <mergeCell ref="DP32:DU32"/>
    <mergeCell ref="E33:E34"/>
    <mergeCell ref="F33:F34"/>
    <mergeCell ref="J33:O33"/>
    <mergeCell ref="T33:Y33"/>
    <mergeCell ref="BA32:BC32"/>
    <mergeCell ref="BH32:BJ32"/>
    <mergeCell ref="BK32:BM32"/>
    <mergeCell ref="BH33:BM33"/>
    <mergeCell ref="DP33:DU33"/>
    <mergeCell ref="DZ33:EE33"/>
    <mergeCell ref="G34:G35"/>
    <mergeCell ref="H34:I34"/>
    <mergeCell ref="J34:K34"/>
    <mergeCell ref="DT34:DU34"/>
    <mergeCell ref="DZ34:EA34"/>
    <mergeCell ref="EB34:EC34"/>
    <mergeCell ref="ED34:EE34"/>
    <mergeCell ref="BH34:BI34"/>
    <mergeCell ref="BJ34:BK34"/>
    <mergeCell ref="BL34:BM34"/>
    <mergeCell ref="AN34:AO34"/>
    <mergeCell ref="AP34:AQ34"/>
    <mergeCell ref="AR34:AS34"/>
    <mergeCell ref="AX34:AY34"/>
    <mergeCell ref="AZ34:BA34"/>
    <mergeCell ref="BB34:BC34"/>
    <mergeCell ref="AR35:AS35"/>
    <mergeCell ref="DZ32:EE32"/>
    <mergeCell ref="J35:K35"/>
    <mergeCell ref="L35:M35"/>
    <mergeCell ref="N35:O35"/>
    <mergeCell ref="T35:U35"/>
    <mergeCell ref="V35:W35"/>
    <mergeCell ref="X35:Y35"/>
    <mergeCell ref="DP34:DQ34"/>
    <mergeCell ref="DR34:DS34"/>
    <mergeCell ref="T34:U34"/>
    <mergeCell ref="V34:W34"/>
    <mergeCell ref="X34:Y34"/>
    <mergeCell ref="AD34:AE34"/>
    <mergeCell ref="AF34:AG34"/>
    <mergeCell ref="AH34:AI34"/>
    <mergeCell ref="N34:O34"/>
    <mergeCell ref="DZ35:EA35"/>
    <mergeCell ref="EB35:EC35"/>
    <mergeCell ref="ED35:EE35"/>
    <mergeCell ref="B41:B54"/>
    <mergeCell ref="D42:D45"/>
    <mergeCell ref="J42:L42"/>
    <mergeCell ref="M42:O42"/>
    <mergeCell ref="T42:V42"/>
    <mergeCell ref="W42:Y42"/>
    <mergeCell ref="AD42:AF42"/>
    <mergeCell ref="DP35:DQ35"/>
    <mergeCell ref="DR35:DS35"/>
    <mergeCell ref="DT35:DU35"/>
    <mergeCell ref="AX35:AY35"/>
    <mergeCell ref="AZ35:BA35"/>
    <mergeCell ref="BB35:BC35"/>
    <mergeCell ref="BH35:BI35"/>
    <mergeCell ref="BJ35:BK35"/>
    <mergeCell ref="BL35:BM35"/>
    <mergeCell ref="AD35:AE35"/>
    <mergeCell ref="AF35:AG35"/>
    <mergeCell ref="AH35:AI35"/>
    <mergeCell ref="AN35:AO35"/>
    <mergeCell ref="AP35:AQ35"/>
    <mergeCell ref="DP42:DU42"/>
    <mergeCell ref="DZ42:EE42"/>
    <mergeCell ref="E43:E44"/>
    <mergeCell ref="F43:F44"/>
    <mergeCell ref="J43:O43"/>
    <mergeCell ref="T43:Y43"/>
    <mergeCell ref="AD43:AI43"/>
    <mergeCell ref="AN43:AS43"/>
    <mergeCell ref="AX43:BC43"/>
    <mergeCell ref="AG42:AI42"/>
    <mergeCell ref="AN42:AP42"/>
    <mergeCell ref="AQ42:AS42"/>
    <mergeCell ref="AX42:AZ42"/>
    <mergeCell ref="BA42:BC42"/>
    <mergeCell ref="BH42:BJ42"/>
    <mergeCell ref="AD44:AE44"/>
    <mergeCell ref="AF44:AG44"/>
    <mergeCell ref="AH44:AI44"/>
    <mergeCell ref="AN44:AO44"/>
    <mergeCell ref="BH43:BM43"/>
    <mergeCell ref="DP43:DU43"/>
    <mergeCell ref="DZ43:EE43"/>
    <mergeCell ref="J44:K44"/>
    <mergeCell ref="N44:O44"/>
    <mergeCell ref="T44:U44"/>
    <mergeCell ref="EB44:EC44"/>
    <mergeCell ref="ED44:EE44"/>
    <mergeCell ref="J45:K45"/>
    <mergeCell ref="L45:M45"/>
    <mergeCell ref="N45:O45"/>
    <mergeCell ref="T45:U45"/>
    <mergeCell ref="V45:W45"/>
    <mergeCell ref="X45:Y45"/>
    <mergeCell ref="AD45:AE45"/>
    <mergeCell ref="AF45:AG45"/>
    <mergeCell ref="BJ44:BK44"/>
    <mergeCell ref="BL44:BM44"/>
    <mergeCell ref="DP44:DQ44"/>
    <mergeCell ref="DR44:DS44"/>
    <mergeCell ref="DT44:DU44"/>
    <mergeCell ref="DZ44:EA44"/>
    <mergeCell ref="AP44:AQ44"/>
    <mergeCell ref="AR44:AS44"/>
    <mergeCell ref="AX44:AY44"/>
    <mergeCell ref="AZ44:BA44"/>
    <mergeCell ref="BB44:BC44"/>
    <mergeCell ref="V44:W44"/>
    <mergeCell ref="X44:Y44"/>
    <mergeCell ref="ED45:EE45"/>
    <mergeCell ref="D50:D53"/>
    <mergeCell ref="J50:L50"/>
    <mergeCell ref="M50:O50"/>
    <mergeCell ref="T50:V50"/>
    <mergeCell ref="W50:Y50"/>
    <mergeCell ref="AD50:AF50"/>
    <mergeCell ref="BB45:BC45"/>
    <mergeCell ref="BH45:BI45"/>
    <mergeCell ref="BJ45:BK45"/>
    <mergeCell ref="BL45:BM45"/>
    <mergeCell ref="DP45:DQ45"/>
    <mergeCell ref="DR45:DS45"/>
    <mergeCell ref="AH45:AI45"/>
    <mergeCell ref="AN45:AO45"/>
    <mergeCell ref="AP45:AQ45"/>
    <mergeCell ref="G44:G45"/>
    <mergeCell ref="H44:I44"/>
    <mergeCell ref="DZ53:EA53"/>
    <mergeCell ref="EB53:EC53"/>
    <mergeCell ref="DT45:DU45"/>
    <mergeCell ref="L44:M44"/>
    <mergeCell ref="DZ45:EA45"/>
    <mergeCell ref="EB45:EC45"/>
    <mergeCell ref="DP50:DU50"/>
    <mergeCell ref="DZ50:EE50"/>
    <mergeCell ref="DP52:DQ52"/>
    <mergeCell ref="DR52:DS52"/>
    <mergeCell ref="DT52:DU52"/>
    <mergeCell ref="DZ52:EA52"/>
    <mergeCell ref="EB52:EC52"/>
    <mergeCell ref="ED52:EE52"/>
    <mergeCell ref="BJ52:BK52"/>
    <mergeCell ref="BL52:BM52"/>
    <mergeCell ref="BR50:BT50"/>
    <mergeCell ref="BU50:BW50"/>
    <mergeCell ref="BR51:BW51"/>
    <mergeCell ref="BR52:BS52"/>
    <mergeCell ref="BT52:BU52"/>
    <mergeCell ref="BV52:BW52"/>
    <mergeCell ref="AR45:AS45"/>
    <mergeCell ref="AX45:AY45"/>
    <mergeCell ref="AZ45:BA45"/>
    <mergeCell ref="AG50:AI50"/>
    <mergeCell ref="AN50:AP50"/>
    <mergeCell ref="AQ50:AS50"/>
    <mergeCell ref="AX50:AZ50"/>
    <mergeCell ref="BA50:BC50"/>
    <mergeCell ref="BH50:BJ50"/>
    <mergeCell ref="E51:E52"/>
    <mergeCell ref="F51:F52"/>
    <mergeCell ref="J51:O51"/>
    <mergeCell ref="T51:Y51"/>
    <mergeCell ref="AD51:AI51"/>
    <mergeCell ref="AN51:AS51"/>
    <mergeCell ref="N52:O52"/>
    <mergeCell ref="T52:U52"/>
    <mergeCell ref="V52:W52"/>
    <mergeCell ref="X52:Y52"/>
    <mergeCell ref="AR52:AS52"/>
    <mergeCell ref="AX51:BC51"/>
    <mergeCell ref="BH51:BM51"/>
    <mergeCell ref="DP51:DU51"/>
    <mergeCell ref="DZ51:EE51"/>
    <mergeCell ref="G52:G53"/>
    <mergeCell ref="H52:I52"/>
    <mergeCell ref="J52:K52"/>
    <mergeCell ref="L52:M52"/>
    <mergeCell ref="J53:K53"/>
    <mergeCell ref="L53:M53"/>
    <mergeCell ref="N53:O53"/>
    <mergeCell ref="T53:U53"/>
    <mergeCell ref="V53:W53"/>
    <mergeCell ref="AX52:AY52"/>
    <mergeCell ref="AZ52:BA52"/>
    <mergeCell ref="BB52:BC52"/>
    <mergeCell ref="BH52:BI52"/>
    <mergeCell ref="AD52:AE52"/>
    <mergeCell ref="AF52:AG52"/>
    <mergeCell ref="AH52:AI52"/>
    <mergeCell ref="AN52:AO52"/>
    <mergeCell ref="AP52:AQ52"/>
    <mergeCell ref="DT53:DU53"/>
    <mergeCell ref="ED53:EE53"/>
    <mergeCell ref="DP53:DQ53"/>
    <mergeCell ref="DR53:DS53"/>
    <mergeCell ref="AR53:AS53"/>
    <mergeCell ref="AX53:AY53"/>
    <mergeCell ref="AZ53:BA53"/>
    <mergeCell ref="BB53:BC53"/>
    <mergeCell ref="BH53:BI53"/>
    <mergeCell ref="BJ53:BK53"/>
    <mergeCell ref="BL53:BM53"/>
    <mergeCell ref="BR53:BS53"/>
    <mergeCell ref="BT53:BU53"/>
    <mergeCell ref="BV53:BW53"/>
    <mergeCell ref="G62:G63"/>
    <mergeCell ref="B59:B72"/>
    <mergeCell ref="D60:D63"/>
    <mergeCell ref="J60:L60"/>
    <mergeCell ref="M60:O60"/>
    <mergeCell ref="T60:V60"/>
    <mergeCell ref="W60:Y60"/>
    <mergeCell ref="D68:D71"/>
    <mergeCell ref="E69:E70"/>
    <mergeCell ref="F69:F70"/>
    <mergeCell ref="J63:K63"/>
    <mergeCell ref="L63:M63"/>
    <mergeCell ref="N63:O63"/>
    <mergeCell ref="T63:U63"/>
    <mergeCell ref="V63:W63"/>
    <mergeCell ref="X63:Y63"/>
    <mergeCell ref="N62:O62"/>
    <mergeCell ref="J69:O69"/>
    <mergeCell ref="T62:U62"/>
    <mergeCell ref="V62:W62"/>
    <mergeCell ref="J68:L68"/>
    <mergeCell ref="M68:O68"/>
    <mergeCell ref="T68:V68"/>
    <mergeCell ref="W68:Y68"/>
    <mergeCell ref="BB63:BC63"/>
    <mergeCell ref="AF63:AG63"/>
    <mergeCell ref="AH63:AI63"/>
    <mergeCell ref="AN63:AO63"/>
    <mergeCell ref="AP63:AQ63"/>
    <mergeCell ref="AR63:AS63"/>
    <mergeCell ref="AX63:AY63"/>
    <mergeCell ref="X53:Y53"/>
    <mergeCell ref="AD53:AE53"/>
    <mergeCell ref="AF53:AG53"/>
    <mergeCell ref="AH53:AI53"/>
    <mergeCell ref="AN53:AO53"/>
    <mergeCell ref="AP53:AQ53"/>
    <mergeCell ref="AD63:AE63"/>
    <mergeCell ref="AZ63:BA63"/>
    <mergeCell ref="DP60:DU60"/>
    <mergeCell ref="DZ60:EE60"/>
    <mergeCell ref="E61:E62"/>
    <mergeCell ref="F61:F62"/>
    <mergeCell ref="J61:O61"/>
    <mergeCell ref="T61:Y61"/>
    <mergeCell ref="AD61:AI61"/>
    <mergeCell ref="AN61:AS61"/>
    <mergeCell ref="AD60:AF60"/>
    <mergeCell ref="AG60:AI60"/>
    <mergeCell ref="AN60:AP60"/>
    <mergeCell ref="AQ60:AS60"/>
    <mergeCell ref="AX60:AZ60"/>
    <mergeCell ref="BA60:BC60"/>
    <mergeCell ref="X62:Y62"/>
    <mergeCell ref="AD62:AE62"/>
    <mergeCell ref="AF62:AG62"/>
    <mergeCell ref="AH62:AI62"/>
    <mergeCell ref="AX61:BC61"/>
    <mergeCell ref="DP61:DU61"/>
    <mergeCell ref="DZ61:EE61"/>
    <mergeCell ref="H62:I62"/>
    <mergeCell ref="J62:K62"/>
    <mergeCell ref="L62:M62"/>
    <mergeCell ref="DP62:DQ62"/>
    <mergeCell ref="DR62:DS62"/>
    <mergeCell ref="DT62:DU62"/>
    <mergeCell ref="AN62:AO62"/>
    <mergeCell ref="AP62:AQ62"/>
    <mergeCell ref="AR62:AS62"/>
    <mergeCell ref="AX62:AY62"/>
    <mergeCell ref="AZ62:BA62"/>
    <mergeCell ref="BB62:BC62"/>
    <mergeCell ref="G70:G71"/>
    <mergeCell ref="H70:I70"/>
    <mergeCell ref="J70:K70"/>
    <mergeCell ref="L70:M70"/>
    <mergeCell ref="DP68:DU68"/>
    <mergeCell ref="AX68:AZ68"/>
    <mergeCell ref="BA68:BC68"/>
    <mergeCell ref="J71:K71"/>
    <mergeCell ref="L71:M71"/>
    <mergeCell ref="N71:O71"/>
    <mergeCell ref="T71:U71"/>
    <mergeCell ref="V71:W71"/>
    <mergeCell ref="X71:Y71"/>
    <mergeCell ref="BB70:BC70"/>
    <mergeCell ref="T69:Y69"/>
    <mergeCell ref="AD69:AI69"/>
    <mergeCell ref="AD68:AF68"/>
    <mergeCell ref="AG68:AI68"/>
    <mergeCell ref="AN68:AP68"/>
    <mergeCell ref="AQ68:AS68"/>
    <mergeCell ref="AN69:AS69"/>
    <mergeCell ref="AX69:BC69"/>
    <mergeCell ref="N70:O70"/>
    <mergeCell ref="T70:U70"/>
    <mergeCell ref="V70:W70"/>
    <mergeCell ref="X70:Y70"/>
    <mergeCell ref="AD70:AE70"/>
    <mergeCell ref="AD71:AE71"/>
    <mergeCell ref="AF71:AG71"/>
    <mergeCell ref="AH71:AI71"/>
    <mergeCell ref="AN71:AO71"/>
    <mergeCell ref="AH70:AI70"/>
    <mergeCell ref="AN70:AO70"/>
    <mergeCell ref="AF70:AG70"/>
    <mergeCell ref="AP70:AQ70"/>
    <mergeCell ref="AR70:AS70"/>
    <mergeCell ref="AX70:AY70"/>
    <mergeCell ref="AZ70:BA70"/>
    <mergeCell ref="AX71:AY71"/>
    <mergeCell ref="AZ71:BA71"/>
    <mergeCell ref="BB71:BC71"/>
    <mergeCell ref="AP71:AQ71"/>
    <mergeCell ref="AR71:AS71"/>
    <mergeCell ref="B77:B90"/>
    <mergeCell ref="BI77:BI90"/>
    <mergeCell ref="D78:D81"/>
    <mergeCell ref="J78:L78"/>
    <mergeCell ref="M78:O78"/>
    <mergeCell ref="T78:V78"/>
    <mergeCell ref="W78:Y78"/>
    <mergeCell ref="AD78:AF78"/>
    <mergeCell ref="AG78:AI78"/>
    <mergeCell ref="AN78:AP78"/>
    <mergeCell ref="E79:E80"/>
    <mergeCell ref="F79:F80"/>
    <mergeCell ref="J79:O79"/>
    <mergeCell ref="T79:Y79"/>
    <mergeCell ref="AD79:AI79"/>
    <mergeCell ref="AN79:AS79"/>
    <mergeCell ref="L80:M80"/>
    <mergeCell ref="N80:O80"/>
    <mergeCell ref="T80:U80"/>
    <mergeCell ref="V80:W80"/>
    <mergeCell ref="X80:Y80"/>
    <mergeCell ref="AX79:BC79"/>
    <mergeCell ref="AD80:AE80"/>
    <mergeCell ref="AF80:AG80"/>
    <mergeCell ref="AZ80:BA80"/>
    <mergeCell ref="BB80:BC80"/>
    <mergeCell ref="BR80:BS80"/>
    <mergeCell ref="DT80:DU80"/>
    <mergeCell ref="N81:O81"/>
    <mergeCell ref="T81:U81"/>
    <mergeCell ref="V81:W81"/>
    <mergeCell ref="X81:Y81"/>
    <mergeCell ref="AD81:AE81"/>
    <mergeCell ref="DR81:DS81"/>
    <mergeCell ref="BV80:BW80"/>
    <mergeCell ref="DP80:DQ80"/>
    <mergeCell ref="DR80:DS80"/>
    <mergeCell ref="BR81:BS81"/>
    <mergeCell ref="BT81:BU81"/>
    <mergeCell ref="BT80:BU80"/>
    <mergeCell ref="BB81:BC81"/>
    <mergeCell ref="DP81:DQ81"/>
    <mergeCell ref="D86:D89"/>
    <mergeCell ref="J86:L86"/>
    <mergeCell ref="M86:O86"/>
    <mergeCell ref="T86:V86"/>
    <mergeCell ref="W86:Y86"/>
    <mergeCell ref="AD86:AF86"/>
    <mergeCell ref="G88:G89"/>
    <mergeCell ref="H88:I88"/>
    <mergeCell ref="J88:K88"/>
    <mergeCell ref="AD89:AE89"/>
    <mergeCell ref="J89:K89"/>
    <mergeCell ref="L89:M89"/>
    <mergeCell ref="N89:O89"/>
    <mergeCell ref="T89:U89"/>
    <mergeCell ref="V89:W89"/>
    <mergeCell ref="X89:Y89"/>
    <mergeCell ref="AF88:AG88"/>
    <mergeCell ref="E87:E88"/>
    <mergeCell ref="F87:F88"/>
    <mergeCell ref="J87:O87"/>
    <mergeCell ref="T87:Y87"/>
    <mergeCell ref="AD87:AI87"/>
    <mergeCell ref="AF89:AG89"/>
    <mergeCell ref="L88:M88"/>
    <mergeCell ref="N88:O88"/>
    <mergeCell ref="T88:U88"/>
    <mergeCell ref="V88:W88"/>
    <mergeCell ref="X88:Y88"/>
    <mergeCell ref="AD88:AE88"/>
    <mergeCell ref="AH88:AI88"/>
    <mergeCell ref="AR88:AS88"/>
    <mergeCell ref="G80:G81"/>
    <mergeCell ref="H80:I80"/>
    <mergeCell ref="AH80:AI80"/>
    <mergeCell ref="AN80:AO80"/>
    <mergeCell ref="AP80:AQ80"/>
    <mergeCell ref="AR80:AS80"/>
    <mergeCell ref="J81:K81"/>
    <mergeCell ref="L81:M81"/>
    <mergeCell ref="AH81:AI81"/>
    <mergeCell ref="AF81:AG81"/>
    <mergeCell ref="J80:K80"/>
    <mergeCell ref="AH89:AI89"/>
    <mergeCell ref="AN89:AO89"/>
    <mergeCell ref="AP89:AQ89"/>
    <mergeCell ref="AR89:AS89"/>
    <mergeCell ref="BU84:BU89"/>
    <mergeCell ref="BL85:BL89"/>
    <mergeCell ref="BN86:BQ89"/>
    <mergeCell ref="BS86:BS89"/>
    <mergeCell ref="AX86:AZ86"/>
    <mergeCell ref="BA86:BC86"/>
    <mergeCell ref="AX88:AY88"/>
    <mergeCell ref="AZ88:BA88"/>
    <mergeCell ref="AX89:AY89"/>
    <mergeCell ref="AX87:BC87"/>
    <mergeCell ref="AG86:AI86"/>
    <mergeCell ref="AN86:AP86"/>
    <mergeCell ref="AQ86:AS86"/>
    <mergeCell ref="AN87:AS87"/>
    <mergeCell ref="BJ84:BJ85"/>
    <mergeCell ref="BS84:BS85"/>
    <mergeCell ref="BB88:BC88"/>
    <mergeCell ref="DZ62:EA62"/>
    <mergeCell ref="EB62:EC62"/>
    <mergeCell ref="ED62:EE62"/>
    <mergeCell ref="AN88:AO88"/>
    <mergeCell ref="AP88:AQ88"/>
    <mergeCell ref="AZ89:BA89"/>
    <mergeCell ref="BB89:BC89"/>
    <mergeCell ref="DP89:DQ89"/>
    <mergeCell ref="DR89:DS89"/>
    <mergeCell ref="DT89:DU89"/>
    <mergeCell ref="AN81:AO81"/>
    <mergeCell ref="AP81:AQ81"/>
    <mergeCell ref="AR81:AS81"/>
    <mergeCell ref="AX81:AY81"/>
    <mergeCell ref="AZ81:BA81"/>
    <mergeCell ref="BR79:BW79"/>
    <mergeCell ref="DP79:DU79"/>
    <mergeCell ref="AQ78:AS78"/>
    <mergeCell ref="AX78:AZ78"/>
    <mergeCell ref="BA78:BC78"/>
    <mergeCell ref="BJ78:BJ81"/>
    <mergeCell ref="BR78:BW78"/>
    <mergeCell ref="DP78:DU78"/>
    <mergeCell ref="AX80:AY80"/>
    <mergeCell ref="DZ69:EE69"/>
    <mergeCell ref="DZ68:EE68"/>
    <mergeCell ref="ED70:EE70"/>
    <mergeCell ref="ED63:EE63"/>
    <mergeCell ref="DP71:DQ71"/>
    <mergeCell ref="DR71:DS71"/>
    <mergeCell ref="DT71:DU71"/>
    <mergeCell ref="DZ71:EA71"/>
    <mergeCell ref="EB71:EC71"/>
    <mergeCell ref="DP70:DQ70"/>
    <mergeCell ref="DR70:DS70"/>
    <mergeCell ref="DR63:DS63"/>
    <mergeCell ref="DT63:DU63"/>
    <mergeCell ref="DZ63:EA63"/>
    <mergeCell ref="EB63:EC63"/>
    <mergeCell ref="ED71:EE71"/>
    <mergeCell ref="DP63:DQ63"/>
    <mergeCell ref="DT70:DU70"/>
    <mergeCell ref="DZ70:EA70"/>
    <mergeCell ref="EB70:EC70"/>
    <mergeCell ref="EB89:EC89"/>
    <mergeCell ref="ED89:EE89"/>
    <mergeCell ref="EB88:EC88"/>
    <mergeCell ref="ED88:EE88"/>
    <mergeCell ref="BJ86:BJ89"/>
    <mergeCell ref="DZ78:EE78"/>
    <mergeCell ref="DZ88:EA88"/>
    <mergeCell ref="DZ86:EE86"/>
    <mergeCell ref="DT81:DU81"/>
    <mergeCell ref="DZ81:EA81"/>
    <mergeCell ref="EB81:EC81"/>
    <mergeCell ref="ED81:EE81"/>
    <mergeCell ref="EB80:EC80"/>
    <mergeCell ref="ED80:EE80"/>
    <mergeCell ref="DZ79:EE79"/>
    <mergeCell ref="DP87:DU87"/>
    <mergeCell ref="DZ87:EE87"/>
    <mergeCell ref="DZ80:EA80"/>
    <mergeCell ref="BW84:BW85"/>
    <mergeCell ref="DT88:DU88"/>
    <mergeCell ref="DZ89:EA89"/>
    <mergeCell ref="BV81:BW81"/>
    <mergeCell ref="BW86:BW89"/>
    <mergeCell ref="DP86:DU86"/>
    <mergeCell ref="DP88:DQ88"/>
    <mergeCell ref="DR88:DS88"/>
    <mergeCell ref="BH68:BJ68"/>
    <mergeCell ref="BK68:BM68"/>
    <mergeCell ref="BH69:BM69"/>
    <mergeCell ref="BH70:BI70"/>
    <mergeCell ref="BJ70:BK70"/>
    <mergeCell ref="BL70:BM70"/>
    <mergeCell ref="BH71:BI71"/>
    <mergeCell ref="BJ71:BK71"/>
    <mergeCell ref="BL71:BM71"/>
    <mergeCell ref="DP69:DU69"/>
    <mergeCell ref="BH63:BI63"/>
    <mergeCell ref="BJ63:BK63"/>
    <mergeCell ref="BL63:BM63"/>
    <mergeCell ref="BR9:BS9"/>
    <mergeCell ref="BT9:BU9"/>
    <mergeCell ref="BV9:BW9"/>
    <mergeCell ref="BH60:BJ60"/>
    <mergeCell ref="BK60:BM60"/>
    <mergeCell ref="BH61:BM61"/>
    <mergeCell ref="BH62:BI62"/>
    <mergeCell ref="BJ62:BK62"/>
    <mergeCell ref="BL62:BM62"/>
    <mergeCell ref="BH44:BI44"/>
    <mergeCell ref="BK42:BM42"/>
    <mergeCell ref="BK50:BM50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E100"/>
  <sheetViews>
    <sheetView zoomScaleNormal="100" workbookViewId="0">
      <selection activeCell="B2" sqref="B2:CA2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172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5" spans="2:135" ht="10.050000000000001" customHeight="1" thickBot="1" x14ac:dyDescent="0.35">
      <c r="B5" s="118" t="s">
        <v>0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121</v>
      </c>
      <c r="K6" s="25"/>
      <c r="L6" s="26"/>
      <c r="M6" s="38" t="s">
        <v>109</v>
      </c>
      <c r="N6" s="39"/>
      <c r="O6" s="40"/>
      <c r="P6" s="4"/>
      <c r="Q6" s="4"/>
      <c r="R6" s="4"/>
      <c r="S6" s="4"/>
      <c r="T6" s="24" t="s">
        <v>119</v>
      </c>
      <c r="U6" s="25"/>
      <c r="V6" s="26"/>
      <c r="W6" s="38" t="s">
        <v>109</v>
      </c>
      <c r="X6" s="39"/>
      <c r="Y6" s="40"/>
      <c r="Z6" s="4"/>
      <c r="AA6" s="4"/>
      <c r="AB6" s="4"/>
      <c r="AC6" s="4"/>
      <c r="AD6" s="24" t="s">
        <v>114</v>
      </c>
      <c r="AE6" s="25"/>
      <c r="AF6" s="26"/>
      <c r="AG6" s="38">
        <v>111</v>
      </c>
      <c r="AH6" s="39"/>
      <c r="AI6" s="40"/>
      <c r="AJ6" s="4"/>
      <c r="AK6" s="4"/>
      <c r="AL6" s="4"/>
      <c r="AM6" s="4"/>
      <c r="AN6" s="24" t="s">
        <v>90</v>
      </c>
      <c r="AO6" s="25"/>
      <c r="AP6" s="26"/>
      <c r="AQ6" s="27" t="s">
        <v>116</v>
      </c>
      <c r="AR6" s="28"/>
      <c r="AS6" s="29"/>
      <c r="AT6" s="4"/>
      <c r="AU6" s="4"/>
      <c r="AV6" s="4"/>
      <c r="AW6" s="4"/>
      <c r="AX6" s="24" t="s">
        <v>114</v>
      </c>
      <c r="AY6" s="25"/>
      <c r="AZ6" s="26"/>
      <c r="BA6" s="27" t="s">
        <v>115</v>
      </c>
      <c r="BB6" s="28"/>
      <c r="BC6" s="29"/>
      <c r="BD6" s="4"/>
      <c r="BE6" s="4"/>
      <c r="BF6" s="4"/>
      <c r="BG6" s="4"/>
      <c r="BH6" s="24" t="s">
        <v>19</v>
      </c>
      <c r="BI6" s="25"/>
      <c r="BJ6" s="26"/>
      <c r="BK6" s="27" t="s">
        <v>33</v>
      </c>
      <c r="BL6" s="28"/>
      <c r="BM6" s="29"/>
      <c r="BN6" s="4"/>
      <c r="BO6" s="4"/>
      <c r="BP6" s="4"/>
      <c r="BQ6" s="4"/>
      <c r="BR6" s="24" t="s">
        <v>162</v>
      </c>
      <c r="BS6" s="25"/>
      <c r="BT6" s="26"/>
      <c r="BU6" s="27" t="s">
        <v>169</v>
      </c>
      <c r="BV6" s="28"/>
      <c r="BW6" s="29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SUM(N8,X8,AH8,AR8,BB8,BL8,BV8)</f>
        <v>945</v>
      </c>
      <c r="H7" s="2"/>
      <c r="I7" s="2"/>
      <c r="J7" s="114" t="s">
        <v>21</v>
      </c>
      <c r="K7" s="115"/>
      <c r="L7" s="115"/>
      <c r="M7" s="115"/>
      <c r="N7" s="116"/>
      <c r="O7" s="117"/>
      <c r="P7" s="4"/>
      <c r="Q7" s="4"/>
      <c r="R7" s="4"/>
      <c r="S7" s="4"/>
      <c r="T7" s="114" t="s">
        <v>120</v>
      </c>
      <c r="U7" s="115"/>
      <c r="V7" s="115"/>
      <c r="W7" s="115"/>
      <c r="X7" s="116"/>
      <c r="Y7" s="117"/>
      <c r="Z7" s="4"/>
      <c r="AA7" s="4"/>
      <c r="AB7" s="4"/>
      <c r="AC7" s="4"/>
      <c r="AD7" s="30" t="s">
        <v>161</v>
      </c>
      <c r="AE7" s="31"/>
      <c r="AF7" s="31"/>
      <c r="AG7" s="31"/>
      <c r="AH7" s="32"/>
      <c r="AI7" s="33"/>
      <c r="AJ7" s="4"/>
      <c r="AK7" s="4"/>
      <c r="AL7" s="4"/>
      <c r="AM7" s="4"/>
      <c r="AN7" s="30" t="s">
        <v>118</v>
      </c>
      <c r="AO7" s="31"/>
      <c r="AP7" s="31"/>
      <c r="AQ7" s="31"/>
      <c r="AR7" s="32"/>
      <c r="AS7" s="33"/>
      <c r="AT7" s="4"/>
      <c r="AU7" s="4"/>
      <c r="AV7" s="4"/>
      <c r="AW7" s="4"/>
      <c r="AX7" s="30" t="s">
        <v>23</v>
      </c>
      <c r="AY7" s="31"/>
      <c r="AZ7" s="31"/>
      <c r="BA7" s="31"/>
      <c r="BB7" s="32"/>
      <c r="BC7" s="33"/>
      <c r="BD7" s="4"/>
      <c r="BE7" s="4"/>
      <c r="BF7" s="4"/>
      <c r="BG7" s="4"/>
      <c r="BH7" s="53" t="s">
        <v>32</v>
      </c>
      <c r="BI7" s="54"/>
      <c r="BJ7" s="54"/>
      <c r="BK7" s="54"/>
      <c r="BL7" s="55"/>
      <c r="BM7" s="56"/>
      <c r="BN7" s="4"/>
      <c r="BO7" s="4"/>
      <c r="BP7" s="4"/>
      <c r="BQ7" s="4"/>
      <c r="BR7" s="30" t="s">
        <v>163</v>
      </c>
      <c r="BS7" s="31"/>
      <c r="BT7" s="31"/>
      <c r="BU7" s="31"/>
      <c r="BV7" s="32"/>
      <c r="BW7" s="33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110">
        <v>2</v>
      </c>
      <c r="K8" s="111"/>
      <c r="L8" s="108">
        <v>2</v>
      </c>
      <c r="M8" s="111"/>
      <c r="N8" s="108">
        <v>90</v>
      </c>
      <c r="O8" s="109"/>
      <c r="P8" s="4"/>
      <c r="Q8" s="4"/>
      <c r="R8" s="4"/>
      <c r="S8" s="4"/>
      <c r="T8" s="110">
        <v>2</v>
      </c>
      <c r="U8" s="111"/>
      <c r="V8" s="108">
        <v>2</v>
      </c>
      <c r="W8" s="111"/>
      <c r="X8" s="108">
        <v>90</v>
      </c>
      <c r="Y8" s="109"/>
      <c r="Z8" s="4"/>
      <c r="AA8" s="4"/>
      <c r="AB8" s="4"/>
      <c r="AC8" s="4"/>
      <c r="AD8" s="34">
        <v>3</v>
      </c>
      <c r="AE8" s="35"/>
      <c r="AF8" s="36">
        <v>4</v>
      </c>
      <c r="AG8" s="35"/>
      <c r="AH8" s="36">
        <v>150</v>
      </c>
      <c r="AI8" s="37"/>
      <c r="AJ8" s="4"/>
      <c r="AK8" s="4"/>
      <c r="AL8" s="4"/>
      <c r="AM8" s="4"/>
      <c r="AN8" s="34">
        <v>3</v>
      </c>
      <c r="AO8" s="35"/>
      <c r="AP8" s="36">
        <v>4</v>
      </c>
      <c r="AQ8" s="35"/>
      <c r="AR8" s="36">
        <v>150</v>
      </c>
      <c r="AS8" s="37"/>
      <c r="AT8" s="4"/>
      <c r="AU8" s="4"/>
      <c r="AV8" s="4"/>
      <c r="AW8" s="4"/>
      <c r="AX8" s="34">
        <v>3</v>
      </c>
      <c r="AY8" s="35"/>
      <c r="AZ8" s="36">
        <v>4</v>
      </c>
      <c r="BA8" s="35"/>
      <c r="BB8" s="36">
        <v>150</v>
      </c>
      <c r="BC8" s="37"/>
      <c r="BD8" s="4"/>
      <c r="BE8" s="4"/>
      <c r="BF8" s="4"/>
      <c r="BG8" s="4"/>
      <c r="BH8" s="57">
        <v>3</v>
      </c>
      <c r="BI8" s="58"/>
      <c r="BJ8" s="59">
        <v>6</v>
      </c>
      <c r="BK8" s="58"/>
      <c r="BL8" s="59">
        <v>180</v>
      </c>
      <c r="BM8" s="91"/>
      <c r="BN8" s="4"/>
      <c r="BO8" s="4"/>
      <c r="BP8" s="4"/>
      <c r="BQ8" s="4"/>
      <c r="BR8" s="34">
        <v>2</v>
      </c>
      <c r="BS8" s="35"/>
      <c r="BT8" s="36">
        <v>5</v>
      </c>
      <c r="BU8" s="35"/>
      <c r="BV8" s="36">
        <v>135</v>
      </c>
      <c r="BW8" s="37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SUM(J8,T8,AD8,AN8,AX8,BH8,BR8)</f>
        <v>18</v>
      </c>
      <c r="F9" s="11">
        <f>SUM(J9:BW9)</f>
        <v>27</v>
      </c>
      <c r="G9" s="105"/>
      <c r="H9" s="2"/>
      <c r="I9" s="2"/>
      <c r="J9" s="112">
        <v>2</v>
      </c>
      <c r="K9" s="113"/>
      <c r="L9" s="106">
        <v>0</v>
      </c>
      <c r="M9" s="113"/>
      <c r="N9" s="106">
        <v>0</v>
      </c>
      <c r="O9" s="107"/>
      <c r="P9" s="4"/>
      <c r="Q9" s="4"/>
      <c r="R9" s="4"/>
      <c r="S9" s="4"/>
      <c r="T9" s="112">
        <v>2</v>
      </c>
      <c r="U9" s="113"/>
      <c r="V9" s="106">
        <v>0</v>
      </c>
      <c r="W9" s="113"/>
      <c r="X9" s="106">
        <v>0</v>
      </c>
      <c r="Y9" s="107"/>
      <c r="Z9" s="4"/>
      <c r="AA9" s="4"/>
      <c r="AB9" s="4"/>
      <c r="AC9" s="4"/>
      <c r="AD9" s="20">
        <v>3</v>
      </c>
      <c r="AE9" s="21"/>
      <c r="AF9" s="22">
        <v>1</v>
      </c>
      <c r="AG9" s="21"/>
      <c r="AH9" s="22">
        <v>0</v>
      </c>
      <c r="AI9" s="23"/>
      <c r="AJ9" s="4"/>
      <c r="AK9" s="4"/>
      <c r="AL9" s="4"/>
      <c r="AM9" s="4"/>
      <c r="AN9" s="20">
        <v>2</v>
      </c>
      <c r="AO9" s="21"/>
      <c r="AP9" s="22">
        <v>2</v>
      </c>
      <c r="AQ9" s="21"/>
      <c r="AR9" s="22">
        <v>0</v>
      </c>
      <c r="AS9" s="23"/>
      <c r="AT9" s="4"/>
      <c r="AU9" s="4"/>
      <c r="AV9" s="4"/>
      <c r="AW9" s="4"/>
      <c r="AX9" s="20">
        <v>2</v>
      </c>
      <c r="AY9" s="21"/>
      <c r="AZ9" s="22">
        <v>2</v>
      </c>
      <c r="BA9" s="21"/>
      <c r="BB9" s="22">
        <v>0</v>
      </c>
      <c r="BC9" s="23"/>
      <c r="BD9" s="4"/>
      <c r="BE9" s="4"/>
      <c r="BF9" s="4"/>
      <c r="BG9" s="4"/>
      <c r="BH9" s="92">
        <v>3</v>
      </c>
      <c r="BI9" s="93"/>
      <c r="BJ9" s="70">
        <v>3</v>
      </c>
      <c r="BK9" s="93"/>
      <c r="BL9" s="70">
        <v>0</v>
      </c>
      <c r="BM9" s="71"/>
      <c r="BN9" s="4"/>
      <c r="BO9" s="4"/>
      <c r="BP9" s="4"/>
      <c r="BQ9" s="4"/>
      <c r="BR9" s="20">
        <v>1</v>
      </c>
      <c r="BS9" s="21"/>
      <c r="BT9" s="22">
        <v>2</v>
      </c>
      <c r="BU9" s="21"/>
      <c r="BV9" s="22">
        <v>2</v>
      </c>
      <c r="BW9" s="23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122</v>
      </c>
      <c r="K14" s="25"/>
      <c r="L14" s="26"/>
      <c r="M14" s="38" t="s">
        <v>109</v>
      </c>
      <c r="N14" s="39"/>
      <c r="O14" s="40"/>
      <c r="P14" s="4"/>
      <c r="Q14" s="4"/>
      <c r="R14" s="4"/>
      <c r="S14" s="4"/>
      <c r="T14" s="24" t="s">
        <v>114</v>
      </c>
      <c r="U14" s="25"/>
      <c r="V14" s="26"/>
      <c r="W14" s="38">
        <v>114</v>
      </c>
      <c r="X14" s="39"/>
      <c r="Y14" s="40"/>
      <c r="Z14" s="4"/>
      <c r="AA14" s="4"/>
      <c r="AB14" s="4"/>
      <c r="AC14" s="4"/>
      <c r="AD14" s="24" t="s">
        <v>114</v>
      </c>
      <c r="AE14" s="25"/>
      <c r="AF14" s="26"/>
      <c r="AG14" s="38">
        <v>131</v>
      </c>
      <c r="AH14" s="39"/>
      <c r="AI14" s="40"/>
      <c r="AJ14" s="4"/>
      <c r="AK14" s="4"/>
      <c r="AL14" s="4"/>
      <c r="AM14" s="4"/>
      <c r="AN14" s="24" t="s">
        <v>90</v>
      </c>
      <c r="AO14" s="25"/>
      <c r="AP14" s="26"/>
      <c r="AQ14" s="27" t="s">
        <v>164</v>
      </c>
      <c r="AR14" s="28"/>
      <c r="AS14" s="29"/>
      <c r="AT14" s="4"/>
      <c r="AU14" s="4"/>
      <c r="AV14" s="4"/>
      <c r="AW14" s="4"/>
      <c r="AX14" s="24" t="s">
        <v>19</v>
      </c>
      <c r="AY14" s="25"/>
      <c r="AZ14" s="26"/>
      <c r="BA14" s="38">
        <v>113</v>
      </c>
      <c r="BB14" s="39"/>
      <c r="BC14" s="40"/>
      <c r="BD14" s="4"/>
      <c r="BE14" s="4"/>
      <c r="BF14" s="4"/>
      <c r="BG14" s="4"/>
      <c r="BH14" s="24" t="s">
        <v>19</v>
      </c>
      <c r="BI14" s="25"/>
      <c r="BJ14" s="26"/>
      <c r="BK14" s="27" t="s">
        <v>35</v>
      </c>
      <c r="BL14" s="28"/>
      <c r="BM14" s="29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900</v>
      </c>
      <c r="H15" s="2"/>
      <c r="I15" s="2"/>
      <c r="J15" s="114" t="s">
        <v>123</v>
      </c>
      <c r="K15" s="115"/>
      <c r="L15" s="115"/>
      <c r="M15" s="115"/>
      <c r="N15" s="116"/>
      <c r="O15" s="117"/>
      <c r="P15" s="4"/>
      <c r="Q15" s="4"/>
      <c r="R15" s="4"/>
      <c r="S15" s="4"/>
      <c r="T15" s="30" t="s">
        <v>117</v>
      </c>
      <c r="U15" s="31"/>
      <c r="V15" s="31"/>
      <c r="W15" s="31"/>
      <c r="X15" s="32"/>
      <c r="Y15" s="33"/>
      <c r="Z15" s="4"/>
      <c r="AA15" s="4"/>
      <c r="AB15" s="4"/>
      <c r="AC15" s="4"/>
      <c r="AD15" s="30" t="s">
        <v>124</v>
      </c>
      <c r="AE15" s="31"/>
      <c r="AF15" s="31"/>
      <c r="AG15" s="31"/>
      <c r="AH15" s="32"/>
      <c r="AI15" s="33"/>
      <c r="AJ15" s="4"/>
      <c r="AK15" s="4"/>
      <c r="AL15" s="4"/>
      <c r="AM15" s="4"/>
      <c r="AN15" s="30" t="s">
        <v>165</v>
      </c>
      <c r="AO15" s="31"/>
      <c r="AP15" s="31"/>
      <c r="AQ15" s="31"/>
      <c r="AR15" s="32"/>
      <c r="AS15" s="33"/>
      <c r="AT15" s="4"/>
      <c r="AU15" s="4"/>
      <c r="AV15" s="4"/>
      <c r="AW15" s="4"/>
      <c r="AX15" s="30" t="s">
        <v>24</v>
      </c>
      <c r="AY15" s="31"/>
      <c r="AZ15" s="31"/>
      <c r="BA15" s="31"/>
      <c r="BB15" s="32"/>
      <c r="BC15" s="33"/>
      <c r="BD15" s="4"/>
      <c r="BE15" s="4"/>
      <c r="BF15" s="4"/>
      <c r="BG15" s="4"/>
      <c r="BH15" s="53" t="s">
        <v>34</v>
      </c>
      <c r="BI15" s="54"/>
      <c r="BJ15" s="54"/>
      <c r="BK15" s="54"/>
      <c r="BL15" s="55"/>
      <c r="BM15" s="56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110">
        <v>2</v>
      </c>
      <c r="K16" s="111"/>
      <c r="L16" s="108">
        <v>2</v>
      </c>
      <c r="M16" s="111"/>
      <c r="N16" s="108">
        <v>90</v>
      </c>
      <c r="O16" s="109"/>
      <c r="P16" s="4"/>
      <c r="Q16" s="4"/>
      <c r="R16" s="4"/>
      <c r="S16" s="4"/>
      <c r="T16" s="34">
        <v>4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2</v>
      </c>
      <c r="AE16" s="35"/>
      <c r="AF16" s="36">
        <v>3</v>
      </c>
      <c r="AG16" s="35"/>
      <c r="AH16" s="36">
        <v>105</v>
      </c>
      <c r="AI16" s="37"/>
      <c r="AJ16" s="4"/>
      <c r="AK16" s="4"/>
      <c r="AL16" s="4"/>
      <c r="AM16" s="4"/>
      <c r="AN16" s="34">
        <v>3</v>
      </c>
      <c r="AO16" s="35"/>
      <c r="AP16" s="36">
        <v>4</v>
      </c>
      <c r="AQ16" s="35"/>
      <c r="AR16" s="36">
        <v>150</v>
      </c>
      <c r="AS16" s="37"/>
      <c r="AT16" s="4"/>
      <c r="AU16" s="4"/>
      <c r="AV16" s="4"/>
      <c r="AW16" s="4"/>
      <c r="AX16" s="34">
        <v>3</v>
      </c>
      <c r="AY16" s="35"/>
      <c r="AZ16" s="36">
        <v>6</v>
      </c>
      <c r="BA16" s="35"/>
      <c r="BB16" s="36">
        <v>180</v>
      </c>
      <c r="BC16" s="37"/>
      <c r="BD16" s="4"/>
      <c r="BE16" s="4"/>
      <c r="BF16" s="4"/>
      <c r="BG16" s="4"/>
      <c r="BH16" s="57">
        <v>3</v>
      </c>
      <c r="BI16" s="58"/>
      <c r="BJ16" s="59">
        <v>6</v>
      </c>
      <c r="BK16" s="58"/>
      <c r="BL16" s="59">
        <v>180</v>
      </c>
      <c r="BM16" s="91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SUM(J16,T16,AD16,AN16,AX16,BH16,BR16)</f>
        <v>17</v>
      </c>
      <c r="F17" s="11">
        <f>SUM(J17:BW17)</f>
        <v>26</v>
      </c>
      <c r="G17" s="105"/>
      <c r="H17" s="2"/>
      <c r="I17" s="2"/>
      <c r="J17" s="112">
        <v>2</v>
      </c>
      <c r="K17" s="113"/>
      <c r="L17" s="106">
        <v>0</v>
      </c>
      <c r="M17" s="113"/>
      <c r="N17" s="106">
        <v>0</v>
      </c>
      <c r="O17" s="107"/>
      <c r="P17" s="4"/>
      <c r="Q17" s="4"/>
      <c r="R17" s="4"/>
      <c r="S17" s="4"/>
      <c r="T17" s="20">
        <v>3</v>
      </c>
      <c r="U17" s="21"/>
      <c r="V17" s="22">
        <v>2</v>
      </c>
      <c r="W17" s="21"/>
      <c r="X17" s="22">
        <v>0</v>
      </c>
      <c r="Y17" s="23"/>
      <c r="Z17" s="4"/>
      <c r="AA17" s="4"/>
      <c r="AB17" s="4"/>
      <c r="AC17" s="4"/>
      <c r="AD17" s="20">
        <v>1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20">
        <v>2</v>
      </c>
      <c r="AO17" s="21"/>
      <c r="AP17" s="22">
        <v>2</v>
      </c>
      <c r="AQ17" s="21"/>
      <c r="AR17" s="22">
        <v>0</v>
      </c>
      <c r="AS17" s="23"/>
      <c r="AT17" s="4"/>
      <c r="AU17" s="4"/>
      <c r="AV17" s="4"/>
      <c r="AW17" s="4"/>
      <c r="AX17" s="20">
        <v>1</v>
      </c>
      <c r="AY17" s="21"/>
      <c r="AZ17" s="22">
        <v>3</v>
      </c>
      <c r="BA17" s="21"/>
      <c r="BB17" s="22">
        <v>2</v>
      </c>
      <c r="BC17" s="23"/>
      <c r="BD17" s="4"/>
      <c r="BE17" s="4"/>
      <c r="BF17" s="4"/>
      <c r="BG17" s="4"/>
      <c r="BH17" s="92">
        <v>3</v>
      </c>
      <c r="BI17" s="93"/>
      <c r="BJ17" s="70">
        <v>3</v>
      </c>
      <c r="BK17" s="93"/>
      <c r="BL17" s="70">
        <v>0</v>
      </c>
      <c r="BM17" s="71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4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127</v>
      </c>
      <c r="K24" s="25"/>
      <c r="L24" s="26"/>
      <c r="M24" s="38" t="s">
        <v>110</v>
      </c>
      <c r="N24" s="39"/>
      <c r="O24" s="40"/>
      <c r="P24" s="4"/>
      <c r="Q24" s="4"/>
      <c r="R24" s="4"/>
      <c r="S24" s="4"/>
      <c r="T24" s="24" t="s">
        <v>114</v>
      </c>
      <c r="U24" s="25"/>
      <c r="V24" s="26"/>
      <c r="W24" s="38">
        <v>313</v>
      </c>
      <c r="X24" s="39"/>
      <c r="Y24" s="40"/>
      <c r="Z24" s="4"/>
      <c r="AA24" s="4"/>
      <c r="AB24" s="4"/>
      <c r="AC24" s="4"/>
      <c r="AD24" s="24" t="s">
        <v>25</v>
      </c>
      <c r="AE24" s="25"/>
      <c r="AF24" s="26"/>
      <c r="AG24" s="38">
        <v>115</v>
      </c>
      <c r="AH24" s="39"/>
      <c r="AI24" s="40"/>
      <c r="AJ24" s="4"/>
      <c r="AK24" s="4"/>
      <c r="AL24" s="4"/>
      <c r="AM24" s="4"/>
      <c r="AN24" s="24" t="s">
        <v>19</v>
      </c>
      <c r="AO24" s="25"/>
      <c r="AP24" s="26"/>
      <c r="AQ24" s="38">
        <v>111</v>
      </c>
      <c r="AR24" s="102"/>
      <c r="AS24" s="103"/>
      <c r="AT24" s="4"/>
      <c r="AU24" s="4"/>
      <c r="AV24" s="4"/>
      <c r="AW24" s="4"/>
      <c r="AX24" s="24" t="s">
        <v>19</v>
      </c>
      <c r="AY24" s="25"/>
      <c r="AZ24" s="26"/>
      <c r="BA24" s="38">
        <v>131</v>
      </c>
      <c r="BB24" s="102"/>
      <c r="BC24" s="103"/>
      <c r="BD24" s="4"/>
      <c r="BE24" s="4"/>
      <c r="BF24" s="4"/>
      <c r="BG24" s="4"/>
      <c r="BH24" s="24" t="s">
        <v>48</v>
      </c>
      <c r="BI24" s="25"/>
      <c r="BJ24" s="26"/>
      <c r="BK24" s="38">
        <v>111</v>
      </c>
      <c r="BL24" s="39"/>
      <c r="BM24" s="40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58.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SUM(N26,X26,AH26,AR26,BB26,BL26)</f>
        <v>1005</v>
      </c>
      <c r="H25" s="2"/>
      <c r="I25" s="2"/>
      <c r="J25" s="114" t="s">
        <v>128</v>
      </c>
      <c r="K25" s="115"/>
      <c r="L25" s="115"/>
      <c r="M25" s="115"/>
      <c r="N25" s="116"/>
      <c r="O25" s="117"/>
      <c r="P25" s="4"/>
      <c r="Q25" s="4"/>
      <c r="R25" s="4"/>
      <c r="S25" s="4"/>
      <c r="T25" s="30" t="s">
        <v>125</v>
      </c>
      <c r="U25" s="31"/>
      <c r="V25" s="31"/>
      <c r="W25" s="31"/>
      <c r="X25" s="32"/>
      <c r="Y25" s="33"/>
      <c r="Z25" s="4"/>
      <c r="AA25" s="4"/>
      <c r="AB25" s="4"/>
      <c r="AC25" s="4"/>
      <c r="AD25" s="30" t="s">
        <v>166</v>
      </c>
      <c r="AE25" s="31"/>
      <c r="AF25" s="31"/>
      <c r="AG25" s="31"/>
      <c r="AH25" s="32"/>
      <c r="AI25" s="33"/>
      <c r="AJ25" s="4"/>
      <c r="AK25" s="4"/>
      <c r="AL25" s="4"/>
      <c r="AM25" s="4"/>
      <c r="AN25" s="53" t="s">
        <v>36</v>
      </c>
      <c r="AO25" s="54"/>
      <c r="AP25" s="54"/>
      <c r="AQ25" s="54"/>
      <c r="AR25" s="55"/>
      <c r="AS25" s="56"/>
      <c r="AT25" s="4"/>
      <c r="AU25" s="4"/>
      <c r="AV25" s="4"/>
      <c r="AW25" s="4"/>
      <c r="AX25" s="53" t="s">
        <v>37</v>
      </c>
      <c r="AY25" s="54"/>
      <c r="AZ25" s="54"/>
      <c r="BA25" s="54"/>
      <c r="BB25" s="55"/>
      <c r="BC25" s="56"/>
      <c r="BD25" s="4"/>
      <c r="BE25" s="4"/>
      <c r="BF25" s="4"/>
      <c r="BG25" s="4"/>
      <c r="BH25" s="146" t="s">
        <v>47</v>
      </c>
      <c r="BI25" s="147"/>
      <c r="BJ25" s="147"/>
      <c r="BK25" s="147"/>
      <c r="BL25" s="148"/>
      <c r="BM25" s="149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110">
        <v>2</v>
      </c>
      <c r="K26" s="111"/>
      <c r="L26" s="108">
        <v>2</v>
      </c>
      <c r="M26" s="111"/>
      <c r="N26" s="108">
        <v>90</v>
      </c>
      <c r="O26" s="109"/>
      <c r="P26" s="4"/>
      <c r="Q26" s="4"/>
      <c r="R26" s="4"/>
      <c r="S26" s="4"/>
      <c r="T26" s="34">
        <v>4</v>
      </c>
      <c r="U26" s="35"/>
      <c r="V26" s="36">
        <v>5</v>
      </c>
      <c r="W26" s="35"/>
      <c r="X26" s="36">
        <v>195</v>
      </c>
      <c r="Y26" s="37"/>
      <c r="Z26" s="4"/>
      <c r="AA26" s="4"/>
      <c r="AB26" s="4"/>
      <c r="AC26" s="4"/>
      <c r="AD26" s="34">
        <v>3</v>
      </c>
      <c r="AE26" s="35"/>
      <c r="AF26" s="36">
        <v>5</v>
      </c>
      <c r="AG26" s="35"/>
      <c r="AH26" s="36">
        <v>165</v>
      </c>
      <c r="AI26" s="37"/>
      <c r="AJ26" s="4"/>
      <c r="AK26" s="4"/>
      <c r="AL26" s="4"/>
      <c r="AM26" s="4"/>
      <c r="AN26" s="57">
        <v>3</v>
      </c>
      <c r="AO26" s="58"/>
      <c r="AP26" s="59">
        <v>6</v>
      </c>
      <c r="AQ26" s="58"/>
      <c r="AR26" s="59">
        <v>180</v>
      </c>
      <c r="AS26" s="91"/>
      <c r="AT26" s="4"/>
      <c r="AU26" s="4"/>
      <c r="AV26" s="4"/>
      <c r="AW26" s="4"/>
      <c r="AX26" s="57">
        <v>3</v>
      </c>
      <c r="AY26" s="58"/>
      <c r="AZ26" s="59">
        <v>7</v>
      </c>
      <c r="BA26" s="58"/>
      <c r="BB26" s="59">
        <v>195</v>
      </c>
      <c r="BC26" s="91"/>
      <c r="BD26" s="4"/>
      <c r="BE26" s="4"/>
      <c r="BF26" s="4"/>
      <c r="BG26" s="4"/>
      <c r="BH26" s="138">
        <v>3</v>
      </c>
      <c r="BI26" s="139"/>
      <c r="BJ26" s="140">
        <v>6</v>
      </c>
      <c r="BK26" s="139"/>
      <c r="BL26" s="140">
        <v>180</v>
      </c>
      <c r="BM26" s="141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thickBot="1" x14ac:dyDescent="0.35">
      <c r="B27" s="118"/>
      <c r="C27" s="1"/>
      <c r="D27" s="119"/>
      <c r="E27" s="11">
        <f>SUM(J26,T26,AD26,AN26,AX26,BH26,BR26)</f>
        <v>18</v>
      </c>
      <c r="F27" s="11">
        <f>SUM(J27:BW27)</f>
        <v>31</v>
      </c>
      <c r="G27" s="105"/>
      <c r="H27" s="2"/>
      <c r="I27" s="2"/>
      <c r="J27" s="112">
        <v>2</v>
      </c>
      <c r="K27" s="113"/>
      <c r="L27" s="106">
        <v>0</v>
      </c>
      <c r="M27" s="113"/>
      <c r="N27" s="106">
        <v>0</v>
      </c>
      <c r="O27" s="107"/>
      <c r="P27" s="4"/>
      <c r="Q27" s="4"/>
      <c r="R27" s="4"/>
      <c r="S27" s="4"/>
      <c r="T27" s="20">
        <v>3</v>
      </c>
      <c r="U27" s="21"/>
      <c r="V27" s="22">
        <v>2</v>
      </c>
      <c r="W27" s="21"/>
      <c r="X27" s="22">
        <v>0</v>
      </c>
      <c r="Y27" s="23"/>
      <c r="Z27" s="4"/>
      <c r="AA27" s="4"/>
      <c r="AB27" s="4"/>
      <c r="AC27" s="4"/>
      <c r="AD27" s="20">
        <v>2</v>
      </c>
      <c r="AE27" s="21"/>
      <c r="AF27" s="22">
        <v>2</v>
      </c>
      <c r="AG27" s="21"/>
      <c r="AH27" s="22">
        <v>1</v>
      </c>
      <c r="AI27" s="23"/>
      <c r="AJ27" s="4"/>
      <c r="AK27" s="4"/>
      <c r="AL27" s="4"/>
      <c r="AM27" s="4"/>
      <c r="AN27" s="92">
        <v>3</v>
      </c>
      <c r="AO27" s="93"/>
      <c r="AP27" s="70">
        <v>3</v>
      </c>
      <c r="AQ27" s="93"/>
      <c r="AR27" s="70">
        <v>0</v>
      </c>
      <c r="AS27" s="71"/>
      <c r="AT27" s="4"/>
      <c r="AU27" s="4"/>
      <c r="AV27" s="4"/>
      <c r="AW27" s="4"/>
      <c r="AX27" s="92">
        <v>3</v>
      </c>
      <c r="AY27" s="93"/>
      <c r="AZ27" s="70">
        <v>2</v>
      </c>
      <c r="BA27" s="93"/>
      <c r="BB27" s="70">
        <v>2</v>
      </c>
      <c r="BC27" s="71"/>
      <c r="BD27" s="4"/>
      <c r="BE27" s="4"/>
      <c r="BF27" s="4"/>
      <c r="BG27" s="4"/>
      <c r="BH27" s="142">
        <v>3</v>
      </c>
      <c r="BI27" s="143"/>
      <c r="BJ27" s="144">
        <v>3</v>
      </c>
      <c r="BK27" s="143"/>
      <c r="BL27" s="144">
        <v>0</v>
      </c>
      <c r="BM27" s="145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129</v>
      </c>
      <c r="K32" s="25"/>
      <c r="L32" s="26"/>
      <c r="M32" s="38" t="s">
        <v>110</v>
      </c>
      <c r="N32" s="39"/>
      <c r="O32" s="40"/>
      <c r="P32" s="4"/>
      <c r="Q32" s="4"/>
      <c r="R32" s="4"/>
      <c r="S32" s="4"/>
      <c r="T32" s="24" t="s">
        <v>19</v>
      </c>
      <c r="U32" s="25"/>
      <c r="V32" s="26"/>
      <c r="W32" s="38">
        <v>315</v>
      </c>
      <c r="X32" s="39"/>
      <c r="Y32" s="40"/>
      <c r="Z32" s="4"/>
      <c r="AA32" s="4"/>
      <c r="AB32" s="4"/>
      <c r="AC32" s="4"/>
      <c r="AD32" s="24" t="s">
        <v>25</v>
      </c>
      <c r="AE32" s="25"/>
      <c r="AF32" s="26"/>
      <c r="AG32" s="38">
        <v>432</v>
      </c>
      <c r="AH32" s="39"/>
      <c r="AI32" s="40"/>
      <c r="AJ32" s="4"/>
      <c r="AK32" s="4"/>
      <c r="AL32" s="4"/>
      <c r="AM32" s="4"/>
      <c r="AN32" s="24" t="s">
        <v>19</v>
      </c>
      <c r="AO32" s="25"/>
      <c r="AP32" s="26"/>
      <c r="AQ32" s="38">
        <v>112</v>
      </c>
      <c r="AR32" s="102"/>
      <c r="AS32" s="103"/>
      <c r="AT32" s="4"/>
      <c r="AU32" s="4"/>
      <c r="AV32" s="4"/>
      <c r="AW32" s="4"/>
      <c r="AX32" s="24" t="s">
        <v>19</v>
      </c>
      <c r="AY32" s="25"/>
      <c r="AZ32" s="26"/>
      <c r="BA32" s="38">
        <v>132</v>
      </c>
      <c r="BB32" s="102"/>
      <c r="BC32" s="103"/>
      <c r="BD32" s="4"/>
      <c r="BE32" s="4"/>
      <c r="BF32" s="4"/>
      <c r="BG32" s="4"/>
      <c r="BH32" s="24" t="s">
        <v>48</v>
      </c>
      <c r="BI32" s="25"/>
      <c r="BJ32" s="26"/>
      <c r="BK32" s="38">
        <v>121</v>
      </c>
      <c r="BL32" s="39"/>
      <c r="BM32" s="40"/>
      <c r="BN32" s="14"/>
      <c r="BO32" s="14"/>
      <c r="BP32" s="14"/>
      <c r="BQ32" s="1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915</v>
      </c>
      <c r="H33" s="2"/>
      <c r="I33" s="2"/>
      <c r="J33" s="114" t="s">
        <v>130</v>
      </c>
      <c r="K33" s="115"/>
      <c r="L33" s="115"/>
      <c r="M33" s="115"/>
      <c r="N33" s="116"/>
      <c r="O33" s="117"/>
      <c r="P33" s="4"/>
      <c r="Q33" s="4"/>
      <c r="R33" s="4"/>
      <c r="S33" s="4"/>
      <c r="T33" s="30" t="s">
        <v>26</v>
      </c>
      <c r="U33" s="31"/>
      <c r="V33" s="31"/>
      <c r="W33" s="31"/>
      <c r="X33" s="32"/>
      <c r="Y33" s="33"/>
      <c r="Z33" s="4"/>
      <c r="AA33" s="4"/>
      <c r="AB33" s="4"/>
      <c r="AC33" s="4"/>
      <c r="AD33" s="30" t="s">
        <v>27</v>
      </c>
      <c r="AE33" s="31"/>
      <c r="AF33" s="31"/>
      <c r="AG33" s="31"/>
      <c r="AH33" s="32"/>
      <c r="AI33" s="33"/>
      <c r="AJ33" s="4"/>
      <c r="AK33" s="4"/>
      <c r="AL33" s="4"/>
      <c r="AM33" s="4"/>
      <c r="AN33" s="53" t="s">
        <v>38</v>
      </c>
      <c r="AO33" s="54"/>
      <c r="AP33" s="54"/>
      <c r="AQ33" s="54"/>
      <c r="AR33" s="55"/>
      <c r="AS33" s="56"/>
      <c r="AT33" s="4"/>
      <c r="AU33" s="4"/>
      <c r="AV33" s="4"/>
      <c r="AW33" s="4"/>
      <c r="AX33" s="53" t="s">
        <v>39</v>
      </c>
      <c r="AY33" s="54"/>
      <c r="AZ33" s="54"/>
      <c r="BA33" s="54"/>
      <c r="BB33" s="55"/>
      <c r="BC33" s="56"/>
      <c r="BD33" s="4"/>
      <c r="BE33" s="4"/>
      <c r="BF33" s="4"/>
      <c r="BG33" s="4"/>
      <c r="BH33" s="146" t="s">
        <v>49</v>
      </c>
      <c r="BI33" s="147"/>
      <c r="BJ33" s="147"/>
      <c r="BK33" s="147"/>
      <c r="BL33" s="148"/>
      <c r="BM33" s="149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110">
        <v>2</v>
      </c>
      <c r="K34" s="111"/>
      <c r="L34" s="108">
        <v>2</v>
      </c>
      <c r="M34" s="111"/>
      <c r="N34" s="108">
        <v>90</v>
      </c>
      <c r="O34" s="109"/>
      <c r="P34" s="4"/>
      <c r="Q34" s="4"/>
      <c r="R34" s="4"/>
      <c r="S34" s="4"/>
      <c r="T34" s="34">
        <v>3</v>
      </c>
      <c r="U34" s="35"/>
      <c r="V34" s="36">
        <v>4</v>
      </c>
      <c r="W34" s="35"/>
      <c r="X34" s="36">
        <v>150</v>
      </c>
      <c r="Y34" s="37"/>
      <c r="Z34" s="4"/>
      <c r="AA34" s="4"/>
      <c r="AB34" s="4"/>
      <c r="AC34" s="4"/>
      <c r="AD34" s="34">
        <v>3</v>
      </c>
      <c r="AE34" s="35"/>
      <c r="AF34" s="36">
        <v>4</v>
      </c>
      <c r="AG34" s="35"/>
      <c r="AH34" s="36">
        <v>150</v>
      </c>
      <c r="AI34" s="37"/>
      <c r="AJ34" s="4"/>
      <c r="AK34" s="4"/>
      <c r="AL34" s="4"/>
      <c r="AM34" s="4"/>
      <c r="AN34" s="57">
        <v>3</v>
      </c>
      <c r="AO34" s="58"/>
      <c r="AP34" s="59">
        <v>6</v>
      </c>
      <c r="AQ34" s="58"/>
      <c r="AR34" s="59">
        <v>180</v>
      </c>
      <c r="AS34" s="91"/>
      <c r="AT34" s="4"/>
      <c r="AU34" s="4"/>
      <c r="AV34" s="4"/>
      <c r="AW34" s="4"/>
      <c r="AX34" s="57">
        <v>3</v>
      </c>
      <c r="AY34" s="58"/>
      <c r="AZ34" s="59">
        <v>5</v>
      </c>
      <c r="BA34" s="58"/>
      <c r="BB34" s="59">
        <v>165</v>
      </c>
      <c r="BC34" s="91"/>
      <c r="BD34" s="4"/>
      <c r="BE34" s="4"/>
      <c r="BF34" s="4"/>
      <c r="BG34" s="4"/>
      <c r="BH34" s="138">
        <v>3</v>
      </c>
      <c r="BI34" s="139"/>
      <c r="BJ34" s="140">
        <v>6</v>
      </c>
      <c r="BK34" s="139"/>
      <c r="BL34" s="140">
        <v>180</v>
      </c>
      <c r="BM34" s="141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SUM(J34,T34,AD34,AN34,AX34,BH34,BR34)</f>
        <v>17</v>
      </c>
      <c r="F35" s="11">
        <f>SUM(J35:BM35)</f>
        <v>27</v>
      </c>
      <c r="G35" s="105"/>
      <c r="H35" s="2"/>
      <c r="I35" s="2"/>
      <c r="J35" s="112">
        <v>2</v>
      </c>
      <c r="K35" s="113"/>
      <c r="L35" s="106">
        <v>0</v>
      </c>
      <c r="M35" s="113"/>
      <c r="N35" s="106">
        <v>0</v>
      </c>
      <c r="O35" s="107"/>
      <c r="P35" s="4"/>
      <c r="Q35" s="4"/>
      <c r="R35" s="4"/>
      <c r="S35" s="4"/>
      <c r="T35" s="20">
        <v>2</v>
      </c>
      <c r="U35" s="21"/>
      <c r="V35" s="22">
        <v>0</v>
      </c>
      <c r="W35" s="21"/>
      <c r="X35" s="22">
        <v>2</v>
      </c>
      <c r="Y35" s="23"/>
      <c r="Z35" s="4"/>
      <c r="AA35" s="4"/>
      <c r="AB35" s="4"/>
      <c r="AC35" s="4"/>
      <c r="AD35" s="20">
        <v>2</v>
      </c>
      <c r="AE35" s="21"/>
      <c r="AF35" s="22">
        <v>1</v>
      </c>
      <c r="AG35" s="21"/>
      <c r="AH35" s="22">
        <v>1</v>
      </c>
      <c r="AI35" s="23"/>
      <c r="AJ35" s="4"/>
      <c r="AK35" s="4"/>
      <c r="AL35" s="4"/>
      <c r="AM35" s="4"/>
      <c r="AN35" s="92">
        <v>3</v>
      </c>
      <c r="AO35" s="93"/>
      <c r="AP35" s="70">
        <v>3</v>
      </c>
      <c r="AQ35" s="93"/>
      <c r="AR35" s="70">
        <v>0</v>
      </c>
      <c r="AS35" s="71"/>
      <c r="AT35" s="4"/>
      <c r="AU35" s="4"/>
      <c r="AV35" s="4"/>
      <c r="AW35" s="4"/>
      <c r="AX35" s="92">
        <v>3</v>
      </c>
      <c r="AY35" s="93"/>
      <c r="AZ35" s="70">
        <v>2</v>
      </c>
      <c r="BA35" s="93"/>
      <c r="BB35" s="70">
        <v>0</v>
      </c>
      <c r="BC35" s="71"/>
      <c r="BD35" s="4"/>
      <c r="BE35" s="4"/>
      <c r="BF35" s="4"/>
      <c r="BG35" s="4"/>
      <c r="BH35" s="142">
        <v>3</v>
      </c>
      <c r="BI35" s="143"/>
      <c r="BJ35" s="144">
        <v>3</v>
      </c>
      <c r="BK35" s="143"/>
      <c r="BL35" s="144">
        <v>0</v>
      </c>
      <c r="BM35" s="145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3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131</v>
      </c>
      <c r="K42" s="25"/>
      <c r="L42" s="26"/>
      <c r="M42" s="38" t="s">
        <v>110</v>
      </c>
      <c r="N42" s="39"/>
      <c r="O42" s="40"/>
      <c r="P42" s="4"/>
      <c r="Q42" s="4"/>
      <c r="R42" s="4"/>
      <c r="S42" s="4"/>
      <c r="T42" s="24" t="s">
        <v>19</v>
      </c>
      <c r="U42" s="25"/>
      <c r="V42" s="26"/>
      <c r="W42" s="38">
        <v>233</v>
      </c>
      <c r="X42" s="102"/>
      <c r="Y42" s="103"/>
      <c r="Z42" s="4"/>
      <c r="AA42" s="4"/>
      <c r="AB42" s="4"/>
      <c r="AC42" s="4"/>
      <c r="AD42" s="24" t="s">
        <v>19</v>
      </c>
      <c r="AE42" s="25"/>
      <c r="AF42" s="26"/>
      <c r="AG42" s="38">
        <v>261</v>
      </c>
      <c r="AH42" s="102"/>
      <c r="AI42" s="103"/>
      <c r="AJ42" s="4"/>
      <c r="AK42" s="4"/>
      <c r="AL42" s="4"/>
      <c r="AM42" s="4"/>
      <c r="AN42" s="24" t="s">
        <v>48</v>
      </c>
      <c r="AO42" s="25"/>
      <c r="AP42" s="26"/>
      <c r="AQ42" s="38">
        <v>231</v>
      </c>
      <c r="AR42" s="39"/>
      <c r="AS42" s="40"/>
      <c r="AT42" s="4"/>
      <c r="AU42" s="4"/>
      <c r="AV42" s="4"/>
      <c r="AW42" s="4"/>
      <c r="AX42" s="24" t="s">
        <v>19</v>
      </c>
      <c r="AY42" s="25"/>
      <c r="AZ42" s="26"/>
      <c r="BA42" s="38">
        <v>271</v>
      </c>
      <c r="BB42" s="102"/>
      <c r="BC42" s="103"/>
      <c r="BD42" s="4"/>
      <c r="BE42" s="4"/>
      <c r="BF42" s="4"/>
      <c r="BG42" s="4"/>
      <c r="BH42" s="24" t="s">
        <v>19</v>
      </c>
      <c r="BI42" s="25"/>
      <c r="BJ42" s="26"/>
      <c r="BK42" s="38">
        <v>211</v>
      </c>
      <c r="BL42" s="102"/>
      <c r="BM42" s="103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945</v>
      </c>
      <c r="H43" s="2"/>
      <c r="I43" s="2"/>
      <c r="J43" s="114" t="s">
        <v>20</v>
      </c>
      <c r="K43" s="115"/>
      <c r="L43" s="115"/>
      <c r="M43" s="115"/>
      <c r="N43" s="116"/>
      <c r="O43" s="117"/>
      <c r="P43" s="4"/>
      <c r="Q43" s="4"/>
      <c r="R43" s="4"/>
      <c r="S43" s="4"/>
      <c r="T43" s="53" t="s">
        <v>40</v>
      </c>
      <c r="U43" s="54"/>
      <c r="V43" s="54"/>
      <c r="W43" s="54"/>
      <c r="X43" s="55"/>
      <c r="Y43" s="56"/>
      <c r="Z43" s="4"/>
      <c r="AA43" s="4"/>
      <c r="AB43" s="4"/>
      <c r="AC43" s="4"/>
      <c r="AD43" s="53" t="s">
        <v>41</v>
      </c>
      <c r="AE43" s="54"/>
      <c r="AF43" s="54"/>
      <c r="AG43" s="54"/>
      <c r="AH43" s="55"/>
      <c r="AI43" s="56"/>
      <c r="AJ43" s="4"/>
      <c r="AK43" s="4"/>
      <c r="AL43" s="4"/>
      <c r="AM43" s="4"/>
      <c r="AN43" s="146" t="s">
        <v>50</v>
      </c>
      <c r="AO43" s="147"/>
      <c r="AP43" s="147"/>
      <c r="AQ43" s="147"/>
      <c r="AR43" s="148"/>
      <c r="AS43" s="149"/>
      <c r="AT43" s="4"/>
      <c r="AU43" s="4"/>
      <c r="AV43" s="4"/>
      <c r="AW43" s="4"/>
      <c r="AX43" s="94" t="s">
        <v>82</v>
      </c>
      <c r="AY43" s="95"/>
      <c r="AZ43" s="95"/>
      <c r="BA43" s="95"/>
      <c r="BB43" s="96"/>
      <c r="BC43" s="97"/>
      <c r="BD43" s="4"/>
      <c r="BE43" s="4"/>
      <c r="BF43" s="4"/>
      <c r="BG43" s="4"/>
      <c r="BH43" s="94" t="s">
        <v>66</v>
      </c>
      <c r="BI43" s="95"/>
      <c r="BJ43" s="95"/>
      <c r="BK43" s="95"/>
      <c r="BL43" s="96"/>
      <c r="BM43" s="97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110">
        <v>2</v>
      </c>
      <c r="K44" s="111"/>
      <c r="L44" s="108">
        <v>2</v>
      </c>
      <c r="M44" s="111"/>
      <c r="N44" s="108">
        <v>90</v>
      </c>
      <c r="O44" s="109"/>
      <c r="P44" s="4"/>
      <c r="Q44" s="4"/>
      <c r="R44" s="4"/>
      <c r="S44" s="4"/>
      <c r="T44" s="57">
        <v>3</v>
      </c>
      <c r="U44" s="58"/>
      <c r="V44" s="59">
        <v>5</v>
      </c>
      <c r="W44" s="58"/>
      <c r="X44" s="59">
        <v>165</v>
      </c>
      <c r="Y44" s="91"/>
      <c r="Z44" s="4"/>
      <c r="AA44" s="4"/>
      <c r="AB44" s="4"/>
      <c r="AC44" s="4"/>
      <c r="AD44" s="57">
        <v>3</v>
      </c>
      <c r="AE44" s="58"/>
      <c r="AF44" s="59">
        <v>5</v>
      </c>
      <c r="AG44" s="58"/>
      <c r="AH44" s="59">
        <v>165</v>
      </c>
      <c r="AI44" s="91"/>
      <c r="AJ44" s="4"/>
      <c r="AK44" s="4"/>
      <c r="AL44" s="4"/>
      <c r="AM44" s="4"/>
      <c r="AN44" s="138">
        <v>3</v>
      </c>
      <c r="AO44" s="139"/>
      <c r="AP44" s="140">
        <v>6</v>
      </c>
      <c r="AQ44" s="139"/>
      <c r="AR44" s="140">
        <v>180</v>
      </c>
      <c r="AS44" s="141"/>
      <c r="AT44" s="4"/>
      <c r="AU44" s="4"/>
      <c r="AV44" s="4"/>
      <c r="AW44" s="4"/>
      <c r="AX44" s="98">
        <v>3</v>
      </c>
      <c r="AY44" s="99"/>
      <c r="AZ44" s="100">
        <v>6</v>
      </c>
      <c r="BA44" s="99"/>
      <c r="BB44" s="100">
        <v>180</v>
      </c>
      <c r="BC44" s="101"/>
      <c r="BD44" s="4"/>
      <c r="BE44" s="4"/>
      <c r="BF44" s="4"/>
      <c r="BG44" s="4"/>
      <c r="BH44" s="98">
        <v>3</v>
      </c>
      <c r="BI44" s="99"/>
      <c r="BJ44" s="100">
        <v>5</v>
      </c>
      <c r="BK44" s="99"/>
      <c r="BL44" s="100">
        <v>165</v>
      </c>
      <c r="BM44" s="101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17</v>
      </c>
      <c r="F45" s="11">
        <f>SUM(J45:BM45)</f>
        <v>29</v>
      </c>
      <c r="G45" s="105"/>
      <c r="H45" s="2"/>
      <c r="I45" s="2"/>
      <c r="J45" s="112">
        <v>2</v>
      </c>
      <c r="K45" s="113"/>
      <c r="L45" s="106">
        <v>0</v>
      </c>
      <c r="M45" s="113"/>
      <c r="N45" s="106">
        <v>0</v>
      </c>
      <c r="O45" s="107"/>
      <c r="P45" s="4"/>
      <c r="Q45" s="4"/>
      <c r="R45" s="4"/>
      <c r="S45" s="4"/>
      <c r="T45" s="92">
        <v>3</v>
      </c>
      <c r="U45" s="93"/>
      <c r="V45" s="70">
        <v>2</v>
      </c>
      <c r="W45" s="93"/>
      <c r="X45" s="70">
        <v>0</v>
      </c>
      <c r="Y45" s="71"/>
      <c r="Z45" s="4"/>
      <c r="AA45" s="4"/>
      <c r="AB45" s="4"/>
      <c r="AC45" s="4"/>
      <c r="AD45" s="92">
        <v>3</v>
      </c>
      <c r="AE45" s="93"/>
      <c r="AF45" s="70">
        <v>2</v>
      </c>
      <c r="AG45" s="93"/>
      <c r="AH45" s="70">
        <v>0</v>
      </c>
      <c r="AI45" s="71"/>
      <c r="AJ45" s="4"/>
      <c r="AK45" s="4"/>
      <c r="AL45" s="4"/>
      <c r="AM45" s="4"/>
      <c r="AN45" s="142">
        <v>3</v>
      </c>
      <c r="AO45" s="143"/>
      <c r="AP45" s="144">
        <v>3</v>
      </c>
      <c r="AQ45" s="143"/>
      <c r="AR45" s="144">
        <v>0</v>
      </c>
      <c r="AS45" s="145"/>
      <c r="AT45" s="4"/>
      <c r="AU45" s="4"/>
      <c r="AV45" s="4"/>
      <c r="AW45" s="4"/>
      <c r="AX45" s="72">
        <v>3</v>
      </c>
      <c r="AY45" s="73"/>
      <c r="AZ45" s="68">
        <v>3</v>
      </c>
      <c r="BA45" s="73"/>
      <c r="BB45" s="68">
        <v>0</v>
      </c>
      <c r="BC45" s="69"/>
      <c r="BD45" s="4"/>
      <c r="BE45" s="4"/>
      <c r="BF45" s="4"/>
      <c r="BG45" s="4"/>
      <c r="BH45" s="72">
        <v>3</v>
      </c>
      <c r="BI45" s="73"/>
      <c r="BJ45" s="68">
        <v>2</v>
      </c>
      <c r="BK45" s="73"/>
      <c r="BL45" s="68">
        <v>0</v>
      </c>
      <c r="BM45" s="69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133</v>
      </c>
      <c r="K50" s="25"/>
      <c r="L50" s="26"/>
      <c r="M50" s="38" t="s">
        <v>110</v>
      </c>
      <c r="N50" s="39"/>
      <c r="O50" s="40"/>
      <c r="P50" s="4"/>
      <c r="Q50" s="4"/>
      <c r="R50" s="4"/>
      <c r="S50" s="4"/>
      <c r="T50" s="24" t="s">
        <v>19</v>
      </c>
      <c r="U50" s="25"/>
      <c r="V50" s="26"/>
      <c r="W50" s="38">
        <v>221</v>
      </c>
      <c r="X50" s="102"/>
      <c r="Y50" s="103"/>
      <c r="Z50" s="4"/>
      <c r="AA50" s="4"/>
      <c r="AB50" s="4"/>
      <c r="AC50" s="4"/>
      <c r="AD50" s="24" t="s">
        <v>19</v>
      </c>
      <c r="AE50" s="25"/>
      <c r="AF50" s="26"/>
      <c r="AG50" s="38">
        <v>251</v>
      </c>
      <c r="AH50" s="102"/>
      <c r="AI50" s="103"/>
      <c r="AJ50" s="4"/>
      <c r="AK50" s="4"/>
      <c r="AL50" s="4"/>
      <c r="AM50" s="4"/>
      <c r="AN50" s="24" t="s">
        <v>19</v>
      </c>
      <c r="AO50" s="25"/>
      <c r="AP50" s="26"/>
      <c r="AQ50" s="38">
        <v>272</v>
      </c>
      <c r="AR50" s="102"/>
      <c r="AS50" s="103"/>
      <c r="AT50" s="4"/>
      <c r="AU50" s="4"/>
      <c r="AV50" s="4"/>
      <c r="AW50" s="4"/>
      <c r="AX50" s="24" t="s">
        <v>19</v>
      </c>
      <c r="AY50" s="25"/>
      <c r="AZ50" s="26"/>
      <c r="BA50" s="38">
        <v>273</v>
      </c>
      <c r="BB50" s="102"/>
      <c r="BC50" s="103"/>
      <c r="BD50" s="4"/>
      <c r="BE50" s="4"/>
      <c r="BF50" s="4"/>
      <c r="BG50" s="4"/>
      <c r="BH50" s="24" t="s">
        <v>19</v>
      </c>
      <c r="BI50" s="25"/>
      <c r="BJ50" s="26"/>
      <c r="BK50" s="38">
        <v>242</v>
      </c>
      <c r="BL50" s="102"/>
      <c r="BM50" s="103"/>
      <c r="BN50" s="4"/>
      <c r="BO50" s="159"/>
      <c r="BP50" s="159"/>
      <c r="BQ50" s="160"/>
      <c r="BR50" s="24" t="s">
        <v>19</v>
      </c>
      <c r="BS50" s="25"/>
      <c r="BT50" s="26"/>
      <c r="BU50" s="38">
        <v>291</v>
      </c>
      <c r="BV50" s="39"/>
      <c r="BW50" s="40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SUM(N52,X52,AH52,AR52,BB52,BL52,BV52)</f>
        <v>990</v>
      </c>
      <c r="H51" s="2"/>
      <c r="I51" s="2"/>
      <c r="J51" s="114" t="s">
        <v>132</v>
      </c>
      <c r="K51" s="115"/>
      <c r="L51" s="115"/>
      <c r="M51" s="115"/>
      <c r="N51" s="116"/>
      <c r="O51" s="117"/>
      <c r="P51" s="4"/>
      <c r="Q51" s="4"/>
      <c r="R51" s="4"/>
      <c r="S51" s="4"/>
      <c r="T51" s="53" t="s">
        <v>43</v>
      </c>
      <c r="U51" s="54"/>
      <c r="V51" s="54"/>
      <c r="W51" s="54"/>
      <c r="X51" s="55"/>
      <c r="Y51" s="56"/>
      <c r="Z51" s="4"/>
      <c r="AA51" s="4"/>
      <c r="AB51" s="4"/>
      <c r="AC51" s="4"/>
      <c r="AD51" s="53" t="s">
        <v>67</v>
      </c>
      <c r="AE51" s="54"/>
      <c r="AF51" s="54"/>
      <c r="AG51" s="54"/>
      <c r="AH51" s="55"/>
      <c r="AI51" s="56"/>
      <c r="AJ51" s="4"/>
      <c r="AK51" s="4"/>
      <c r="AL51" s="4"/>
      <c r="AM51" s="4"/>
      <c r="AN51" s="53" t="s">
        <v>45</v>
      </c>
      <c r="AO51" s="54"/>
      <c r="AP51" s="54"/>
      <c r="AQ51" s="54"/>
      <c r="AR51" s="55"/>
      <c r="AS51" s="56"/>
      <c r="AT51" s="4"/>
      <c r="AU51" s="4"/>
      <c r="AV51" s="4"/>
      <c r="AW51" s="4"/>
      <c r="AX51" s="94" t="s">
        <v>68</v>
      </c>
      <c r="AY51" s="95"/>
      <c r="AZ51" s="95"/>
      <c r="BA51" s="95"/>
      <c r="BB51" s="96"/>
      <c r="BC51" s="97"/>
      <c r="BD51" s="4"/>
      <c r="BE51" s="4"/>
      <c r="BF51" s="4"/>
      <c r="BG51" s="4"/>
      <c r="BH51" s="94" t="s">
        <v>69</v>
      </c>
      <c r="BI51" s="95"/>
      <c r="BJ51" s="95"/>
      <c r="BK51" s="95"/>
      <c r="BL51" s="96"/>
      <c r="BM51" s="97"/>
      <c r="BN51" s="4"/>
      <c r="BO51" s="159"/>
      <c r="BP51" s="159"/>
      <c r="BQ51" s="160"/>
      <c r="BR51" s="41" t="s">
        <v>152</v>
      </c>
      <c r="BS51" s="42"/>
      <c r="BT51" s="42"/>
      <c r="BU51" s="42"/>
      <c r="BV51" s="43"/>
      <c r="BW51" s="4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110">
        <v>2</v>
      </c>
      <c r="K52" s="111"/>
      <c r="L52" s="108">
        <v>2</v>
      </c>
      <c r="M52" s="111"/>
      <c r="N52" s="108">
        <v>90</v>
      </c>
      <c r="O52" s="109"/>
      <c r="P52" s="4"/>
      <c r="Q52" s="4"/>
      <c r="R52" s="4"/>
      <c r="S52" s="4"/>
      <c r="T52" s="57">
        <v>3</v>
      </c>
      <c r="U52" s="58"/>
      <c r="V52" s="59">
        <v>6</v>
      </c>
      <c r="W52" s="58"/>
      <c r="X52" s="59">
        <v>180</v>
      </c>
      <c r="Y52" s="91"/>
      <c r="Z52" s="4"/>
      <c r="AA52" s="4"/>
      <c r="AB52" s="4"/>
      <c r="AC52" s="4"/>
      <c r="AD52" s="57">
        <v>3</v>
      </c>
      <c r="AE52" s="58"/>
      <c r="AF52" s="59">
        <v>6</v>
      </c>
      <c r="AG52" s="58"/>
      <c r="AH52" s="59">
        <v>180</v>
      </c>
      <c r="AI52" s="91"/>
      <c r="AJ52" s="4"/>
      <c r="AK52" s="4"/>
      <c r="AL52" s="4"/>
      <c r="AM52" s="4"/>
      <c r="AN52" s="57">
        <v>3</v>
      </c>
      <c r="AO52" s="58"/>
      <c r="AP52" s="59">
        <v>6</v>
      </c>
      <c r="AQ52" s="58"/>
      <c r="AR52" s="59">
        <v>180</v>
      </c>
      <c r="AS52" s="91"/>
      <c r="AT52" s="4"/>
      <c r="AU52" s="4"/>
      <c r="AV52" s="4"/>
      <c r="AW52" s="4"/>
      <c r="AX52" s="98">
        <v>3</v>
      </c>
      <c r="AY52" s="99"/>
      <c r="AZ52" s="100">
        <v>4</v>
      </c>
      <c r="BA52" s="99"/>
      <c r="BB52" s="100">
        <v>150</v>
      </c>
      <c r="BC52" s="101"/>
      <c r="BD52" s="4"/>
      <c r="BE52" s="4"/>
      <c r="BF52" s="4"/>
      <c r="BG52" s="4"/>
      <c r="BH52" s="98">
        <v>3</v>
      </c>
      <c r="BI52" s="99"/>
      <c r="BJ52" s="100">
        <v>6</v>
      </c>
      <c r="BK52" s="99"/>
      <c r="BL52" s="100">
        <v>180</v>
      </c>
      <c r="BM52" s="101"/>
      <c r="BN52" s="4"/>
      <c r="BO52" s="159"/>
      <c r="BP52" s="159"/>
      <c r="BQ52" s="160"/>
      <c r="BR52" s="45">
        <v>1</v>
      </c>
      <c r="BS52" s="46"/>
      <c r="BT52" s="47">
        <v>2</v>
      </c>
      <c r="BU52" s="46"/>
      <c r="BV52" s="47">
        <v>30</v>
      </c>
      <c r="BW52" s="48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J52+T52+AD52+AN52+AX52+BH52+BR52</f>
        <v>18</v>
      </c>
      <c r="F53" s="11">
        <f>L52+V52+AF52+AP52+AZ52+BJ52+BT52</f>
        <v>32</v>
      </c>
      <c r="G53" s="105"/>
      <c r="H53" s="2"/>
      <c r="I53" s="2"/>
      <c r="J53" s="112">
        <v>2</v>
      </c>
      <c r="K53" s="113"/>
      <c r="L53" s="106">
        <v>0</v>
      </c>
      <c r="M53" s="113"/>
      <c r="N53" s="106">
        <v>0</v>
      </c>
      <c r="O53" s="107"/>
      <c r="P53" s="4"/>
      <c r="Q53" s="4"/>
      <c r="R53" s="4"/>
      <c r="S53" s="4"/>
      <c r="T53" s="92">
        <v>3</v>
      </c>
      <c r="U53" s="93"/>
      <c r="V53" s="70">
        <v>3</v>
      </c>
      <c r="W53" s="93"/>
      <c r="X53" s="70">
        <v>0</v>
      </c>
      <c r="Y53" s="71"/>
      <c r="Z53" s="4"/>
      <c r="AA53" s="4"/>
      <c r="AB53" s="4"/>
      <c r="AC53" s="4"/>
      <c r="AD53" s="92">
        <v>3</v>
      </c>
      <c r="AE53" s="93"/>
      <c r="AF53" s="70">
        <v>3</v>
      </c>
      <c r="AG53" s="93"/>
      <c r="AH53" s="70">
        <v>0</v>
      </c>
      <c r="AI53" s="71"/>
      <c r="AJ53" s="4"/>
      <c r="AK53" s="4"/>
      <c r="AL53" s="4"/>
      <c r="AM53" s="4"/>
      <c r="AN53" s="92">
        <v>3</v>
      </c>
      <c r="AO53" s="93"/>
      <c r="AP53" s="70">
        <v>3</v>
      </c>
      <c r="AQ53" s="93"/>
      <c r="AR53" s="70">
        <v>0</v>
      </c>
      <c r="AS53" s="71"/>
      <c r="AT53" s="4"/>
      <c r="AU53" s="4"/>
      <c r="AV53" s="4"/>
      <c r="AW53" s="4"/>
      <c r="AX53" s="72">
        <v>2</v>
      </c>
      <c r="AY53" s="73"/>
      <c r="AZ53" s="68">
        <v>1</v>
      </c>
      <c r="BA53" s="73"/>
      <c r="BB53" s="68">
        <v>1</v>
      </c>
      <c r="BC53" s="69"/>
      <c r="BD53" s="4"/>
      <c r="BE53" s="4"/>
      <c r="BF53" s="4"/>
      <c r="BG53" s="4"/>
      <c r="BH53" s="72">
        <v>3</v>
      </c>
      <c r="BI53" s="73"/>
      <c r="BJ53" s="68">
        <v>3</v>
      </c>
      <c r="BK53" s="73"/>
      <c r="BL53" s="68">
        <v>0</v>
      </c>
      <c r="BM53" s="69"/>
      <c r="BN53" s="4"/>
      <c r="BO53" s="159"/>
      <c r="BP53" s="159"/>
      <c r="BQ53" s="160"/>
      <c r="BR53" s="49">
        <v>2</v>
      </c>
      <c r="BS53" s="50"/>
      <c r="BT53" s="51">
        <v>0</v>
      </c>
      <c r="BU53" s="50"/>
      <c r="BV53" s="51">
        <v>0</v>
      </c>
      <c r="BW53" s="52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2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135</v>
      </c>
      <c r="K60" s="25"/>
      <c r="L60" s="26"/>
      <c r="M60" s="38" t="s">
        <v>111</v>
      </c>
      <c r="N60" s="39"/>
      <c r="O60" s="40"/>
      <c r="P60" s="4"/>
      <c r="Q60" s="4"/>
      <c r="R60" s="4"/>
      <c r="S60" s="4"/>
      <c r="T60" s="24" t="s">
        <v>136</v>
      </c>
      <c r="U60" s="25"/>
      <c r="V60" s="26"/>
      <c r="W60" s="38" t="s">
        <v>110</v>
      </c>
      <c r="X60" s="39"/>
      <c r="Y60" s="40"/>
      <c r="Z60" s="4"/>
      <c r="AA60" s="4"/>
      <c r="AB60" s="4"/>
      <c r="AC60" s="4"/>
      <c r="AD60" s="24" t="s">
        <v>19</v>
      </c>
      <c r="AE60" s="25"/>
      <c r="AF60" s="26"/>
      <c r="AG60" s="38">
        <v>344</v>
      </c>
      <c r="AH60" s="102"/>
      <c r="AI60" s="103"/>
      <c r="AJ60" s="4"/>
      <c r="AK60" s="4"/>
      <c r="AL60" s="4"/>
      <c r="AM60" s="4"/>
      <c r="AN60" s="24" t="s">
        <v>19</v>
      </c>
      <c r="AO60" s="25"/>
      <c r="AP60" s="26"/>
      <c r="AQ60" s="38">
        <v>362</v>
      </c>
      <c r="AR60" s="102"/>
      <c r="AS60" s="103"/>
      <c r="AT60" s="4"/>
      <c r="AU60" s="4"/>
      <c r="AV60" s="4"/>
      <c r="AW60" s="4"/>
      <c r="AX60" s="24" t="s">
        <v>137</v>
      </c>
      <c r="AY60" s="25"/>
      <c r="AZ60" s="26"/>
      <c r="BA60" s="38" t="s">
        <v>111</v>
      </c>
      <c r="BB60" s="39"/>
      <c r="BC60" s="40"/>
      <c r="BD60" s="4"/>
      <c r="BE60" s="4"/>
      <c r="BF60" s="4"/>
      <c r="BG60" s="4"/>
      <c r="BH60" s="24" t="s">
        <v>167</v>
      </c>
      <c r="BI60" s="25"/>
      <c r="BJ60" s="26"/>
      <c r="BK60" s="38">
        <v>215</v>
      </c>
      <c r="BL60" s="39"/>
      <c r="BM60" s="40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900</v>
      </c>
      <c r="H61" s="2"/>
      <c r="I61" s="2"/>
      <c r="J61" s="114" t="s">
        <v>134</v>
      </c>
      <c r="K61" s="115"/>
      <c r="L61" s="115"/>
      <c r="M61" s="115"/>
      <c r="N61" s="116"/>
      <c r="O61" s="117"/>
      <c r="P61" s="4"/>
      <c r="Q61" s="4"/>
      <c r="R61" s="4"/>
      <c r="S61" s="4"/>
      <c r="T61" s="30" t="s">
        <v>28</v>
      </c>
      <c r="U61" s="31"/>
      <c r="V61" s="31"/>
      <c r="W61" s="31"/>
      <c r="X61" s="32"/>
      <c r="Y61" s="33"/>
      <c r="Z61" s="4"/>
      <c r="AA61" s="4"/>
      <c r="AB61" s="4"/>
      <c r="AC61" s="4"/>
      <c r="AD61" s="94" t="s">
        <v>71</v>
      </c>
      <c r="AE61" s="95"/>
      <c r="AF61" s="95"/>
      <c r="AG61" s="95"/>
      <c r="AH61" s="96"/>
      <c r="AI61" s="97"/>
      <c r="AJ61" s="4"/>
      <c r="AK61" s="4"/>
      <c r="AL61" s="4"/>
      <c r="AM61" s="4"/>
      <c r="AN61" s="94" t="s">
        <v>83</v>
      </c>
      <c r="AO61" s="95"/>
      <c r="AP61" s="95"/>
      <c r="AQ61" s="95"/>
      <c r="AR61" s="96"/>
      <c r="AS61" s="97"/>
      <c r="AT61" s="4"/>
      <c r="AU61" s="4"/>
      <c r="AV61" s="4"/>
      <c r="AW61" s="4"/>
      <c r="AX61" s="76" t="s">
        <v>138</v>
      </c>
      <c r="AY61" s="77"/>
      <c r="AZ61" s="77"/>
      <c r="BA61" s="77"/>
      <c r="BB61" s="77"/>
      <c r="BC61" s="78"/>
      <c r="BD61" s="4"/>
      <c r="BE61" s="4"/>
      <c r="BF61" s="4"/>
      <c r="BG61" s="4"/>
      <c r="BH61" s="30" t="s">
        <v>168</v>
      </c>
      <c r="BI61" s="31"/>
      <c r="BJ61" s="31"/>
      <c r="BK61" s="31"/>
      <c r="BL61" s="32"/>
      <c r="BM61" s="33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110">
        <v>2</v>
      </c>
      <c r="K62" s="111"/>
      <c r="L62" s="108">
        <v>2</v>
      </c>
      <c r="M62" s="111"/>
      <c r="N62" s="108">
        <v>90</v>
      </c>
      <c r="O62" s="109"/>
      <c r="P62" s="4"/>
      <c r="Q62" s="4"/>
      <c r="R62" s="4"/>
      <c r="S62" s="4"/>
      <c r="T62" s="34">
        <v>3</v>
      </c>
      <c r="U62" s="35"/>
      <c r="V62" s="36">
        <v>4</v>
      </c>
      <c r="W62" s="35"/>
      <c r="X62" s="36">
        <v>150</v>
      </c>
      <c r="Y62" s="37"/>
      <c r="Z62" s="4"/>
      <c r="AA62" s="4"/>
      <c r="AB62" s="4"/>
      <c r="AC62" s="4"/>
      <c r="AD62" s="98">
        <v>3</v>
      </c>
      <c r="AE62" s="99"/>
      <c r="AF62" s="100">
        <v>6</v>
      </c>
      <c r="AG62" s="99"/>
      <c r="AH62" s="100">
        <v>180</v>
      </c>
      <c r="AI62" s="101"/>
      <c r="AJ62" s="4"/>
      <c r="AK62" s="4"/>
      <c r="AL62" s="4"/>
      <c r="AM62" s="4"/>
      <c r="AN62" s="98">
        <v>3</v>
      </c>
      <c r="AO62" s="99"/>
      <c r="AP62" s="100">
        <v>6</v>
      </c>
      <c r="AQ62" s="99"/>
      <c r="AR62" s="100">
        <v>180</v>
      </c>
      <c r="AS62" s="101"/>
      <c r="AT62" s="4"/>
      <c r="AU62" s="4"/>
      <c r="AV62" s="4"/>
      <c r="AW62" s="4"/>
      <c r="AX62" s="79">
        <v>3</v>
      </c>
      <c r="AY62" s="80"/>
      <c r="AZ62" s="81">
        <v>7</v>
      </c>
      <c r="BA62" s="80"/>
      <c r="BB62" s="81">
        <v>195</v>
      </c>
      <c r="BC62" s="82"/>
      <c r="BD62" s="4"/>
      <c r="BE62" s="4"/>
      <c r="BF62" s="4"/>
      <c r="BG62" s="4"/>
      <c r="BH62" s="34">
        <v>2</v>
      </c>
      <c r="BI62" s="35"/>
      <c r="BJ62" s="36">
        <v>4</v>
      </c>
      <c r="BK62" s="35"/>
      <c r="BL62" s="36">
        <v>105</v>
      </c>
      <c r="BM62" s="37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16</v>
      </c>
      <c r="F63" s="11">
        <f>SUM(J63:BM63)</f>
        <v>29</v>
      </c>
      <c r="G63" s="105"/>
      <c r="H63" s="2"/>
      <c r="I63" s="2"/>
      <c r="J63" s="112">
        <v>2</v>
      </c>
      <c r="K63" s="113"/>
      <c r="L63" s="106">
        <v>0</v>
      </c>
      <c r="M63" s="113"/>
      <c r="N63" s="106">
        <v>0</v>
      </c>
      <c r="O63" s="107"/>
      <c r="P63" s="4"/>
      <c r="Q63" s="4"/>
      <c r="R63" s="4"/>
      <c r="S63" s="4"/>
      <c r="T63" s="20">
        <v>2</v>
      </c>
      <c r="U63" s="21"/>
      <c r="V63" s="22">
        <v>2</v>
      </c>
      <c r="W63" s="21"/>
      <c r="X63" s="22">
        <v>0</v>
      </c>
      <c r="Y63" s="23"/>
      <c r="Z63" s="4"/>
      <c r="AA63" s="4"/>
      <c r="AB63" s="4"/>
      <c r="AC63" s="4"/>
      <c r="AD63" s="72">
        <v>3</v>
      </c>
      <c r="AE63" s="73"/>
      <c r="AF63" s="68">
        <v>3</v>
      </c>
      <c r="AG63" s="73"/>
      <c r="AH63" s="68">
        <v>0</v>
      </c>
      <c r="AI63" s="69"/>
      <c r="AJ63" s="4"/>
      <c r="AK63" s="4"/>
      <c r="AL63" s="4"/>
      <c r="AM63" s="4"/>
      <c r="AN63" s="72">
        <v>3</v>
      </c>
      <c r="AO63" s="73"/>
      <c r="AP63" s="68">
        <v>3</v>
      </c>
      <c r="AQ63" s="73"/>
      <c r="AR63" s="68">
        <v>0</v>
      </c>
      <c r="AS63" s="69"/>
      <c r="AT63" s="4"/>
      <c r="AU63" s="4"/>
      <c r="AV63" s="4"/>
      <c r="AW63" s="4"/>
      <c r="AX63" s="83">
        <v>3</v>
      </c>
      <c r="AY63" s="84"/>
      <c r="AZ63" s="85">
        <v>2</v>
      </c>
      <c r="BA63" s="84"/>
      <c r="BB63" s="85">
        <v>2</v>
      </c>
      <c r="BC63" s="86"/>
      <c r="BD63" s="4"/>
      <c r="BE63" s="4"/>
      <c r="BF63" s="4"/>
      <c r="BG63" s="4"/>
      <c r="BH63" s="20">
        <v>2</v>
      </c>
      <c r="BI63" s="21"/>
      <c r="BJ63" s="22">
        <v>1</v>
      </c>
      <c r="BK63" s="21"/>
      <c r="BL63" s="22">
        <v>1</v>
      </c>
      <c r="BM63" s="23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136</v>
      </c>
      <c r="K68" s="25"/>
      <c r="L68" s="26"/>
      <c r="M68" s="38" t="s">
        <v>110</v>
      </c>
      <c r="N68" s="39"/>
      <c r="O68" s="40"/>
      <c r="P68" s="4"/>
      <c r="Q68" s="4"/>
      <c r="R68" s="4"/>
      <c r="S68" s="4"/>
      <c r="T68" s="24" t="s">
        <v>19</v>
      </c>
      <c r="U68" s="25"/>
      <c r="V68" s="26"/>
      <c r="W68" s="38">
        <v>363</v>
      </c>
      <c r="X68" s="102"/>
      <c r="Y68" s="103"/>
      <c r="Z68" s="4"/>
      <c r="AA68" s="4"/>
      <c r="AB68" s="4"/>
      <c r="AC68" s="4"/>
      <c r="AD68" s="24" t="s">
        <v>19</v>
      </c>
      <c r="AE68" s="25"/>
      <c r="AF68" s="26"/>
      <c r="AG68" s="38">
        <v>322</v>
      </c>
      <c r="AH68" s="102"/>
      <c r="AI68" s="103"/>
      <c r="AJ68" s="4"/>
      <c r="AK68" s="4"/>
      <c r="AL68" s="4"/>
      <c r="AM68" s="4"/>
      <c r="AN68" s="24" t="s">
        <v>137</v>
      </c>
      <c r="AO68" s="25"/>
      <c r="AP68" s="26"/>
      <c r="AQ68" s="38" t="s">
        <v>111</v>
      </c>
      <c r="AR68" s="39"/>
      <c r="AS68" s="40"/>
      <c r="AT68" s="4"/>
      <c r="AU68" s="4"/>
      <c r="AV68" s="4"/>
      <c r="AW68" s="4"/>
      <c r="AX68" s="24" t="s">
        <v>137</v>
      </c>
      <c r="AY68" s="25"/>
      <c r="AZ68" s="26"/>
      <c r="BA68" s="38" t="s">
        <v>111</v>
      </c>
      <c r="BB68" s="39"/>
      <c r="BC68" s="40"/>
      <c r="BD68" s="4"/>
      <c r="BE68" s="4"/>
      <c r="BF68" s="4"/>
      <c r="BG68" s="4"/>
      <c r="BH68" s="24" t="s">
        <v>19</v>
      </c>
      <c r="BI68" s="25"/>
      <c r="BJ68" s="26"/>
      <c r="BK68" s="38">
        <v>392</v>
      </c>
      <c r="BL68" s="39"/>
      <c r="BM68" s="40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930</v>
      </c>
      <c r="H69" s="2"/>
      <c r="I69" s="2"/>
      <c r="J69" s="30" t="s">
        <v>29</v>
      </c>
      <c r="K69" s="31"/>
      <c r="L69" s="31"/>
      <c r="M69" s="31"/>
      <c r="N69" s="32"/>
      <c r="O69" s="33"/>
      <c r="P69" s="4"/>
      <c r="Q69" s="4"/>
      <c r="R69" s="4"/>
      <c r="S69" s="4"/>
      <c r="T69" s="53" t="s">
        <v>72</v>
      </c>
      <c r="U69" s="54"/>
      <c r="V69" s="54"/>
      <c r="W69" s="54"/>
      <c r="X69" s="55"/>
      <c r="Y69" s="56"/>
      <c r="Z69" s="4"/>
      <c r="AA69" s="4"/>
      <c r="AB69" s="4"/>
      <c r="AC69" s="4"/>
      <c r="AD69" s="94" t="s">
        <v>73</v>
      </c>
      <c r="AE69" s="95"/>
      <c r="AF69" s="95"/>
      <c r="AG69" s="95"/>
      <c r="AH69" s="96"/>
      <c r="AI69" s="97"/>
      <c r="AJ69" s="4"/>
      <c r="AK69" s="4"/>
      <c r="AL69" s="4"/>
      <c r="AM69" s="4"/>
      <c r="AN69" s="76" t="s">
        <v>139</v>
      </c>
      <c r="AO69" s="77"/>
      <c r="AP69" s="77"/>
      <c r="AQ69" s="77"/>
      <c r="AR69" s="77"/>
      <c r="AS69" s="78"/>
      <c r="AT69" s="4"/>
      <c r="AU69" s="4"/>
      <c r="AV69" s="4"/>
      <c r="AW69" s="4"/>
      <c r="AX69" s="76" t="s">
        <v>140</v>
      </c>
      <c r="AY69" s="77"/>
      <c r="AZ69" s="77"/>
      <c r="BA69" s="77"/>
      <c r="BB69" s="77"/>
      <c r="BC69" s="78"/>
      <c r="BD69" s="4"/>
      <c r="BE69" s="4"/>
      <c r="BF69" s="4"/>
      <c r="BG69" s="4"/>
      <c r="BH69" s="41" t="s">
        <v>153</v>
      </c>
      <c r="BI69" s="42"/>
      <c r="BJ69" s="42"/>
      <c r="BK69" s="42"/>
      <c r="BL69" s="43"/>
      <c r="BM69" s="4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34">
        <v>3</v>
      </c>
      <c r="K70" s="35"/>
      <c r="L70" s="36">
        <v>4</v>
      </c>
      <c r="M70" s="35"/>
      <c r="N70" s="36">
        <v>150</v>
      </c>
      <c r="O70" s="37"/>
      <c r="P70" s="4"/>
      <c r="Q70" s="4"/>
      <c r="R70" s="4"/>
      <c r="S70" s="4"/>
      <c r="T70" s="57">
        <v>3</v>
      </c>
      <c r="U70" s="58"/>
      <c r="V70" s="59">
        <v>6</v>
      </c>
      <c r="W70" s="58"/>
      <c r="X70" s="59">
        <v>180</v>
      </c>
      <c r="Y70" s="91"/>
      <c r="Z70" s="4"/>
      <c r="AA70" s="4"/>
      <c r="AB70" s="4"/>
      <c r="AC70" s="4"/>
      <c r="AD70" s="98">
        <v>3</v>
      </c>
      <c r="AE70" s="99"/>
      <c r="AF70" s="100">
        <v>6</v>
      </c>
      <c r="AG70" s="99"/>
      <c r="AH70" s="100">
        <v>180</v>
      </c>
      <c r="AI70" s="101"/>
      <c r="AJ70" s="4"/>
      <c r="AK70" s="4"/>
      <c r="AL70" s="4"/>
      <c r="AM70" s="4"/>
      <c r="AN70" s="79">
        <v>3</v>
      </c>
      <c r="AO70" s="80"/>
      <c r="AP70" s="81">
        <v>7</v>
      </c>
      <c r="AQ70" s="80"/>
      <c r="AR70" s="81">
        <v>195</v>
      </c>
      <c r="AS70" s="82"/>
      <c r="AT70" s="4"/>
      <c r="AU70" s="4"/>
      <c r="AV70" s="4"/>
      <c r="AW70" s="4"/>
      <c r="AX70" s="79">
        <v>3</v>
      </c>
      <c r="AY70" s="80"/>
      <c r="AZ70" s="81">
        <v>7</v>
      </c>
      <c r="BA70" s="80"/>
      <c r="BB70" s="81">
        <v>195</v>
      </c>
      <c r="BC70" s="82"/>
      <c r="BD70" s="4"/>
      <c r="BE70" s="4"/>
      <c r="BF70" s="4"/>
      <c r="BG70" s="4"/>
      <c r="BH70" s="45">
        <v>1</v>
      </c>
      <c r="BI70" s="46"/>
      <c r="BJ70" s="47">
        <v>2</v>
      </c>
      <c r="BK70" s="46"/>
      <c r="BL70" s="47">
        <v>30</v>
      </c>
      <c r="BM70" s="48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SUM(J70,T70,AD70,AN70,AX70,BH70)</f>
        <v>16</v>
      </c>
      <c r="F71" s="11">
        <f>L70+V70+AF70+AP70+AZ70+BJ70</f>
        <v>32</v>
      </c>
      <c r="G71" s="105"/>
      <c r="H71" s="2"/>
      <c r="I71" s="2"/>
      <c r="J71" s="20">
        <v>2</v>
      </c>
      <c r="K71" s="21"/>
      <c r="L71" s="22">
        <v>2</v>
      </c>
      <c r="M71" s="21"/>
      <c r="N71" s="22">
        <v>0</v>
      </c>
      <c r="O71" s="23"/>
      <c r="P71" s="4"/>
      <c r="Q71" s="4"/>
      <c r="R71" s="4"/>
      <c r="S71" s="4"/>
      <c r="T71" s="92">
        <v>3</v>
      </c>
      <c r="U71" s="93"/>
      <c r="V71" s="70">
        <v>3</v>
      </c>
      <c r="W71" s="93"/>
      <c r="X71" s="70">
        <v>0</v>
      </c>
      <c r="Y71" s="71"/>
      <c r="Z71" s="4"/>
      <c r="AA71" s="4"/>
      <c r="AB71" s="4"/>
      <c r="AC71" s="4"/>
      <c r="AD71" s="72">
        <v>3</v>
      </c>
      <c r="AE71" s="73"/>
      <c r="AF71" s="68">
        <v>3</v>
      </c>
      <c r="AG71" s="73"/>
      <c r="AH71" s="68">
        <v>0</v>
      </c>
      <c r="AI71" s="69"/>
      <c r="AJ71" s="4"/>
      <c r="AK71" s="4"/>
      <c r="AL71" s="4"/>
      <c r="AM71" s="4"/>
      <c r="AN71" s="83">
        <v>3</v>
      </c>
      <c r="AO71" s="84"/>
      <c r="AP71" s="85">
        <v>2</v>
      </c>
      <c r="AQ71" s="84"/>
      <c r="AR71" s="85">
        <v>2</v>
      </c>
      <c r="AS71" s="86"/>
      <c r="AT71" s="4"/>
      <c r="AU71" s="4"/>
      <c r="AV71" s="4"/>
      <c r="AW71" s="4"/>
      <c r="AX71" s="83">
        <v>3</v>
      </c>
      <c r="AY71" s="84"/>
      <c r="AZ71" s="85">
        <v>2</v>
      </c>
      <c r="BA71" s="84"/>
      <c r="BB71" s="85">
        <v>2</v>
      </c>
      <c r="BC71" s="86"/>
      <c r="BD71" s="4"/>
      <c r="BE71" s="4"/>
      <c r="BF71" s="4"/>
      <c r="BG71" s="4"/>
      <c r="BH71" s="49">
        <v>2</v>
      </c>
      <c r="BI71" s="50"/>
      <c r="BJ71" s="51">
        <v>0</v>
      </c>
      <c r="BK71" s="50"/>
      <c r="BL71" s="51">
        <v>0</v>
      </c>
      <c r="BM71" s="52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thickBot="1" x14ac:dyDescent="0.35"/>
    <row r="77" spans="2:135" ht="10.050000000000001" customHeight="1" thickTop="1" thickBot="1" x14ac:dyDescent="0.35">
      <c r="B77" s="118" t="s">
        <v>1</v>
      </c>
      <c r="C77" s="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>
        <v>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I77" s="63" t="s">
        <v>15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6"/>
    </row>
    <row r="78" spans="2:135" ht="15" customHeight="1" x14ac:dyDescent="0.3">
      <c r="B78" s="118"/>
      <c r="C78" s="1"/>
      <c r="D78" s="119" t="s">
        <v>5</v>
      </c>
      <c r="E78" s="11"/>
      <c r="F78" s="11"/>
      <c r="G78" s="2"/>
      <c r="H78" s="2"/>
      <c r="I78" s="2"/>
      <c r="J78" s="24" t="s">
        <v>141</v>
      </c>
      <c r="K78" s="25"/>
      <c r="L78" s="26"/>
      <c r="M78" s="38" t="s">
        <v>111</v>
      </c>
      <c r="N78" s="39"/>
      <c r="O78" s="40"/>
      <c r="P78" s="4"/>
      <c r="Q78" s="4"/>
      <c r="R78" s="4"/>
      <c r="S78" s="4"/>
      <c r="T78" s="24" t="s">
        <v>19</v>
      </c>
      <c r="U78" s="25"/>
      <c r="V78" s="26"/>
      <c r="W78" s="38">
        <v>464</v>
      </c>
      <c r="X78" s="102"/>
      <c r="Y78" s="103"/>
      <c r="Z78" s="4"/>
      <c r="AA78" s="4"/>
      <c r="AB78" s="4"/>
      <c r="AC78" s="4"/>
      <c r="AD78" s="24" t="s">
        <v>19</v>
      </c>
      <c r="AE78" s="25"/>
      <c r="AF78" s="26"/>
      <c r="AG78" s="38">
        <v>427</v>
      </c>
      <c r="AH78" s="102"/>
      <c r="AI78" s="103"/>
      <c r="AJ78" s="4"/>
      <c r="AK78" s="4"/>
      <c r="AL78" s="4"/>
      <c r="AM78" s="4"/>
      <c r="AN78" s="24" t="s">
        <v>137</v>
      </c>
      <c r="AO78" s="25"/>
      <c r="AP78" s="26"/>
      <c r="AQ78" s="38" t="s">
        <v>112</v>
      </c>
      <c r="AR78" s="39"/>
      <c r="AS78" s="40"/>
      <c r="AT78" s="4"/>
      <c r="AU78" s="4"/>
      <c r="AV78" s="4"/>
      <c r="AW78" s="4"/>
      <c r="AX78" s="24" t="s">
        <v>19</v>
      </c>
      <c r="AY78" s="25"/>
      <c r="AZ78" s="26"/>
      <c r="BA78" s="38">
        <v>493</v>
      </c>
      <c r="BB78" s="39"/>
      <c r="BC78" s="40"/>
      <c r="BD78" s="4"/>
      <c r="BE78" s="4"/>
      <c r="BF78" s="4"/>
      <c r="BG78" s="4"/>
      <c r="BI78" s="64"/>
      <c r="BJ78" s="137" t="s">
        <v>65</v>
      </c>
      <c r="BK78" s="17"/>
      <c r="BL78" s="16"/>
      <c r="BR78" s="123" t="s">
        <v>7</v>
      </c>
      <c r="BS78" s="124"/>
      <c r="BT78" s="124"/>
      <c r="BU78" s="124"/>
      <c r="BV78" s="125"/>
      <c r="BW78" s="126"/>
      <c r="CA78" s="8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79" s="118"/>
      <c r="C79" s="1"/>
      <c r="D79" s="119"/>
      <c r="E79" s="120" t="s">
        <v>16</v>
      </c>
      <c r="F79" s="120" t="s">
        <v>17</v>
      </c>
      <c r="G79" s="13">
        <f>SUM(N80,X80,AH80,AR80,BB80,BL80)</f>
        <v>765</v>
      </c>
      <c r="H79" s="2"/>
      <c r="I79" s="2"/>
      <c r="J79" s="114" t="s">
        <v>142</v>
      </c>
      <c r="K79" s="115"/>
      <c r="L79" s="115"/>
      <c r="M79" s="115"/>
      <c r="N79" s="116"/>
      <c r="O79" s="117"/>
      <c r="P79" s="4"/>
      <c r="Q79" s="4"/>
      <c r="R79" s="4"/>
      <c r="S79" s="4"/>
      <c r="T79" s="53" t="s">
        <v>74</v>
      </c>
      <c r="U79" s="54"/>
      <c r="V79" s="54"/>
      <c r="W79" s="54"/>
      <c r="X79" s="55"/>
      <c r="Y79" s="56"/>
      <c r="Z79" s="4"/>
      <c r="AA79" s="4"/>
      <c r="AB79" s="4"/>
      <c r="AC79" s="4"/>
      <c r="AD79" s="94" t="s">
        <v>84</v>
      </c>
      <c r="AE79" s="95"/>
      <c r="AF79" s="95"/>
      <c r="AG79" s="95"/>
      <c r="AH79" s="96"/>
      <c r="AI79" s="97"/>
      <c r="AJ79" s="4"/>
      <c r="AK79" s="4"/>
      <c r="AL79" s="4"/>
      <c r="AM79" s="4"/>
      <c r="AN79" s="76" t="s">
        <v>143</v>
      </c>
      <c r="AO79" s="77"/>
      <c r="AP79" s="77"/>
      <c r="AQ79" s="77"/>
      <c r="AR79" s="77"/>
      <c r="AS79" s="78"/>
      <c r="AT79" s="4"/>
      <c r="AU79" s="4"/>
      <c r="AV79" s="4"/>
      <c r="AW79" s="4"/>
      <c r="AX79" s="41" t="s">
        <v>63</v>
      </c>
      <c r="AY79" s="42"/>
      <c r="AZ79" s="42"/>
      <c r="BA79" s="42"/>
      <c r="BB79" s="43"/>
      <c r="BC79" s="44"/>
      <c r="BD79" s="4"/>
      <c r="BE79" s="4"/>
      <c r="BF79" s="4"/>
      <c r="BG79" s="4"/>
      <c r="BI79" s="64"/>
      <c r="BJ79" s="137"/>
      <c r="BK79" s="17"/>
      <c r="BL79" s="16"/>
      <c r="BR79" s="127" t="s">
        <v>8</v>
      </c>
      <c r="BS79" s="128"/>
      <c r="BT79" s="128"/>
      <c r="BU79" s="128"/>
      <c r="BV79" s="129"/>
      <c r="BW79" s="130"/>
      <c r="CA79" s="8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80" s="118"/>
      <c r="C80" s="1"/>
      <c r="D80" s="119"/>
      <c r="E80" s="120"/>
      <c r="F80" s="120"/>
      <c r="G80" s="105"/>
      <c r="H80" s="121"/>
      <c r="I80" s="122"/>
      <c r="J80" s="110">
        <v>2</v>
      </c>
      <c r="K80" s="111"/>
      <c r="L80" s="108">
        <v>2</v>
      </c>
      <c r="M80" s="111"/>
      <c r="N80" s="108">
        <v>90</v>
      </c>
      <c r="O80" s="109"/>
      <c r="P80" s="4"/>
      <c r="Q80" s="4"/>
      <c r="R80" s="4"/>
      <c r="S80" s="4"/>
      <c r="T80" s="57">
        <v>3</v>
      </c>
      <c r="U80" s="58"/>
      <c r="V80" s="59">
        <v>6</v>
      </c>
      <c r="W80" s="58"/>
      <c r="X80" s="59">
        <v>180</v>
      </c>
      <c r="Y80" s="91"/>
      <c r="Z80" s="4"/>
      <c r="AA80" s="4"/>
      <c r="AB80" s="4"/>
      <c r="AC80" s="4"/>
      <c r="AD80" s="98">
        <v>3</v>
      </c>
      <c r="AE80" s="99"/>
      <c r="AF80" s="100">
        <v>6</v>
      </c>
      <c r="AG80" s="99"/>
      <c r="AH80" s="100">
        <v>180</v>
      </c>
      <c r="AI80" s="101"/>
      <c r="AJ80" s="4"/>
      <c r="AK80" s="4"/>
      <c r="AL80" s="4"/>
      <c r="AM80" s="4"/>
      <c r="AN80" s="79">
        <v>3</v>
      </c>
      <c r="AO80" s="80"/>
      <c r="AP80" s="81">
        <v>7</v>
      </c>
      <c r="AQ80" s="80"/>
      <c r="AR80" s="81">
        <v>195</v>
      </c>
      <c r="AS80" s="82"/>
      <c r="AT80" s="4"/>
      <c r="AU80" s="4"/>
      <c r="AV80" s="4"/>
      <c r="AW80" s="4"/>
      <c r="AX80" s="45">
        <v>3</v>
      </c>
      <c r="AY80" s="46"/>
      <c r="AZ80" s="47">
        <v>2</v>
      </c>
      <c r="BA80" s="46"/>
      <c r="BB80" s="47">
        <v>120</v>
      </c>
      <c r="BC80" s="48"/>
      <c r="BD80" s="4"/>
      <c r="BE80" s="4"/>
      <c r="BF80" s="4"/>
      <c r="BG80" s="4"/>
      <c r="BI80" s="64"/>
      <c r="BJ80" s="137"/>
      <c r="BK80" s="17"/>
      <c r="BL80" s="16"/>
      <c r="BR80" s="66" t="s">
        <v>9</v>
      </c>
      <c r="BS80" s="67"/>
      <c r="BT80" s="131" t="s">
        <v>18</v>
      </c>
      <c r="BU80" s="67"/>
      <c r="BV80" s="131" t="s">
        <v>10</v>
      </c>
      <c r="BW80" s="132"/>
      <c r="CA80" s="8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2:135" ht="15" thickBot="1" x14ac:dyDescent="0.35">
      <c r="B81" s="118"/>
      <c r="C81" s="1"/>
      <c r="D81" s="119"/>
      <c r="E81" s="11">
        <f>SUM(J80,T80,AD80,AN80,AX80)</f>
        <v>14</v>
      </c>
      <c r="F81" s="11">
        <f>SUM(J81:BC81)</f>
        <v>23</v>
      </c>
      <c r="G81" s="105"/>
      <c r="H81" s="2"/>
      <c r="I81" s="2"/>
      <c r="J81" s="112">
        <v>2</v>
      </c>
      <c r="K81" s="113"/>
      <c r="L81" s="106">
        <v>0</v>
      </c>
      <c r="M81" s="113"/>
      <c r="N81" s="106">
        <v>0</v>
      </c>
      <c r="O81" s="107"/>
      <c r="P81" s="4"/>
      <c r="Q81" s="4"/>
      <c r="R81" s="4"/>
      <c r="S81" s="4"/>
      <c r="T81" s="92">
        <v>3</v>
      </c>
      <c r="U81" s="93"/>
      <c r="V81" s="70">
        <v>3</v>
      </c>
      <c r="W81" s="93"/>
      <c r="X81" s="70">
        <v>0</v>
      </c>
      <c r="Y81" s="71"/>
      <c r="Z81" s="4"/>
      <c r="AA81" s="4"/>
      <c r="AB81" s="4"/>
      <c r="AC81" s="4"/>
      <c r="AD81" s="72">
        <v>3</v>
      </c>
      <c r="AE81" s="73"/>
      <c r="AF81" s="68">
        <v>3</v>
      </c>
      <c r="AG81" s="73"/>
      <c r="AH81" s="68">
        <v>0</v>
      </c>
      <c r="AI81" s="69"/>
      <c r="AJ81" s="4"/>
      <c r="AK81" s="4"/>
      <c r="AL81" s="4"/>
      <c r="AM81" s="4"/>
      <c r="AN81" s="83">
        <v>3</v>
      </c>
      <c r="AO81" s="84"/>
      <c r="AP81" s="85">
        <v>2</v>
      </c>
      <c r="AQ81" s="84"/>
      <c r="AR81" s="85">
        <v>2</v>
      </c>
      <c r="AS81" s="86"/>
      <c r="AT81" s="4"/>
      <c r="AU81" s="4"/>
      <c r="AV81" s="4"/>
      <c r="AW81" s="4"/>
      <c r="AX81" s="49">
        <v>2</v>
      </c>
      <c r="AY81" s="50"/>
      <c r="AZ81" s="51">
        <v>0</v>
      </c>
      <c r="BA81" s="50"/>
      <c r="BB81" s="51">
        <v>0</v>
      </c>
      <c r="BC81" s="52"/>
      <c r="BD81" s="4"/>
      <c r="BE81" s="4"/>
      <c r="BF81" s="4"/>
      <c r="BG81" s="4"/>
      <c r="BI81" s="64"/>
      <c r="BJ81" s="137"/>
      <c r="BK81" s="17"/>
      <c r="BL81" s="16"/>
      <c r="BR81" s="133" t="s">
        <v>11</v>
      </c>
      <c r="BS81" s="134"/>
      <c r="BT81" s="135" t="s">
        <v>12</v>
      </c>
      <c r="BU81" s="134"/>
      <c r="BV81" s="135" t="s">
        <v>13</v>
      </c>
      <c r="BW81" s="136"/>
      <c r="CA81" s="8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2:135" ht="10.050000000000001" customHeight="1" x14ac:dyDescent="0.3">
      <c r="B82" s="118"/>
      <c r="C82" s="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I82" s="64"/>
      <c r="BL82" s="16"/>
      <c r="CA82" s="8"/>
    </row>
    <row r="83" spans="2:135" ht="10.050000000000001" customHeight="1" x14ac:dyDescent="0.3">
      <c r="B83" s="118"/>
      <c r="C83" s="3"/>
      <c r="BI83" s="64"/>
      <c r="BL83" s="16"/>
      <c r="CA83" s="8"/>
    </row>
    <row r="84" spans="2:135" ht="10.050000000000001" customHeight="1" x14ac:dyDescent="0.3">
      <c r="B84" s="118"/>
      <c r="C84" s="3"/>
      <c r="BI84" s="64"/>
      <c r="BJ84" s="90"/>
      <c r="BL84" s="15"/>
      <c r="BN84" s="18"/>
      <c r="BO84" s="18"/>
      <c r="BP84" s="18"/>
      <c r="BQ84" s="18"/>
      <c r="BS84" s="60"/>
      <c r="BU84" s="75" t="s">
        <v>30</v>
      </c>
      <c r="BW84" s="61"/>
      <c r="CA84" s="8"/>
    </row>
    <row r="85" spans="2:135" ht="10.050000000000001" customHeight="1" thickBot="1" x14ac:dyDescent="0.35">
      <c r="B85" s="118"/>
      <c r="C85" s="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I85" s="64"/>
      <c r="BJ85" s="90"/>
      <c r="BL85" s="74" t="s">
        <v>22</v>
      </c>
      <c r="BN85" s="18"/>
      <c r="BO85" s="18"/>
      <c r="BP85" s="18"/>
      <c r="BQ85" s="18"/>
      <c r="BS85" s="60"/>
      <c r="BU85" s="75"/>
      <c r="BW85" s="61"/>
      <c r="CA85" s="8"/>
    </row>
    <row r="86" spans="2:135" ht="15" customHeight="1" x14ac:dyDescent="0.3">
      <c r="B86" s="118"/>
      <c r="C86" s="1"/>
      <c r="D86" s="119" t="s">
        <v>6</v>
      </c>
      <c r="E86" s="11"/>
      <c r="F86" s="11"/>
      <c r="G86" s="2"/>
      <c r="H86" s="2"/>
      <c r="I86" s="2"/>
      <c r="J86" s="24" t="s">
        <v>144</v>
      </c>
      <c r="K86" s="25"/>
      <c r="L86" s="26"/>
      <c r="M86" s="38" t="s">
        <v>111</v>
      </c>
      <c r="N86" s="39"/>
      <c r="O86" s="40"/>
      <c r="P86" s="4"/>
      <c r="Q86" s="4"/>
      <c r="R86" s="4"/>
      <c r="S86" s="4"/>
      <c r="T86" s="24" t="s">
        <v>19</v>
      </c>
      <c r="U86" s="25"/>
      <c r="V86" s="26"/>
      <c r="W86" s="38">
        <v>446</v>
      </c>
      <c r="X86" s="102"/>
      <c r="Y86" s="103"/>
      <c r="Z86" s="4"/>
      <c r="AA86" s="4"/>
      <c r="AB86" s="4"/>
      <c r="AC86" s="4"/>
      <c r="AD86" s="24" t="s">
        <v>19</v>
      </c>
      <c r="AE86" s="25"/>
      <c r="AF86" s="26"/>
      <c r="AG86" s="38">
        <v>465</v>
      </c>
      <c r="AH86" s="102"/>
      <c r="AI86" s="103"/>
      <c r="AJ86" s="4"/>
      <c r="AK86" s="4"/>
      <c r="AL86" s="4"/>
      <c r="AM86" s="4"/>
      <c r="AN86" s="24" t="s">
        <v>137</v>
      </c>
      <c r="AO86" s="25"/>
      <c r="AP86" s="26"/>
      <c r="AQ86" s="38" t="s">
        <v>112</v>
      </c>
      <c r="AR86" s="39"/>
      <c r="AS86" s="40"/>
      <c r="AT86" s="4"/>
      <c r="AU86" s="4"/>
      <c r="AV86" s="4"/>
      <c r="AW86" s="4"/>
      <c r="AX86" s="24" t="s">
        <v>19</v>
      </c>
      <c r="AY86" s="25"/>
      <c r="AZ86" s="26"/>
      <c r="BA86" s="38">
        <v>494</v>
      </c>
      <c r="BB86" s="39"/>
      <c r="BC86" s="40"/>
      <c r="BD86" s="4"/>
      <c r="BE86" s="4"/>
      <c r="BF86" s="4"/>
      <c r="BG86" s="4"/>
      <c r="BI86" s="64"/>
      <c r="BJ86" s="90" t="s">
        <v>31</v>
      </c>
      <c r="BK86" s="7"/>
      <c r="BL86" s="74"/>
      <c r="BM86" s="7"/>
      <c r="BN86" s="62" t="s">
        <v>14</v>
      </c>
      <c r="BO86" s="62"/>
      <c r="BP86" s="62"/>
      <c r="BQ86" s="62"/>
      <c r="BR86" s="7"/>
      <c r="BS86" s="60" t="s">
        <v>46</v>
      </c>
      <c r="BT86" s="7"/>
      <c r="BU86" s="75"/>
      <c r="BV86" s="7"/>
      <c r="BW86" s="61" t="s">
        <v>62</v>
      </c>
      <c r="CA86" s="8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2:135" ht="48.75" customHeight="1" x14ac:dyDescent="0.3">
      <c r="B87" s="118"/>
      <c r="C87" s="1"/>
      <c r="D87" s="119"/>
      <c r="E87" s="120" t="s">
        <v>16</v>
      </c>
      <c r="F87" s="120" t="s">
        <v>17</v>
      </c>
      <c r="G87" s="13">
        <f>SUM(N88,X88,AH88,AR88,BB88,BL88)</f>
        <v>765</v>
      </c>
      <c r="H87" s="2"/>
      <c r="I87" s="2"/>
      <c r="J87" s="114" t="s">
        <v>106</v>
      </c>
      <c r="K87" s="115"/>
      <c r="L87" s="115"/>
      <c r="M87" s="115"/>
      <c r="N87" s="116"/>
      <c r="O87" s="117"/>
      <c r="P87" s="4"/>
      <c r="Q87" s="4"/>
      <c r="R87" s="4"/>
      <c r="S87" s="4"/>
      <c r="T87" s="94" t="s">
        <v>76</v>
      </c>
      <c r="U87" s="95"/>
      <c r="V87" s="95"/>
      <c r="W87" s="95"/>
      <c r="X87" s="96"/>
      <c r="Y87" s="97"/>
      <c r="Z87" s="4"/>
      <c r="AA87" s="4"/>
      <c r="AB87" s="4"/>
      <c r="AC87" s="4"/>
      <c r="AD87" s="94" t="s">
        <v>85</v>
      </c>
      <c r="AE87" s="95"/>
      <c r="AF87" s="95"/>
      <c r="AG87" s="95"/>
      <c r="AH87" s="96"/>
      <c r="AI87" s="97"/>
      <c r="AJ87" s="4"/>
      <c r="AK87" s="4"/>
      <c r="AL87" s="4"/>
      <c r="AM87" s="4"/>
      <c r="AN87" s="76" t="s">
        <v>145</v>
      </c>
      <c r="AO87" s="77"/>
      <c r="AP87" s="77"/>
      <c r="AQ87" s="77"/>
      <c r="AR87" s="77"/>
      <c r="AS87" s="78"/>
      <c r="AT87" s="4"/>
      <c r="AU87" s="4"/>
      <c r="AV87" s="4"/>
      <c r="AW87" s="4"/>
      <c r="AX87" s="41" t="s">
        <v>64</v>
      </c>
      <c r="AY87" s="42"/>
      <c r="AZ87" s="42"/>
      <c r="BA87" s="42"/>
      <c r="BB87" s="43"/>
      <c r="BC87" s="44"/>
      <c r="BD87" s="4"/>
      <c r="BE87" s="4"/>
      <c r="BF87" s="4"/>
      <c r="BG87" s="4"/>
      <c r="BI87" s="64"/>
      <c r="BJ87" s="90"/>
      <c r="BK87" s="7"/>
      <c r="BL87" s="74"/>
      <c r="BM87" s="7"/>
      <c r="BN87" s="62"/>
      <c r="BO87" s="62"/>
      <c r="BP87" s="62"/>
      <c r="BQ87" s="62"/>
      <c r="BR87" s="7"/>
      <c r="BS87" s="60"/>
      <c r="BT87" s="7"/>
      <c r="BU87" s="75"/>
      <c r="BV87" s="7"/>
      <c r="BW87" s="61"/>
      <c r="CA87" s="8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2:135" x14ac:dyDescent="0.3">
      <c r="B88" s="118"/>
      <c r="C88" s="1"/>
      <c r="D88" s="119"/>
      <c r="E88" s="120"/>
      <c r="F88" s="120"/>
      <c r="G88" s="105"/>
      <c r="H88" s="121"/>
      <c r="I88" s="122"/>
      <c r="J88" s="110">
        <v>2</v>
      </c>
      <c r="K88" s="111"/>
      <c r="L88" s="108">
        <v>2</v>
      </c>
      <c r="M88" s="111"/>
      <c r="N88" s="108">
        <v>90</v>
      </c>
      <c r="O88" s="109"/>
      <c r="P88" s="4"/>
      <c r="Q88" s="4"/>
      <c r="R88" s="4"/>
      <c r="S88" s="4"/>
      <c r="T88" s="98">
        <v>3</v>
      </c>
      <c r="U88" s="99"/>
      <c r="V88" s="100">
        <v>6</v>
      </c>
      <c r="W88" s="99"/>
      <c r="X88" s="100">
        <v>180</v>
      </c>
      <c r="Y88" s="101"/>
      <c r="Z88" s="4"/>
      <c r="AA88" s="4"/>
      <c r="AB88" s="4"/>
      <c r="AC88" s="4"/>
      <c r="AD88" s="98">
        <v>3</v>
      </c>
      <c r="AE88" s="99"/>
      <c r="AF88" s="100">
        <v>6</v>
      </c>
      <c r="AG88" s="99"/>
      <c r="AH88" s="100">
        <v>180</v>
      </c>
      <c r="AI88" s="101"/>
      <c r="AJ88" s="4"/>
      <c r="AK88" s="4"/>
      <c r="AL88" s="4"/>
      <c r="AM88" s="4"/>
      <c r="AN88" s="79">
        <v>3</v>
      </c>
      <c r="AO88" s="80"/>
      <c r="AP88" s="81">
        <v>7</v>
      </c>
      <c r="AQ88" s="80"/>
      <c r="AR88" s="81">
        <v>195</v>
      </c>
      <c r="AS88" s="82"/>
      <c r="AT88" s="4"/>
      <c r="AU88" s="4"/>
      <c r="AV88" s="4"/>
      <c r="AW88" s="4"/>
      <c r="AX88" s="45">
        <v>3</v>
      </c>
      <c r="AY88" s="46"/>
      <c r="AZ88" s="47">
        <v>2</v>
      </c>
      <c r="BA88" s="46"/>
      <c r="BB88" s="47">
        <v>120</v>
      </c>
      <c r="BC88" s="48"/>
      <c r="BD88" s="4"/>
      <c r="BE88" s="4"/>
      <c r="BF88" s="4"/>
      <c r="BG88" s="4"/>
      <c r="BI88" s="64"/>
      <c r="BJ88" s="90"/>
      <c r="BK88" s="7"/>
      <c r="BL88" s="74"/>
      <c r="BM88" s="7"/>
      <c r="BN88" s="62"/>
      <c r="BO88" s="62"/>
      <c r="BP88" s="62"/>
      <c r="BQ88" s="62"/>
      <c r="BR88" s="7"/>
      <c r="BS88" s="60"/>
      <c r="BT88" s="7"/>
      <c r="BU88" s="75"/>
      <c r="BV88" s="7"/>
      <c r="BW88" s="61"/>
      <c r="CA88" s="8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2:135" ht="15" thickBot="1" x14ac:dyDescent="0.35">
      <c r="B89" s="118"/>
      <c r="C89" s="1"/>
      <c r="D89" s="119"/>
      <c r="E89" s="11">
        <f>SUM(J88,T88,AD88,AN88,AX88)</f>
        <v>14</v>
      </c>
      <c r="F89" s="11">
        <f>SUM(J89:BC89)</f>
        <v>23</v>
      </c>
      <c r="G89" s="105"/>
      <c r="H89" s="2"/>
      <c r="I89" s="2"/>
      <c r="J89" s="112">
        <v>2</v>
      </c>
      <c r="K89" s="113"/>
      <c r="L89" s="106">
        <v>0</v>
      </c>
      <c r="M89" s="113"/>
      <c r="N89" s="106">
        <v>0</v>
      </c>
      <c r="O89" s="107"/>
      <c r="P89" s="4"/>
      <c r="Q89" s="4"/>
      <c r="R89" s="4"/>
      <c r="S89" s="4"/>
      <c r="T89" s="72">
        <v>3</v>
      </c>
      <c r="U89" s="73"/>
      <c r="V89" s="68">
        <v>3</v>
      </c>
      <c r="W89" s="73"/>
      <c r="X89" s="68">
        <v>0</v>
      </c>
      <c r="Y89" s="69"/>
      <c r="Z89" s="4"/>
      <c r="AA89" s="4"/>
      <c r="AB89" s="4"/>
      <c r="AC89" s="4"/>
      <c r="AD89" s="72">
        <v>3</v>
      </c>
      <c r="AE89" s="73"/>
      <c r="AF89" s="68">
        <v>3</v>
      </c>
      <c r="AG89" s="73"/>
      <c r="AH89" s="68">
        <v>0</v>
      </c>
      <c r="AI89" s="69"/>
      <c r="AJ89" s="4"/>
      <c r="AK89" s="4"/>
      <c r="AL89" s="4"/>
      <c r="AM89" s="4"/>
      <c r="AN89" s="83">
        <v>3</v>
      </c>
      <c r="AO89" s="84"/>
      <c r="AP89" s="85">
        <v>2</v>
      </c>
      <c r="AQ89" s="84"/>
      <c r="AR89" s="85">
        <v>2</v>
      </c>
      <c r="AS89" s="86"/>
      <c r="AT89" s="4"/>
      <c r="AU89" s="4"/>
      <c r="AV89" s="4"/>
      <c r="AW89" s="4"/>
      <c r="AX89" s="49">
        <v>2</v>
      </c>
      <c r="AY89" s="50"/>
      <c r="AZ89" s="51">
        <v>0</v>
      </c>
      <c r="BA89" s="50"/>
      <c r="BB89" s="51">
        <v>0</v>
      </c>
      <c r="BC89" s="52"/>
      <c r="BD89" s="4"/>
      <c r="BE89" s="4"/>
      <c r="BF89" s="4"/>
      <c r="BG89" s="4"/>
      <c r="BI89" s="64"/>
      <c r="BJ89" s="90"/>
      <c r="BK89" s="7"/>
      <c r="BL89" s="74"/>
      <c r="BM89" s="7"/>
      <c r="BN89" s="62"/>
      <c r="BO89" s="62"/>
      <c r="BP89" s="62"/>
      <c r="BQ89" s="62"/>
      <c r="BR89" s="7"/>
      <c r="BS89" s="60"/>
      <c r="BT89" s="7"/>
      <c r="BU89" s="75"/>
      <c r="BV89" s="7"/>
      <c r="BW89" s="61"/>
      <c r="CA89" s="8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2:135" ht="10.050000000000001" customHeight="1" thickBot="1" x14ac:dyDescent="0.35">
      <c r="B90" s="118"/>
      <c r="C90" s="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I90" s="65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10"/>
    </row>
    <row r="91" spans="2:135" ht="10.050000000000001" customHeight="1" thickTop="1" x14ac:dyDescent="0.3"/>
    <row r="92" spans="2:135" ht="10.050000000000001" customHeight="1" x14ac:dyDescent="0.3"/>
    <row r="93" spans="2:135" ht="10.050000000000001" customHeight="1" x14ac:dyDescent="0.3"/>
    <row r="100" ht="48.75" customHeight="1" x14ac:dyDescent="0.3"/>
  </sheetData>
  <mergeCells count="776"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N8:O8"/>
    <mergeCell ref="AN8:AO8"/>
    <mergeCell ref="AP8:AQ8"/>
    <mergeCell ref="AR8:AS8"/>
    <mergeCell ref="AX8:AY8"/>
    <mergeCell ref="AZ8:BA8"/>
    <mergeCell ref="BB8:BC8"/>
    <mergeCell ref="E7:E8"/>
    <mergeCell ref="F7:F8"/>
    <mergeCell ref="J7:O7"/>
    <mergeCell ref="T7:Y7"/>
    <mergeCell ref="AD7:AI7"/>
    <mergeCell ref="G8:G9"/>
    <mergeCell ref="H8:I8"/>
    <mergeCell ref="BR51:BW51"/>
    <mergeCell ref="BR52:BS52"/>
    <mergeCell ref="BT52:BU52"/>
    <mergeCell ref="BV52:BW52"/>
    <mergeCell ref="AN7:AS7"/>
    <mergeCell ref="AX7:BC7"/>
    <mergeCell ref="AQ6:AS6"/>
    <mergeCell ref="AX6:AZ6"/>
    <mergeCell ref="BA6:BC6"/>
    <mergeCell ref="BA32:BC32"/>
    <mergeCell ref="BH32:BJ32"/>
    <mergeCell ref="BK32:BM32"/>
    <mergeCell ref="BH33:BM33"/>
    <mergeCell ref="BH34:BI34"/>
    <mergeCell ref="BJ34:BK34"/>
    <mergeCell ref="BL34:BM34"/>
    <mergeCell ref="AR44:AS44"/>
    <mergeCell ref="AR35:AS35"/>
    <mergeCell ref="BR9:BS9"/>
    <mergeCell ref="BT9:BU9"/>
    <mergeCell ref="BV9:BW9"/>
    <mergeCell ref="J8:K8"/>
    <mergeCell ref="L8:M8"/>
    <mergeCell ref="AR9:AS9"/>
    <mergeCell ref="J9:K9"/>
    <mergeCell ref="L9:M9"/>
    <mergeCell ref="N9:O9"/>
    <mergeCell ref="T9:U9"/>
    <mergeCell ref="V9:W9"/>
    <mergeCell ref="X9:Y9"/>
    <mergeCell ref="T8:U8"/>
    <mergeCell ref="V8:W8"/>
    <mergeCell ref="X8:Y8"/>
    <mergeCell ref="AD8:AE8"/>
    <mergeCell ref="AF8:AG8"/>
    <mergeCell ref="AH8:AI8"/>
    <mergeCell ref="DT8:DU8"/>
    <mergeCell ref="DZ8:EA8"/>
    <mergeCell ref="EB8:EC8"/>
    <mergeCell ref="ED8:EE8"/>
    <mergeCell ref="BH8:BI8"/>
    <mergeCell ref="BJ8:BK8"/>
    <mergeCell ref="BL8:BM8"/>
    <mergeCell ref="DP6:DU6"/>
    <mergeCell ref="DZ6:EE6"/>
    <mergeCell ref="BH6:BJ6"/>
    <mergeCell ref="BK6:BM6"/>
    <mergeCell ref="BH7:BM7"/>
    <mergeCell ref="DP7:DU7"/>
    <mergeCell ref="DZ7:EE7"/>
    <mergeCell ref="DP8:DQ8"/>
    <mergeCell ref="DR8:DS8"/>
    <mergeCell ref="BR6:BT6"/>
    <mergeCell ref="BU6:BW6"/>
    <mergeCell ref="BR7:BW7"/>
    <mergeCell ref="BR8:BS8"/>
    <mergeCell ref="BT8:BU8"/>
    <mergeCell ref="BV8:BW8"/>
    <mergeCell ref="DZ9:EA9"/>
    <mergeCell ref="EB9:EC9"/>
    <mergeCell ref="ED9:EE9"/>
    <mergeCell ref="D14:D17"/>
    <mergeCell ref="J14:L14"/>
    <mergeCell ref="M14:O14"/>
    <mergeCell ref="T14:V14"/>
    <mergeCell ref="W14:Y14"/>
    <mergeCell ref="AD14:AF14"/>
    <mergeCell ref="AG14:AI14"/>
    <mergeCell ref="DP9:DQ9"/>
    <mergeCell ref="DR9:DS9"/>
    <mergeCell ref="DT9:DU9"/>
    <mergeCell ref="AX9:AY9"/>
    <mergeCell ref="AZ9:BA9"/>
    <mergeCell ref="BB9:BC9"/>
    <mergeCell ref="BH9:BI9"/>
    <mergeCell ref="BJ9:BK9"/>
    <mergeCell ref="BL9:BM9"/>
    <mergeCell ref="AD9:AE9"/>
    <mergeCell ref="AF9:AG9"/>
    <mergeCell ref="AH9:AI9"/>
    <mergeCell ref="AN9:AO9"/>
    <mergeCell ref="AP9:AQ9"/>
    <mergeCell ref="E15:E16"/>
    <mergeCell ref="F15:F16"/>
    <mergeCell ref="J15:O15"/>
    <mergeCell ref="T15:Y15"/>
    <mergeCell ref="AD15:AI15"/>
    <mergeCell ref="AN15:AS15"/>
    <mergeCell ref="AN14:AP14"/>
    <mergeCell ref="AQ14:AS14"/>
    <mergeCell ref="AX14:AZ14"/>
    <mergeCell ref="G16:G17"/>
    <mergeCell ref="H16:I16"/>
    <mergeCell ref="J16:K16"/>
    <mergeCell ref="L16:M16"/>
    <mergeCell ref="AN17:AO17"/>
    <mergeCell ref="AP17:AQ17"/>
    <mergeCell ref="AR17:AS17"/>
    <mergeCell ref="AX17:AY17"/>
    <mergeCell ref="AZ17:BA17"/>
    <mergeCell ref="J17:K17"/>
    <mergeCell ref="L17:M17"/>
    <mergeCell ref="N17:O17"/>
    <mergeCell ref="T17:U17"/>
    <mergeCell ref="V17:W17"/>
    <mergeCell ref="X17:Y17"/>
    <mergeCell ref="DP14:DU14"/>
    <mergeCell ref="DZ14:EE14"/>
    <mergeCell ref="BA14:BC14"/>
    <mergeCell ref="BH14:BJ14"/>
    <mergeCell ref="BK14:BM14"/>
    <mergeCell ref="N16:O16"/>
    <mergeCell ref="T16:U16"/>
    <mergeCell ref="V16:W16"/>
    <mergeCell ref="X16:Y16"/>
    <mergeCell ref="AD16:AE16"/>
    <mergeCell ref="AF16:AG16"/>
    <mergeCell ref="AX15:BC15"/>
    <mergeCell ref="BH15:BM15"/>
    <mergeCell ref="BJ16:BK16"/>
    <mergeCell ref="AH16:AI16"/>
    <mergeCell ref="AN16:AO16"/>
    <mergeCell ref="AP16:AQ16"/>
    <mergeCell ref="AR16:AS16"/>
    <mergeCell ref="AX16:AY16"/>
    <mergeCell ref="AZ16:BA16"/>
    <mergeCell ref="DP15:DU15"/>
    <mergeCell ref="DZ15:EE15"/>
    <mergeCell ref="ED16:EE16"/>
    <mergeCell ref="AD17:AE17"/>
    <mergeCell ref="AF17:AG17"/>
    <mergeCell ref="AH17:AI17"/>
    <mergeCell ref="DP16:DQ16"/>
    <mergeCell ref="DR16:DS16"/>
    <mergeCell ref="DT16:DU16"/>
    <mergeCell ref="DZ16:EA16"/>
    <mergeCell ref="EB16:EC16"/>
    <mergeCell ref="BB16:BC16"/>
    <mergeCell ref="BH16:BI16"/>
    <mergeCell ref="BL16:BM16"/>
    <mergeCell ref="DP17:DQ17"/>
    <mergeCell ref="DR17:DS17"/>
    <mergeCell ref="DT17:DU17"/>
    <mergeCell ref="DZ17:EA17"/>
    <mergeCell ref="EB17:EC17"/>
    <mergeCell ref="B23:B36"/>
    <mergeCell ref="D24:D27"/>
    <mergeCell ref="J24:L24"/>
    <mergeCell ref="M24:O24"/>
    <mergeCell ref="T24:V24"/>
    <mergeCell ref="W24:Y24"/>
    <mergeCell ref="E25:E26"/>
    <mergeCell ref="F25:F26"/>
    <mergeCell ref="J25:O25"/>
    <mergeCell ref="T25:Y25"/>
    <mergeCell ref="G26:G27"/>
    <mergeCell ref="H26:I26"/>
    <mergeCell ref="J26:K26"/>
    <mergeCell ref="L26:M26"/>
    <mergeCell ref="N26:O26"/>
    <mergeCell ref="T26:U26"/>
    <mergeCell ref="V26:W26"/>
    <mergeCell ref="X26:Y26"/>
    <mergeCell ref="L34:M34"/>
    <mergeCell ref="J27:K27"/>
    <mergeCell ref="L27:M27"/>
    <mergeCell ref="N27:O27"/>
    <mergeCell ref="T27:U27"/>
    <mergeCell ref="V27:W27"/>
    <mergeCell ref="DZ32:EE32"/>
    <mergeCell ref="AD33:AI33"/>
    <mergeCell ref="AN33:AS33"/>
    <mergeCell ref="AX33:BC33"/>
    <mergeCell ref="AQ32:AS32"/>
    <mergeCell ref="AX32:AZ32"/>
    <mergeCell ref="ED17:EE17"/>
    <mergeCell ref="BH17:BI17"/>
    <mergeCell ref="BJ17:BK17"/>
    <mergeCell ref="BL17:BM17"/>
    <mergeCell ref="BB17:BC17"/>
    <mergeCell ref="DZ25:EE25"/>
    <mergeCell ref="AD25:AI25"/>
    <mergeCell ref="AN25:AS25"/>
    <mergeCell ref="AX25:BC25"/>
    <mergeCell ref="BH25:BM25"/>
    <mergeCell ref="DP25:DU25"/>
    <mergeCell ref="AX27:AY27"/>
    <mergeCell ref="DZ26:EA26"/>
    <mergeCell ref="EB26:EC26"/>
    <mergeCell ref="ED26:EE26"/>
    <mergeCell ref="DT26:DU26"/>
    <mergeCell ref="EB27:EC27"/>
    <mergeCell ref="ED27:EE27"/>
    <mergeCell ref="DT27:DU27"/>
    <mergeCell ref="DZ27:EA27"/>
    <mergeCell ref="BH24:BJ24"/>
    <mergeCell ref="BK24:BM24"/>
    <mergeCell ref="DP24:DU24"/>
    <mergeCell ref="DZ24:EE24"/>
    <mergeCell ref="AD24:AF24"/>
    <mergeCell ref="AG24:AI24"/>
    <mergeCell ref="AN24:AP24"/>
    <mergeCell ref="AQ24:AS24"/>
    <mergeCell ref="AX24:AZ24"/>
    <mergeCell ref="BA24:BC24"/>
    <mergeCell ref="X27:Y27"/>
    <mergeCell ref="AD27:AE27"/>
    <mergeCell ref="DP26:DQ26"/>
    <mergeCell ref="DR26:DS26"/>
    <mergeCell ref="AX26:AY26"/>
    <mergeCell ref="AZ26:BA26"/>
    <mergeCell ref="BB26:BC26"/>
    <mergeCell ref="BH26:BI26"/>
    <mergeCell ref="BJ26:BK26"/>
    <mergeCell ref="BL26:BM26"/>
    <mergeCell ref="AD26:AE26"/>
    <mergeCell ref="AF26:AG26"/>
    <mergeCell ref="AH26:AI26"/>
    <mergeCell ref="AN26:AO26"/>
    <mergeCell ref="DR27:DS27"/>
    <mergeCell ref="AP26:AQ26"/>
    <mergeCell ref="AR26:AS26"/>
    <mergeCell ref="D32:D35"/>
    <mergeCell ref="J32:L32"/>
    <mergeCell ref="M32:O32"/>
    <mergeCell ref="T32:V32"/>
    <mergeCell ref="W32:Y32"/>
    <mergeCell ref="AD32:AF32"/>
    <mergeCell ref="AG32:AI32"/>
    <mergeCell ref="AN32:AP32"/>
    <mergeCell ref="DP27:DQ27"/>
    <mergeCell ref="AZ27:BA27"/>
    <mergeCell ref="BB27:BC27"/>
    <mergeCell ref="BH27:BI27"/>
    <mergeCell ref="BJ27:BK27"/>
    <mergeCell ref="BL27:BM27"/>
    <mergeCell ref="AF27:AG27"/>
    <mergeCell ref="AH27:AI27"/>
    <mergeCell ref="AN27:AO27"/>
    <mergeCell ref="AP27:AQ27"/>
    <mergeCell ref="AR27:AS27"/>
    <mergeCell ref="DP32:DU32"/>
    <mergeCell ref="E33:E34"/>
    <mergeCell ref="F33:F34"/>
    <mergeCell ref="J33:O33"/>
    <mergeCell ref="T33:Y33"/>
    <mergeCell ref="DP33:DU33"/>
    <mergeCell ref="DZ33:EE33"/>
    <mergeCell ref="G34:G35"/>
    <mergeCell ref="H34:I34"/>
    <mergeCell ref="J34:K34"/>
    <mergeCell ref="AN34:AO34"/>
    <mergeCell ref="AP34:AQ34"/>
    <mergeCell ref="AR34:AS34"/>
    <mergeCell ref="AX34:AY34"/>
    <mergeCell ref="AZ34:BA34"/>
    <mergeCell ref="BB34:BC34"/>
    <mergeCell ref="T34:U34"/>
    <mergeCell ref="V34:W34"/>
    <mergeCell ref="X34:Y34"/>
    <mergeCell ref="AD34:AE34"/>
    <mergeCell ref="AF34:AG34"/>
    <mergeCell ref="AH34:AI34"/>
    <mergeCell ref="DP34:DQ34"/>
    <mergeCell ref="DR34:DS34"/>
    <mergeCell ref="N34:O34"/>
    <mergeCell ref="DT34:DU34"/>
    <mergeCell ref="DZ34:EA34"/>
    <mergeCell ref="EB34:EC34"/>
    <mergeCell ref="ED34:EE34"/>
    <mergeCell ref="ED35:EE35"/>
    <mergeCell ref="B41:B54"/>
    <mergeCell ref="D42:D45"/>
    <mergeCell ref="J42:L42"/>
    <mergeCell ref="M42:O42"/>
    <mergeCell ref="T42:V42"/>
    <mergeCell ref="W42:Y42"/>
    <mergeCell ref="AD42:AF42"/>
    <mergeCell ref="DP35:DQ35"/>
    <mergeCell ref="DR35:DS35"/>
    <mergeCell ref="DT35:DU35"/>
    <mergeCell ref="AX35:AY35"/>
    <mergeCell ref="AZ35:BA35"/>
    <mergeCell ref="BB35:BC35"/>
    <mergeCell ref="BH35:BI35"/>
    <mergeCell ref="BJ35:BK35"/>
    <mergeCell ref="BL35:BM35"/>
    <mergeCell ref="J35:K35"/>
    <mergeCell ref="N44:O44"/>
    <mergeCell ref="J45:K45"/>
    <mergeCell ref="L45:M45"/>
    <mergeCell ref="N45:O45"/>
    <mergeCell ref="AN44:AO44"/>
    <mergeCell ref="AP44:AQ44"/>
    <mergeCell ref="AF44:AG44"/>
    <mergeCell ref="AH44:AI44"/>
    <mergeCell ref="AN45:AO45"/>
    <mergeCell ref="AP45:AQ45"/>
    <mergeCell ref="AR45:AS45"/>
    <mergeCell ref="DZ35:EA35"/>
    <mergeCell ref="EB35:EC35"/>
    <mergeCell ref="L35:M35"/>
    <mergeCell ref="N35:O35"/>
    <mergeCell ref="T35:U35"/>
    <mergeCell ref="V35:W35"/>
    <mergeCell ref="X35:Y35"/>
    <mergeCell ref="BH43:BM43"/>
    <mergeCell ref="DP43:DU43"/>
    <mergeCell ref="DZ43:EE43"/>
    <mergeCell ref="BK42:BM42"/>
    <mergeCell ref="DP42:DU42"/>
    <mergeCell ref="DZ42:EE42"/>
    <mergeCell ref="BH42:BJ42"/>
    <mergeCell ref="AD35:AE35"/>
    <mergeCell ref="AF35:AG35"/>
    <mergeCell ref="AH35:AI35"/>
    <mergeCell ref="AN35:AO35"/>
    <mergeCell ref="AP35:AQ35"/>
    <mergeCell ref="E43:E44"/>
    <mergeCell ref="F43:F44"/>
    <mergeCell ref="J43:O43"/>
    <mergeCell ref="T43:Y43"/>
    <mergeCell ref="AD43:AI43"/>
    <mergeCell ref="AG42:AI42"/>
    <mergeCell ref="AN42:AP42"/>
    <mergeCell ref="AQ42:AS42"/>
    <mergeCell ref="AX42:AZ42"/>
    <mergeCell ref="AN43:AS43"/>
    <mergeCell ref="AX43:BC43"/>
    <mergeCell ref="BA42:BC42"/>
    <mergeCell ref="G44:G45"/>
    <mergeCell ref="H44:I44"/>
    <mergeCell ref="J44:K44"/>
    <mergeCell ref="L44:M44"/>
    <mergeCell ref="AX44:AY44"/>
    <mergeCell ref="AZ44:BA44"/>
    <mergeCell ref="BB44:BC44"/>
    <mergeCell ref="T44:U44"/>
    <mergeCell ref="V44:W44"/>
    <mergeCell ref="X44:Y44"/>
    <mergeCell ref="AD44:AE44"/>
    <mergeCell ref="AX45:AY45"/>
    <mergeCell ref="DP44:DQ44"/>
    <mergeCell ref="DR44:DS44"/>
    <mergeCell ref="DT44:DU44"/>
    <mergeCell ref="DZ44:EA44"/>
    <mergeCell ref="EB44:EC44"/>
    <mergeCell ref="ED44:EE44"/>
    <mergeCell ref="BH44:BI44"/>
    <mergeCell ref="BJ44:BK44"/>
    <mergeCell ref="BL44:BM44"/>
    <mergeCell ref="DR45:DS45"/>
    <mergeCell ref="DT45:DU45"/>
    <mergeCell ref="DZ45:EA45"/>
    <mergeCell ref="EB45:EC45"/>
    <mergeCell ref="ED45:EE45"/>
    <mergeCell ref="BH45:BI45"/>
    <mergeCell ref="BJ45:BK45"/>
    <mergeCell ref="BL45:BM45"/>
    <mergeCell ref="J50:L50"/>
    <mergeCell ref="M50:O50"/>
    <mergeCell ref="T50:V50"/>
    <mergeCell ref="W50:Y50"/>
    <mergeCell ref="AD50:AF50"/>
    <mergeCell ref="AZ45:BA45"/>
    <mergeCell ref="BB45:BC45"/>
    <mergeCell ref="T45:U45"/>
    <mergeCell ref="V45:W45"/>
    <mergeCell ref="X45:Y45"/>
    <mergeCell ref="AD45:AE45"/>
    <mergeCell ref="AF45:AG45"/>
    <mergeCell ref="AH45:AI45"/>
    <mergeCell ref="DP45:DQ45"/>
    <mergeCell ref="BR50:BT50"/>
    <mergeCell ref="BU50:BW50"/>
    <mergeCell ref="E51:E52"/>
    <mergeCell ref="F51:F52"/>
    <mergeCell ref="J51:O51"/>
    <mergeCell ref="T51:Y51"/>
    <mergeCell ref="T52:U52"/>
    <mergeCell ref="V52:W52"/>
    <mergeCell ref="X52:Y52"/>
    <mergeCell ref="AD52:AE52"/>
    <mergeCell ref="AF52:AG52"/>
    <mergeCell ref="AN53:AO53"/>
    <mergeCell ref="AP53:AQ53"/>
    <mergeCell ref="DZ50:EE50"/>
    <mergeCell ref="DZ51:EE51"/>
    <mergeCell ref="DP52:DQ52"/>
    <mergeCell ref="DR52:DS52"/>
    <mergeCell ref="DT52:DU52"/>
    <mergeCell ref="AG50:AI50"/>
    <mergeCell ref="AN50:AP50"/>
    <mergeCell ref="AQ50:AS50"/>
    <mergeCell ref="AX50:AZ50"/>
    <mergeCell ref="BA50:BC50"/>
    <mergeCell ref="BH50:BJ50"/>
    <mergeCell ref="AD51:AI51"/>
    <mergeCell ref="AN51:AS51"/>
    <mergeCell ref="AX51:BC51"/>
    <mergeCell ref="BH51:BM51"/>
    <mergeCell ref="DP51:DU51"/>
    <mergeCell ref="BK50:BM50"/>
    <mergeCell ref="BO50:BQ53"/>
    <mergeCell ref="DP50:DU50"/>
    <mergeCell ref="AZ52:BA52"/>
    <mergeCell ref="BB52:BC52"/>
    <mergeCell ref="AR53:AS53"/>
    <mergeCell ref="AX53:AY53"/>
    <mergeCell ref="DZ52:EA52"/>
    <mergeCell ref="EB52:EC52"/>
    <mergeCell ref="ED52:EE52"/>
    <mergeCell ref="J53:K53"/>
    <mergeCell ref="L53:M53"/>
    <mergeCell ref="N53:O53"/>
    <mergeCell ref="T53:U53"/>
    <mergeCell ref="V53:W53"/>
    <mergeCell ref="X53:Y53"/>
    <mergeCell ref="AD53:AE53"/>
    <mergeCell ref="BH52:BI52"/>
    <mergeCell ref="BJ52:BK52"/>
    <mergeCell ref="BL52:BM52"/>
    <mergeCell ref="AN52:AO52"/>
    <mergeCell ref="AP52:AQ52"/>
    <mergeCell ref="AR52:AS52"/>
    <mergeCell ref="AX52:AY52"/>
    <mergeCell ref="EB53:EC53"/>
    <mergeCell ref="ED53:EE53"/>
    <mergeCell ref="AH52:AI52"/>
    <mergeCell ref="J52:K52"/>
    <mergeCell ref="L52:M52"/>
    <mergeCell ref="DP53:DQ53"/>
    <mergeCell ref="B59:B72"/>
    <mergeCell ref="D60:D63"/>
    <mergeCell ref="J60:L60"/>
    <mergeCell ref="M60:O60"/>
    <mergeCell ref="T60:V60"/>
    <mergeCell ref="W60:Y60"/>
    <mergeCell ref="AD60:AF60"/>
    <mergeCell ref="AG60:AI60"/>
    <mergeCell ref="AF53:AG53"/>
    <mergeCell ref="AH53:AI53"/>
    <mergeCell ref="H62:I62"/>
    <mergeCell ref="J62:K62"/>
    <mergeCell ref="L62:M62"/>
    <mergeCell ref="N62:O62"/>
    <mergeCell ref="T62:U62"/>
    <mergeCell ref="V62:W62"/>
    <mergeCell ref="L70:M70"/>
    <mergeCell ref="N70:O70"/>
    <mergeCell ref="T70:U70"/>
    <mergeCell ref="V70:W70"/>
    <mergeCell ref="G52:G53"/>
    <mergeCell ref="H52:I52"/>
    <mergeCell ref="N52:O52"/>
    <mergeCell ref="D50:D53"/>
    <mergeCell ref="DR53:DS53"/>
    <mergeCell ref="DT53:DU53"/>
    <mergeCell ref="DZ53:EA53"/>
    <mergeCell ref="AZ53:BA53"/>
    <mergeCell ref="BB53:BC53"/>
    <mergeCell ref="BH53:BI53"/>
    <mergeCell ref="BJ53:BK53"/>
    <mergeCell ref="BL53:BM53"/>
    <mergeCell ref="DP60:DU60"/>
    <mergeCell ref="DZ60:EE60"/>
    <mergeCell ref="BR53:BS53"/>
    <mergeCell ref="BT53:BU53"/>
    <mergeCell ref="BV53:BW53"/>
    <mergeCell ref="BH60:BJ60"/>
    <mergeCell ref="BK60:BM60"/>
    <mergeCell ref="E61:E62"/>
    <mergeCell ref="F61:F62"/>
    <mergeCell ref="J61:O61"/>
    <mergeCell ref="T61:Y61"/>
    <mergeCell ref="AD61:AI61"/>
    <mergeCell ref="AN61:AS61"/>
    <mergeCell ref="AX61:BC61"/>
    <mergeCell ref="AN60:AP60"/>
    <mergeCell ref="AQ60:AS60"/>
    <mergeCell ref="AX60:AZ60"/>
    <mergeCell ref="BA60:BC60"/>
    <mergeCell ref="AF62:AG62"/>
    <mergeCell ref="AH62:AI62"/>
    <mergeCell ref="AN62:AO62"/>
    <mergeCell ref="AP62:AQ62"/>
    <mergeCell ref="AD62:AE62"/>
    <mergeCell ref="DP61:DU61"/>
    <mergeCell ref="DZ61:EE61"/>
    <mergeCell ref="G62:G63"/>
    <mergeCell ref="ED62:EE62"/>
    <mergeCell ref="J63:K63"/>
    <mergeCell ref="L63:M63"/>
    <mergeCell ref="N63:O63"/>
    <mergeCell ref="T63:U63"/>
    <mergeCell ref="V63:W63"/>
    <mergeCell ref="X63:Y63"/>
    <mergeCell ref="AD63:AE63"/>
    <mergeCell ref="AF63:AG63"/>
    <mergeCell ref="AH63:AI63"/>
    <mergeCell ref="DP62:DQ62"/>
    <mergeCell ref="DR62:DS62"/>
    <mergeCell ref="DT62:DU62"/>
    <mergeCell ref="DZ62:EA62"/>
    <mergeCell ref="EB62:EC62"/>
    <mergeCell ref="AR62:AS62"/>
    <mergeCell ref="AX62:AY62"/>
    <mergeCell ref="AZ62:BA62"/>
    <mergeCell ref="BB62:BC62"/>
    <mergeCell ref="X62:Y62"/>
    <mergeCell ref="DZ63:EA63"/>
    <mergeCell ref="EB63:EC63"/>
    <mergeCell ref="ED63:EE63"/>
    <mergeCell ref="D68:D71"/>
    <mergeCell ref="J68:L68"/>
    <mergeCell ref="M68:O68"/>
    <mergeCell ref="T68:V68"/>
    <mergeCell ref="W68:Y68"/>
    <mergeCell ref="AD68:AF68"/>
    <mergeCell ref="AG68:AI68"/>
    <mergeCell ref="DP63:DQ63"/>
    <mergeCell ref="DR63:DS63"/>
    <mergeCell ref="DT63:DU63"/>
    <mergeCell ref="AN63:AO63"/>
    <mergeCell ref="AP63:AQ63"/>
    <mergeCell ref="AR63:AS63"/>
    <mergeCell ref="AX63:AY63"/>
    <mergeCell ref="AZ63:BA63"/>
    <mergeCell ref="BB63:BC63"/>
    <mergeCell ref="DP68:DU68"/>
    <mergeCell ref="AR71:AS71"/>
    <mergeCell ref="AX71:AY71"/>
    <mergeCell ref="AZ71:BA71"/>
    <mergeCell ref="DZ68:EE68"/>
    <mergeCell ref="E69:E70"/>
    <mergeCell ref="F69:F70"/>
    <mergeCell ref="J69:O69"/>
    <mergeCell ref="T69:Y69"/>
    <mergeCell ref="AD69:AI69"/>
    <mergeCell ref="AN69:AS69"/>
    <mergeCell ref="AX69:BC69"/>
    <mergeCell ref="AN68:AP68"/>
    <mergeCell ref="AQ68:AS68"/>
    <mergeCell ref="AX68:AZ68"/>
    <mergeCell ref="BA68:BC68"/>
    <mergeCell ref="AR70:AS70"/>
    <mergeCell ref="AX70:AY70"/>
    <mergeCell ref="AZ70:BA70"/>
    <mergeCell ref="AP70:AQ70"/>
    <mergeCell ref="DP69:DU69"/>
    <mergeCell ref="DZ69:EE69"/>
    <mergeCell ref="G70:G71"/>
    <mergeCell ref="H70:I70"/>
    <mergeCell ref="J70:K70"/>
    <mergeCell ref="J71:K71"/>
    <mergeCell ref="L71:M71"/>
    <mergeCell ref="N71:O71"/>
    <mergeCell ref="T71:U71"/>
    <mergeCell ref="V71:W71"/>
    <mergeCell ref="X71:Y71"/>
    <mergeCell ref="BB70:BC70"/>
    <mergeCell ref="AD71:AE71"/>
    <mergeCell ref="AF71:AG71"/>
    <mergeCell ref="AH71:AI71"/>
    <mergeCell ref="AN71:AO71"/>
    <mergeCell ref="AP71:AQ71"/>
    <mergeCell ref="BB71:BC71"/>
    <mergeCell ref="X70:Y70"/>
    <mergeCell ref="AD70:AE70"/>
    <mergeCell ref="AF70:AG70"/>
    <mergeCell ref="AH70:AI70"/>
    <mergeCell ref="AN70:AO70"/>
    <mergeCell ref="DT70:DU70"/>
    <mergeCell ref="DZ70:EA70"/>
    <mergeCell ref="EB70:EC70"/>
    <mergeCell ref="DP71:DQ71"/>
    <mergeCell ref="DR71:DS71"/>
    <mergeCell ref="DT71:DU71"/>
    <mergeCell ref="DZ71:EA71"/>
    <mergeCell ref="EB71:EC71"/>
    <mergeCell ref="ED71:EE71"/>
    <mergeCell ref="ED70:EE70"/>
    <mergeCell ref="DP70:DQ70"/>
    <mergeCell ref="DR70:DS70"/>
    <mergeCell ref="B77:B90"/>
    <mergeCell ref="BI77:BI90"/>
    <mergeCell ref="D78:D81"/>
    <mergeCell ref="J78:L78"/>
    <mergeCell ref="M78:O78"/>
    <mergeCell ref="T78:V78"/>
    <mergeCell ref="W78:Y78"/>
    <mergeCell ref="AD78:AF78"/>
    <mergeCell ref="AG78:AI78"/>
    <mergeCell ref="AN78:AP78"/>
    <mergeCell ref="J80:K80"/>
    <mergeCell ref="L80:M80"/>
    <mergeCell ref="N80:O80"/>
    <mergeCell ref="T80:U80"/>
    <mergeCell ref="V80:W80"/>
    <mergeCell ref="X80:Y80"/>
    <mergeCell ref="D86:D89"/>
    <mergeCell ref="J86:L86"/>
    <mergeCell ref="J81:K81"/>
    <mergeCell ref="L81:M81"/>
    <mergeCell ref="N81:O81"/>
    <mergeCell ref="T81:U81"/>
    <mergeCell ref="V81:W81"/>
    <mergeCell ref="X81:Y81"/>
    <mergeCell ref="DZ78:EE78"/>
    <mergeCell ref="E79:E80"/>
    <mergeCell ref="F79:F80"/>
    <mergeCell ref="J79:O79"/>
    <mergeCell ref="T79:Y79"/>
    <mergeCell ref="AD79:AI79"/>
    <mergeCell ref="AN79:AS79"/>
    <mergeCell ref="AX79:BC79"/>
    <mergeCell ref="BR79:BW79"/>
    <mergeCell ref="DP79:DU79"/>
    <mergeCell ref="AQ78:AS78"/>
    <mergeCell ref="AX78:AZ78"/>
    <mergeCell ref="BA78:BC78"/>
    <mergeCell ref="BJ78:BJ81"/>
    <mergeCell ref="BR78:BW78"/>
    <mergeCell ref="DP78:DU78"/>
    <mergeCell ref="AX80:AY80"/>
    <mergeCell ref="AZ80:BA80"/>
    <mergeCell ref="BB80:BC80"/>
    <mergeCell ref="BR80:BS80"/>
    <mergeCell ref="DZ79:EE79"/>
    <mergeCell ref="G80:G81"/>
    <mergeCell ref="H80:I80"/>
    <mergeCell ref="DP81:DQ81"/>
    <mergeCell ref="AD81:AE81"/>
    <mergeCell ref="AF81:AG81"/>
    <mergeCell ref="BT80:BU80"/>
    <mergeCell ref="AD80:AE80"/>
    <mergeCell ref="AF80:AG80"/>
    <mergeCell ref="AH80:AI80"/>
    <mergeCell ref="AN80:AO80"/>
    <mergeCell ref="AP80:AQ80"/>
    <mergeCell ref="AR80:AS80"/>
    <mergeCell ref="BB81:BC81"/>
    <mergeCell ref="BR81:BS81"/>
    <mergeCell ref="AH81:AI81"/>
    <mergeCell ref="AN81:AO81"/>
    <mergeCell ref="AP81:AQ81"/>
    <mergeCell ref="AR81:AS81"/>
    <mergeCell ref="AX81:AY81"/>
    <mergeCell ref="AZ81:BA81"/>
    <mergeCell ref="BT81:BU81"/>
    <mergeCell ref="DR81:DS81"/>
    <mergeCell ref="DT81:DU81"/>
    <mergeCell ref="EB80:EC80"/>
    <mergeCell ref="ED80:EE80"/>
    <mergeCell ref="BV80:BW80"/>
    <mergeCell ref="DP80:DQ80"/>
    <mergeCell ref="DR80:DS80"/>
    <mergeCell ref="DT80:DU80"/>
    <mergeCell ref="DZ80:EA80"/>
    <mergeCell ref="DZ81:EA81"/>
    <mergeCell ref="EB81:EC81"/>
    <mergeCell ref="ED81:EE81"/>
    <mergeCell ref="BV81:BW81"/>
    <mergeCell ref="M86:O86"/>
    <mergeCell ref="T86:V86"/>
    <mergeCell ref="W86:Y86"/>
    <mergeCell ref="AD86:AF86"/>
    <mergeCell ref="G88:G89"/>
    <mergeCell ref="H88:I88"/>
    <mergeCell ref="J88:K88"/>
    <mergeCell ref="DZ86:EE86"/>
    <mergeCell ref="AG86:AI86"/>
    <mergeCell ref="AN86:AP86"/>
    <mergeCell ref="AQ86:AS86"/>
    <mergeCell ref="AX86:AZ86"/>
    <mergeCell ref="BA86:BC86"/>
    <mergeCell ref="BB88:BC88"/>
    <mergeCell ref="DP88:DQ88"/>
    <mergeCell ref="DR88:DS88"/>
    <mergeCell ref="L88:M88"/>
    <mergeCell ref="N88:O88"/>
    <mergeCell ref="T88:U88"/>
    <mergeCell ref="V88:W88"/>
    <mergeCell ref="X88:Y88"/>
    <mergeCell ref="AD88:AE88"/>
    <mergeCell ref="AD89:AE89"/>
    <mergeCell ref="ED89:EE89"/>
    <mergeCell ref="E87:E88"/>
    <mergeCell ref="F87:F88"/>
    <mergeCell ref="J87:O87"/>
    <mergeCell ref="T87:Y87"/>
    <mergeCell ref="AD87:AI87"/>
    <mergeCell ref="AN87:AS87"/>
    <mergeCell ref="AX87:BC87"/>
    <mergeCell ref="DP87:DU87"/>
    <mergeCell ref="DZ87:EE87"/>
    <mergeCell ref="BJ86:BJ89"/>
    <mergeCell ref="AF88:AG88"/>
    <mergeCell ref="AH88:AI88"/>
    <mergeCell ref="AN88:AO88"/>
    <mergeCell ref="AP88:AQ88"/>
    <mergeCell ref="ED88:EE88"/>
    <mergeCell ref="J89:K89"/>
    <mergeCell ref="L89:M89"/>
    <mergeCell ref="N89:O89"/>
    <mergeCell ref="T89:U89"/>
    <mergeCell ref="V89:W89"/>
    <mergeCell ref="X89:Y89"/>
    <mergeCell ref="AR88:AS88"/>
    <mergeCell ref="AX88:AY88"/>
    <mergeCell ref="AZ88:BA88"/>
    <mergeCell ref="DT88:DU88"/>
    <mergeCell ref="DZ88:EA88"/>
    <mergeCell ref="EB88:EC88"/>
    <mergeCell ref="DZ89:EA89"/>
    <mergeCell ref="EB89:EC89"/>
    <mergeCell ref="AX89:AY89"/>
    <mergeCell ref="AZ89:BA89"/>
    <mergeCell ref="BB89:BC89"/>
    <mergeCell ref="DP89:DQ89"/>
    <mergeCell ref="DR89:DS89"/>
    <mergeCell ref="DT89:DU89"/>
    <mergeCell ref="BU84:BU89"/>
    <mergeCell ref="BL85:BL89"/>
    <mergeCell ref="BN86:BQ89"/>
    <mergeCell ref="BS86:BS89"/>
    <mergeCell ref="BW86:BW89"/>
    <mergeCell ref="DP86:DU86"/>
    <mergeCell ref="BJ84:BJ85"/>
    <mergeCell ref="BS84:BS85"/>
    <mergeCell ref="BW84:BW85"/>
    <mergeCell ref="BH69:BM69"/>
    <mergeCell ref="BH70:BI70"/>
    <mergeCell ref="BJ70:BK70"/>
    <mergeCell ref="BL70:BM70"/>
    <mergeCell ref="BH71:BI71"/>
    <mergeCell ref="BJ71:BK71"/>
    <mergeCell ref="BL71:BM71"/>
    <mergeCell ref="AF89:AG89"/>
    <mergeCell ref="AH89:AI89"/>
    <mergeCell ref="AN89:AO89"/>
    <mergeCell ref="AP89:AQ89"/>
    <mergeCell ref="AR89:AS89"/>
    <mergeCell ref="BH61:BM61"/>
    <mergeCell ref="BH62:BI62"/>
    <mergeCell ref="BJ62:BK62"/>
    <mergeCell ref="BL62:BM62"/>
    <mergeCell ref="BH63:BI63"/>
    <mergeCell ref="BJ63:BK63"/>
    <mergeCell ref="BL63:BM63"/>
    <mergeCell ref="BH68:BJ68"/>
    <mergeCell ref="BK68:BM68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B2:EE109"/>
  <sheetViews>
    <sheetView topLeftCell="A16" zoomScale="80" zoomScaleNormal="80" workbookViewId="0">
      <selection activeCell="AN25" sqref="AN25:AS25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245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5" spans="2:135" ht="10.050000000000001" customHeight="1" thickBot="1" x14ac:dyDescent="0.35">
      <c r="B5" s="118" t="s">
        <v>0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114</v>
      </c>
      <c r="K6" s="25"/>
      <c r="L6" s="26"/>
      <c r="M6" s="38">
        <v>111</v>
      </c>
      <c r="N6" s="39"/>
      <c r="O6" s="40"/>
      <c r="P6" s="4"/>
      <c r="Q6" s="4"/>
      <c r="R6" s="4"/>
      <c r="S6" s="4"/>
      <c r="T6" s="24" t="s">
        <v>162</v>
      </c>
      <c r="U6" s="25"/>
      <c r="V6" s="26"/>
      <c r="W6" s="27" t="s">
        <v>169</v>
      </c>
      <c r="X6" s="28"/>
      <c r="Y6" s="29"/>
      <c r="Z6" s="4"/>
      <c r="AA6" s="4"/>
      <c r="AB6" s="4"/>
      <c r="AC6" s="4"/>
      <c r="AD6" s="24" t="s">
        <v>90</v>
      </c>
      <c r="AE6" s="25"/>
      <c r="AF6" s="26"/>
      <c r="AG6" s="27" t="s">
        <v>116</v>
      </c>
      <c r="AH6" s="28"/>
      <c r="AI6" s="29"/>
      <c r="AJ6" s="4"/>
      <c r="AK6" s="4"/>
      <c r="AL6" s="4"/>
      <c r="AM6" s="4"/>
      <c r="AN6" s="24" t="s">
        <v>19</v>
      </c>
      <c r="AO6" s="25"/>
      <c r="AP6" s="26"/>
      <c r="AQ6" s="27" t="s">
        <v>33</v>
      </c>
      <c r="AR6" s="28"/>
      <c r="AS6" s="29"/>
      <c r="AT6" s="4"/>
      <c r="AU6" s="4"/>
      <c r="AV6" s="4"/>
      <c r="AW6" s="4"/>
      <c r="AX6" s="24" t="s">
        <v>119</v>
      </c>
      <c r="AY6" s="25"/>
      <c r="AZ6" s="26"/>
      <c r="BA6" s="38" t="s">
        <v>109</v>
      </c>
      <c r="BB6" s="39"/>
      <c r="BC6" s="40"/>
      <c r="BD6" s="4"/>
      <c r="BE6" s="4"/>
      <c r="BF6" s="4"/>
      <c r="BG6" s="4"/>
      <c r="BH6" s="24" t="s">
        <v>114</v>
      </c>
      <c r="BI6" s="25"/>
      <c r="BJ6" s="26"/>
      <c r="BK6" s="38">
        <v>123</v>
      </c>
      <c r="BL6" s="39"/>
      <c r="BM6" s="40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SUM(N8,X8,AH8,AR8,BB8,BL8)</f>
        <v>855</v>
      </c>
      <c r="H7" s="2"/>
      <c r="I7" s="2"/>
      <c r="J7" s="30" t="s">
        <v>161</v>
      </c>
      <c r="K7" s="31"/>
      <c r="L7" s="31"/>
      <c r="M7" s="31"/>
      <c r="N7" s="32"/>
      <c r="O7" s="33"/>
      <c r="P7" s="4"/>
      <c r="Q7" s="4"/>
      <c r="R7" s="4"/>
      <c r="S7" s="4"/>
      <c r="T7" s="30" t="s">
        <v>163</v>
      </c>
      <c r="U7" s="31"/>
      <c r="V7" s="31"/>
      <c r="W7" s="31"/>
      <c r="X7" s="32"/>
      <c r="Y7" s="33"/>
      <c r="Z7" s="4"/>
      <c r="AA7" s="4"/>
      <c r="AB7" s="4"/>
      <c r="AC7" s="4"/>
      <c r="AD7" s="30" t="s">
        <v>118</v>
      </c>
      <c r="AE7" s="31"/>
      <c r="AF7" s="31"/>
      <c r="AG7" s="31"/>
      <c r="AH7" s="32"/>
      <c r="AI7" s="33"/>
      <c r="AJ7" s="4"/>
      <c r="AK7" s="4"/>
      <c r="AL7" s="4"/>
      <c r="AM7" s="4"/>
      <c r="AN7" s="53" t="s">
        <v>32</v>
      </c>
      <c r="AO7" s="54"/>
      <c r="AP7" s="54"/>
      <c r="AQ7" s="54"/>
      <c r="AR7" s="55"/>
      <c r="AS7" s="56"/>
      <c r="AT7" s="4"/>
      <c r="AU7" s="4"/>
      <c r="AV7" s="4"/>
      <c r="AW7" s="4"/>
      <c r="AX7" s="114" t="s">
        <v>120</v>
      </c>
      <c r="AY7" s="115"/>
      <c r="AZ7" s="115"/>
      <c r="BA7" s="115"/>
      <c r="BB7" s="116"/>
      <c r="BC7" s="117"/>
      <c r="BD7" s="4"/>
      <c r="BE7" s="4"/>
      <c r="BF7" s="4"/>
      <c r="BG7" s="4"/>
      <c r="BH7" s="30" t="s">
        <v>23</v>
      </c>
      <c r="BI7" s="31"/>
      <c r="BJ7" s="31"/>
      <c r="BK7" s="31"/>
      <c r="BL7" s="32"/>
      <c r="BM7" s="33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34">
        <v>3</v>
      </c>
      <c r="K8" s="35"/>
      <c r="L8" s="36">
        <v>4</v>
      </c>
      <c r="M8" s="35"/>
      <c r="N8" s="36">
        <v>150</v>
      </c>
      <c r="O8" s="37"/>
      <c r="P8" s="4"/>
      <c r="Q8" s="4"/>
      <c r="R8" s="4"/>
      <c r="S8" s="4"/>
      <c r="T8" s="34">
        <v>3</v>
      </c>
      <c r="U8" s="35"/>
      <c r="V8" s="36">
        <v>5</v>
      </c>
      <c r="W8" s="35"/>
      <c r="X8" s="36">
        <v>135</v>
      </c>
      <c r="Y8" s="37"/>
      <c r="Z8" s="4"/>
      <c r="AA8" s="4"/>
      <c r="AB8" s="4"/>
      <c r="AC8" s="4"/>
      <c r="AD8" s="34">
        <v>3</v>
      </c>
      <c r="AE8" s="35"/>
      <c r="AF8" s="36">
        <v>4</v>
      </c>
      <c r="AG8" s="35"/>
      <c r="AH8" s="36">
        <v>150</v>
      </c>
      <c r="AI8" s="37"/>
      <c r="AJ8" s="4"/>
      <c r="AK8" s="4"/>
      <c r="AL8" s="4"/>
      <c r="AM8" s="4"/>
      <c r="AN8" s="57">
        <v>3</v>
      </c>
      <c r="AO8" s="58"/>
      <c r="AP8" s="59">
        <v>5</v>
      </c>
      <c r="AQ8" s="58"/>
      <c r="AR8" s="59">
        <v>180</v>
      </c>
      <c r="AS8" s="91"/>
      <c r="AT8" s="4"/>
      <c r="AU8" s="4"/>
      <c r="AV8" s="4"/>
      <c r="AW8" s="4"/>
      <c r="AX8" s="110">
        <v>2</v>
      </c>
      <c r="AY8" s="111"/>
      <c r="AZ8" s="108">
        <v>2</v>
      </c>
      <c r="BA8" s="111"/>
      <c r="BB8" s="108">
        <v>90</v>
      </c>
      <c r="BC8" s="109"/>
      <c r="BD8" s="4"/>
      <c r="BE8" s="4"/>
      <c r="BF8" s="4"/>
      <c r="BG8" s="4"/>
      <c r="BH8" s="34">
        <v>3</v>
      </c>
      <c r="BI8" s="35"/>
      <c r="BJ8" s="36">
        <v>4</v>
      </c>
      <c r="BK8" s="35"/>
      <c r="BL8" s="36">
        <v>150</v>
      </c>
      <c r="BM8" s="37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SUM(J8,T8,AD8,AN8,AX8,BH8)</f>
        <v>17</v>
      </c>
      <c r="F9" s="11">
        <f>SUM(J9:BW9)</f>
        <v>24</v>
      </c>
      <c r="G9" s="105"/>
      <c r="H9" s="2"/>
      <c r="I9" s="2"/>
      <c r="J9" s="20">
        <v>3</v>
      </c>
      <c r="K9" s="21"/>
      <c r="L9" s="22">
        <v>1</v>
      </c>
      <c r="M9" s="21"/>
      <c r="N9" s="22">
        <v>0</v>
      </c>
      <c r="O9" s="23"/>
      <c r="P9" s="4"/>
      <c r="Q9" s="4"/>
      <c r="R9" s="4"/>
      <c r="S9" s="4"/>
      <c r="T9" s="20">
        <v>2</v>
      </c>
      <c r="U9" s="21"/>
      <c r="V9" s="22">
        <v>3</v>
      </c>
      <c r="W9" s="21"/>
      <c r="X9" s="22">
        <v>0</v>
      </c>
      <c r="Y9" s="23"/>
      <c r="Z9" s="4"/>
      <c r="AA9" s="4"/>
      <c r="AB9" s="4"/>
      <c r="AC9" s="4"/>
      <c r="AD9" s="20">
        <v>2</v>
      </c>
      <c r="AE9" s="21"/>
      <c r="AF9" s="22">
        <v>0</v>
      </c>
      <c r="AG9" s="21"/>
      <c r="AH9" s="22">
        <v>2</v>
      </c>
      <c r="AI9" s="23"/>
      <c r="AJ9" s="4"/>
      <c r="AK9" s="4"/>
      <c r="AL9" s="4"/>
      <c r="AM9" s="4"/>
      <c r="AN9" s="92">
        <v>2</v>
      </c>
      <c r="AO9" s="93"/>
      <c r="AP9" s="70">
        <v>0</v>
      </c>
      <c r="AQ9" s="93"/>
      <c r="AR9" s="70">
        <v>3</v>
      </c>
      <c r="AS9" s="71"/>
      <c r="AT9" s="4"/>
      <c r="AU9" s="4"/>
      <c r="AV9" s="4"/>
      <c r="AW9" s="4"/>
      <c r="AX9" s="112">
        <v>2</v>
      </c>
      <c r="AY9" s="113"/>
      <c r="AZ9" s="106">
        <v>0</v>
      </c>
      <c r="BA9" s="113"/>
      <c r="BB9" s="106">
        <v>0</v>
      </c>
      <c r="BC9" s="107"/>
      <c r="BD9" s="4"/>
      <c r="BE9" s="4"/>
      <c r="BF9" s="4"/>
      <c r="BG9" s="4"/>
      <c r="BH9" s="20">
        <v>2</v>
      </c>
      <c r="BI9" s="21"/>
      <c r="BJ9" s="22">
        <v>0</v>
      </c>
      <c r="BK9" s="21"/>
      <c r="BL9" s="22">
        <v>2</v>
      </c>
      <c r="BM9" s="23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114</v>
      </c>
      <c r="K14" s="25"/>
      <c r="L14" s="26"/>
      <c r="M14" s="38">
        <v>112</v>
      </c>
      <c r="N14" s="39"/>
      <c r="O14" s="40"/>
      <c r="P14" s="4"/>
      <c r="Q14" s="4"/>
      <c r="R14" s="4"/>
      <c r="S14" s="4"/>
      <c r="T14" s="24" t="s">
        <v>114</v>
      </c>
      <c r="U14" s="25"/>
      <c r="V14" s="26"/>
      <c r="W14" s="38">
        <v>131</v>
      </c>
      <c r="X14" s="39"/>
      <c r="Y14" s="40"/>
      <c r="Z14" s="4"/>
      <c r="AA14" s="4"/>
      <c r="AB14" s="4"/>
      <c r="AC14" s="4"/>
      <c r="AD14" s="24" t="s">
        <v>19</v>
      </c>
      <c r="AE14" s="25"/>
      <c r="AF14" s="26"/>
      <c r="AG14" s="38">
        <v>315</v>
      </c>
      <c r="AH14" s="39"/>
      <c r="AI14" s="40"/>
      <c r="AJ14" s="4"/>
      <c r="AK14" s="4"/>
      <c r="AL14" s="4"/>
      <c r="AM14" s="4"/>
      <c r="AN14" s="24" t="s">
        <v>19</v>
      </c>
      <c r="AO14" s="25"/>
      <c r="AP14" s="26"/>
      <c r="AQ14" s="27" t="s">
        <v>35</v>
      </c>
      <c r="AR14" s="28"/>
      <c r="AS14" s="29"/>
      <c r="AT14" s="4"/>
      <c r="AU14" s="4"/>
      <c r="AV14" s="4"/>
      <c r="AW14" s="4"/>
      <c r="AX14" s="24" t="s">
        <v>122</v>
      </c>
      <c r="AY14" s="25"/>
      <c r="AZ14" s="26"/>
      <c r="BA14" s="38" t="s">
        <v>109</v>
      </c>
      <c r="BB14" s="39"/>
      <c r="BC14" s="40"/>
      <c r="BD14" s="4"/>
      <c r="BE14" s="4"/>
      <c r="BF14" s="4"/>
      <c r="BG14" s="4"/>
      <c r="BH14" s="24" t="s">
        <v>127</v>
      </c>
      <c r="BI14" s="25"/>
      <c r="BJ14" s="26"/>
      <c r="BK14" s="38" t="s">
        <v>110</v>
      </c>
      <c r="BL14" s="39"/>
      <c r="BM14" s="40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855</v>
      </c>
      <c r="H15" s="2"/>
      <c r="I15" s="2"/>
      <c r="J15" s="30" t="s">
        <v>126</v>
      </c>
      <c r="K15" s="31"/>
      <c r="L15" s="31"/>
      <c r="M15" s="31"/>
      <c r="N15" s="32"/>
      <c r="O15" s="33"/>
      <c r="P15" s="4"/>
      <c r="Q15" s="4"/>
      <c r="R15" s="4"/>
      <c r="S15" s="4"/>
      <c r="T15" s="30" t="s">
        <v>189</v>
      </c>
      <c r="U15" s="31"/>
      <c r="V15" s="31"/>
      <c r="W15" s="31"/>
      <c r="X15" s="32"/>
      <c r="Y15" s="33"/>
      <c r="Z15" s="4"/>
      <c r="AA15" s="4"/>
      <c r="AB15" s="4"/>
      <c r="AC15" s="4"/>
      <c r="AD15" s="30" t="s">
        <v>26</v>
      </c>
      <c r="AE15" s="31"/>
      <c r="AF15" s="31"/>
      <c r="AG15" s="31"/>
      <c r="AH15" s="32"/>
      <c r="AI15" s="33"/>
      <c r="AJ15" s="4"/>
      <c r="AK15" s="4"/>
      <c r="AL15" s="4"/>
      <c r="AM15" s="4"/>
      <c r="AN15" s="53" t="s">
        <v>34</v>
      </c>
      <c r="AO15" s="54"/>
      <c r="AP15" s="54"/>
      <c r="AQ15" s="54"/>
      <c r="AR15" s="55"/>
      <c r="AS15" s="56"/>
      <c r="AT15" s="4"/>
      <c r="AU15" s="4"/>
      <c r="AV15" s="4"/>
      <c r="AW15" s="4"/>
      <c r="AX15" s="114" t="s">
        <v>123</v>
      </c>
      <c r="AY15" s="115"/>
      <c r="AZ15" s="115"/>
      <c r="BA15" s="115"/>
      <c r="BB15" s="116"/>
      <c r="BC15" s="117"/>
      <c r="BD15" s="4"/>
      <c r="BE15" s="4"/>
      <c r="BF15" s="4"/>
      <c r="BG15" s="4"/>
      <c r="BH15" s="114" t="s">
        <v>128</v>
      </c>
      <c r="BI15" s="115"/>
      <c r="BJ15" s="115"/>
      <c r="BK15" s="115"/>
      <c r="BL15" s="116"/>
      <c r="BM15" s="117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34">
        <v>3</v>
      </c>
      <c r="K16" s="35"/>
      <c r="L16" s="36">
        <v>4</v>
      </c>
      <c r="M16" s="35"/>
      <c r="N16" s="36">
        <v>150</v>
      </c>
      <c r="O16" s="37"/>
      <c r="P16" s="4"/>
      <c r="Q16" s="4"/>
      <c r="R16" s="4"/>
      <c r="S16" s="4"/>
      <c r="T16" s="34">
        <v>3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3</v>
      </c>
      <c r="AE16" s="35"/>
      <c r="AF16" s="36">
        <v>4</v>
      </c>
      <c r="AG16" s="35"/>
      <c r="AH16" s="36">
        <v>150</v>
      </c>
      <c r="AI16" s="37"/>
      <c r="AJ16" s="4"/>
      <c r="AK16" s="4"/>
      <c r="AL16" s="4"/>
      <c r="AM16" s="4"/>
      <c r="AN16" s="57">
        <v>3</v>
      </c>
      <c r="AO16" s="58"/>
      <c r="AP16" s="59">
        <v>5</v>
      </c>
      <c r="AQ16" s="58"/>
      <c r="AR16" s="59">
        <v>180</v>
      </c>
      <c r="AS16" s="91"/>
      <c r="AT16" s="4"/>
      <c r="AU16" s="4"/>
      <c r="AV16" s="4"/>
      <c r="AW16" s="4"/>
      <c r="AX16" s="110">
        <v>2</v>
      </c>
      <c r="AY16" s="111"/>
      <c r="AZ16" s="108">
        <v>2</v>
      </c>
      <c r="BA16" s="111"/>
      <c r="BB16" s="108">
        <v>90</v>
      </c>
      <c r="BC16" s="109"/>
      <c r="BD16" s="4"/>
      <c r="BE16" s="4"/>
      <c r="BF16" s="4"/>
      <c r="BG16" s="4"/>
      <c r="BH16" s="110">
        <v>2</v>
      </c>
      <c r="BI16" s="111"/>
      <c r="BJ16" s="108">
        <v>2</v>
      </c>
      <c r="BK16" s="111"/>
      <c r="BL16" s="108">
        <v>90</v>
      </c>
      <c r="BM16" s="109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SUM(J16,T16,AD16,AN16,AX16,BH16,BR16)</f>
        <v>16</v>
      </c>
      <c r="F17" s="11">
        <f>SUM(J17:BW17)</f>
        <v>22</v>
      </c>
      <c r="G17" s="105"/>
      <c r="H17" s="2"/>
      <c r="I17" s="2"/>
      <c r="J17" s="20">
        <v>3</v>
      </c>
      <c r="K17" s="21"/>
      <c r="L17" s="22">
        <v>1</v>
      </c>
      <c r="M17" s="21"/>
      <c r="N17" s="22">
        <v>0</v>
      </c>
      <c r="O17" s="23"/>
      <c r="P17" s="4"/>
      <c r="Q17" s="4"/>
      <c r="R17" s="4"/>
      <c r="S17" s="4"/>
      <c r="T17" s="20">
        <v>2</v>
      </c>
      <c r="U17" s="21"/>
      <c r="V17" s="22">
        <v>2</v>
      </c>
      <c r="W17" s="21"/>
      <c r="X17" s="22">
        <v>1</v>
      </c>
      <c r="Y17" s="23"/>
      <c r="Z17" s="4"/>
      <c r="AA17" s="4"/>
      <c r="AB17" s="4"/>
      <c r="AC17" s="4"/>
      <c r="AD17" s="20">
        <v>2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92">
        <v>2</v>
      </c>
      <c r="AO17" s="93"/>
      <c r="AP17" s="70">
        <v>0</v>
      </c>
      <c r="AQ17" s="93"/>
      <c r="AR17" s="70">
        <v>3</v>
      </c>
      <c r="AS17" s="71"/>
      <c r="AT17" s="4"/>
      <c r="AU17" s="4"/>
      <c r="AV17" s="4"/>
      <c r="AW17" s="4"/>
      <c r="AX17" s="112">
        <v>2</v>
      </c>
      <c r="AY17" s="113"/>
      <c r="AZ17" s="106">
        <v>0</v>
      </c>
      <c r="BA17" s="113"/>
      <c r="BB17" s="106">
        <v>0</v>
      </c>
      <c r="BC17" s="107"/>
      <c r="BD17" s="4"/>
      <c r="BE17" s="4"/>
      <c r="BF17" s="4"/>
      <c r="BG17" s="4"/>
      <c r="BH17" s="112">
        <v>2</v>
      </c>
      <c r="BI17" s="113"/>
      <c r="BJ17" s="106">
        <v>0</v>
      </c>
      <c r="BK17" s="113"/>
      <c r="BL17" s="106">
        <v>0</v>
      </c>
      <c r="BM17" s="107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4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114</v>
      </c>
      <c r="K24" s="25"/>
      <c r="L24" s="26"/>
      <c r="M24" s="38">
        <v>212</v>
      </c>
      <c r="N24" s="39"/>
      <c r="O24" s="40"/>
      <c r="P24" s="4"/>
      <c r="Q24" s="4"/>
      <c r="R24" s="4"/>
      <c r="S24" s="4"/>
      <c r="T24" s="24" t="s">
        <v>19</v>
      </c>
      <c r="U24" s="25"/>
      <c r="V24" s="26"/>
      <c r="W24" s="38">
        <v>111</v>
      </c>
      <c r="X24" s="102"/>
      <c r="Y24" s="103"/>
      <c r="Z24" s="4"/>
      <c r="AA24" s="4"/>
      <c r="AB24" s="4"/>
      <c r="AC24" s="4"/>
      <c r="AD24" s="24" t="s">
        <v>19</v>
      </c>
      <c r="AE24" s="25"/>
      <c r="AF24" s="26"/>
      <c r="AG24" s="38">
        <v>113</v>
      </c>
      <c r="AH24" s="39"/>
      <c r="AI24" s="40"/>
      <c r="AJ24" s="4"/>
      <c r="AK24" s="4"/>
      <c r="AL24" s="4"/>
      <c r="AM24" s="4"/>
      <c r="AN24" s="24" t="s">
        <v>19</v>
      </c>
      <c r="AO24" s="25"/>
      <c r="AP24" s="26"/>
      <c r="AQ24" s="38">
        <v>131</v>
      </c>
      <c r="AR24" s="102"/>
      <c r="AS24" s="103"/>
      <c r="AT24" s="4"/>
      <c r="AU24" s="4"/>
      <c r="AV24" s="4"/>
      <c r="AW24" s="4"/>
      <c r="AX24" s="24" t="s">
        <v>129</v>
      </c>
      <c r="AY24" s="25"/>
      <c r="AZ24" s="26"/>
      <c r="BA24" s="38" t="s">
        <v>110</v>
      </c>
      <c r="BB24" s="39"/>
      <c r="BC24" s="40"/>
      <c r="BD24" s="4"/>
      <c r="BE24" s="4"/>
      <c r="BF24" s="4"/>
      <c r="BG24" s="4"/>
      <c r="BH24" s="24" t="s">
        <v>133</v>
      </c>
      <c r="BI24" s="25"/>
      <c r="BJ24" s="26"/>
      <c r="BK24" s="38" t="s">
        <v>110</v>
      </c>
      <c r="BL24" s="39"/>
      <c r="BM24" s="40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54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SUM(N26,X26,AH26,AR26,BB26,BL26)</f>
        <v>885</v>
      </c>
      <c r="H25" s="2"/>
      <c r="I25" s="2"/>
      <c r="J25" s="30" t="s">
        <v>182</v>
      </c>
      <c r="K25" s="31"/>
      <c r="L25" s="31"/>
      <c r="M25" s="31"/>
      <c r="N25" s="32"/>
      <c r="O25" s="33"/>
      <c r="P25" s="4"/>
      <c r="Q25" s="4"/>
      <c r="R25" s="4"/>
      <c r="S25" s="4"/>
      <c r="T25" s="53" t="s">
        <v>36</v>
      </c>
      <c r="U25" s="54"/>
      <c r="V25" s="54"/>
      <c r="W25" s="54"/>
      <c r="X25" s="55"/>
      <c r="Y25" s="56"/>
      <c r="Z25" s="4"/>
      <c r="AA25" s="4"/>
      <c r="AB25" s="4"/>
      <c r="AC25" s="4"/>
      <c r="AD25" s="53" t="s">
        <v>196</v>
      </c>
      <c r="AE25" s="54"/>
      <c r="AF25" s="54"/>
      <c r="AG25" s="54"/>
      <c r="AH25" s="55"/>
      <c r="AI25" s="56"/>
      <c r="AJ25" s="4"/>
      <c r="AK25" s="4"/>
      <c r="AL25" s="4"/>
      <c r="AM25" s="4"/>
      <c r="AN25" s="53" t="s">
        <v>197</v>
      </c>
      <c r="AO25" s="54"/>
      <c r="AP25" s="54"/>
      <c r="AQ25" s="54"/>
      <c r="AR25" s="55"/>
      <c r="AS25" s="56"/>
      <c r="AT25" s="4"/>
      <c r="AU25" s="4"/>
      <c r="AV25" s="4"/>
      <c r="AW25" s="4"/>
      <c r="AX25" s="114" t="s">
        <v>130</v>
      </c>
      <c r="AY25" s="115"/>
      <c r="AZ25" s="115"/>
      <c r="BA25" s="115"/>
      <c r="BB25" s="116"/>
      <c r="BC25" s="117"/>
      <c r="BD25" s="4"/>
      <c r="BE25" s="4"/>
      <c r="BF25" s="4"/>
      <c r="BG25" s="4"/>
      <c r="BH25" s="114" t="s">
        <v>132</v>
      </c>
      <c r="BI25" s="115"/>
      <c r="BJ25" s="115"/>
      <c r="BK25" s="115"/>
      <c r="BL25" s="116"/>
      <c r="BM25" s="117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34">
        <v>3</v>
      </c>
      <c r="K26" s="35"/>
      <c r="L26" s="36">
        <v>4</v>
      </c>
      <c r="M26" s="35"/>
      <c r="N26" s="36">
        <v>150</v>
      </c>
      <c r="O26" s="37"/>
      <c r="P26" s="4"/>
      <c r="Q26" s="4"/>
      <c r="R26" s="4"/>
      <c r="S26" s="4"/>
      <c r="T26" s="57">
        <v>3</v>
      </c>
      <c r="U26" s="58"/>
      <c r="V26" s="59">
        <v>5</v>
      </c>
      <c r="W26" s="58"/>
      <c r="X26" s="59">
        <v>180</v>
      </c>
      <c r="Y26" s="91"/>
      <c r="Z26" s="4"/>
      <c r="AA26" s="4"/>
      <c r="AB26" s="4"/>
      <c r="AC26" s="4"/>
      <c r="AD26" s="57">
        <v>3</v>
      </c>
      <c r="AE26" s="58"/>
      <c r="AF26" s="59">
        <v>6</v>
      </c>
      <c r="AG26" s="58"/>
      <c r="AH26" s="59">
        <v>180</v>
      </c>
      <c r="AI26" s="91"/>
      <c r="AJ26" s="4"/>
      <c r="AK26" s="4"/>
      <c r="AL26" s="4"/>
      <c r="AM26" s="4"/>
      <c r="AN26" s="57">
        <v>3</v>
      </c>
      <c r="AO26" s="58"/>
      <c r="AP26" s="59">
        <v>6</v>
      </c>
      <c r="AQ26" s="58"/>
      <c r="AR26" s="59">
        <v>195</v>
      </c>
      <c r="AS26" s="91"/>
      <c r="AT26" s="4"/>
      <c r="AU26" s="4"/>
      <c r="AV26" s="4"/>
      <c r="AW26" s="4"/>
      <c r="AX26" s="110">
        <v>2</v>
      </c>
      <c r="AY26" s="111"/>
      <c r="AZ26" s="108">
        <v>2</v>
      </c>
      <c r="BA26" s="111"/>
      <c r="BB26" s="108">
        <v>90</v>
      </c>
      <c r="BC26" s="109"/>
      <c r="BD26" s="4"/>
      <c r="BE26" s="4"/>
      <c r="BF26" s="4"/>
      <c r="BG26" s="4"/>
      <c r="BH26" s="110">
        <v>2</v>
      </c>
      <c r="BI26" s="111"/>
      <c r="BJ26" s="108">
        <v>2</v>
      </c>
      <c r="BK26" s="111"/>
      <c r="BL26" s="108">
        <v>90</v>
      </c>
      <c r="BM26" s="109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thickBot="1" x14ac:dyDescent="0.35">
      <c r="B27" s="118"/>
      <c r="C27" s="1"/>
      <c r="D27" s="119"/>
      <c r="E27" s="11">
        <f>SUM(J26,T26,AD26,AN26,AX26,BH26,BR26)</f>
        <v>16</v>
      </c>
      <c r="F27" s="11">
        <f>SUM(J27:BW27)</f>
        <v>25</v>
      </c>
      <c r="G27" s="105"/>
      <c r="H27" s="2"/>
      <c r="I27" s="2"/>
      <c r="J27" s="20">
        <v>2</v>
      </c>
      <c r="K27" s="21"/>
      <c r="L27" s="22">
        <v>0</v>
      </c>
      <c r="M27" s="21"/>
      <c r="N27" s="22">
        <v>2</v>
      </c>
      <c r="O27" s="23"/>
      <c r="P27" s="4"/>
      <c r="Q27" s="4"/>
      <c r="R27" s="4"/>
      <c r="S27" s="4"/>
      <c r="T27" s="92">
        <v>2</v>
      </c>
      <c r="U27" s="93"/>
      <c r="V27" s="70">
        <v>0</v>
      </c>
      <c r="W27" s="93"/>
      <c r="X27" s="70">
        <v>3</v>
      </c>
      <c r="Y27" s="71"/>
      <c r="Z27" s="4"/>
      <c r="AA27" s="4"/>
      <c r="AB27" s="4"/>
      <c r="AC27" s="4"/>
      <c r="AD27" s="92">
        <v>1</v>
      </c>
      <c r="AE27" s="93"/>
      <c r="AF27" s="70">
        <v>2</v>
      </c>
      <c r="AG27" s="93"/>
      <c r="AH27" s="70">
        <v>3</v>
      </c>
      <c r="AI27" s="71"/>
      <c r="AJ27" s="4"/>
      <c r="AK27" s="4"/>
      <c r="AL27" s="4"/>
      <c r="AM27" s="4"/>
      <c r="AN27" s="92">
        <v>2</v>
      </c>
      <c r="AO27" s="93"/>
      <c r="AP27" s="70">
        <v>2</v>
      </c>
      <c r="AQ27" s="93"/>
      <c r="AR27" s="70">
        <v>2</v>
      </c>
      <c r="AS27" s="71"/>
      <c r="AT27" s="4"/>
      <c r="AU27" s="4"/>
      <c r="AV27" s="4"/>
      <c r="AW27" s="4"/>
      <c r="AX27" s="112">
        <v>2</v>
      </c>
      <c r="AY27" s="113"/>
      <c r="AZ27" s="106">
        <v>0</v>
      </c>
      <c r="BA27" s="113"/>
      <c r="BB27" s="106">
        <v>0</v>
      </c>
      <c r="BC27" s="107"/>
      <c r="BD27" s="4"/>
      <c r="BE27" s="4"/>
      <c r="BF27" s="4"/>
      <c r="BG27" s="4"/>
      <c r="BH27" s="112">
        <v>2</v>
      </c>
      <c r="BI27" s="113"/>
      <c r="BJ27" s="106">
        <v>0</v>
      </c>
      <c r="BK27" s="113"/>
      <c r="BL27" s="106">
        <v>0</v>
      </c>
      <c r="BM27" s="107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114</v>
      </c>
      <c r="K32" s="25"/>
      <c r="L32" s="26"/>
      <c r="M32" s="38">
        <v>231</v>
      </c>
      <c r="N32" s="102"/>
      <c r="O32" s="103"/>
      <c r="P32" s="4"/>
      <c r="Q32" s="4"/>
      <c r="R32" s="4"/>
      <c r="S32" s="4"/>
      <c r="T32" s="24" t="s">
        <v>114</v>
      </c>
      <c r="U32" s="25"/>
      <c r="V32" s="26"/>
      <c r="W32" s="38">
        <v>312</v>
      </c>
      <c r="X32" s="39"/>
      <c r="Y32" s="40"/>
      <c r="Z32" s="4"/>
      <c r="AA32" s="4"/>
      <c r="AB32" s="4"/>
      <c r="AC32" s="4"/>
      <c r="AD32" s="24" t="s">
        <v>19</v>
      </c>
      <c r="AE32" s="25"/>
      <c r="AF32" s="26"/>
      <c r="AG32" s="38">
        <v>132</v>
      </c>
      <c r="AH32" s="39"/>
      <c r="AI32" s="40"/>
      <c r="AJ32" s="4"/>
      <c r="AK32" s="4"/>
      <c r="AL32" s="4"/>
      <c r="AM32" s="4"/>
      <c r="AN32" s="24" t="s">
        <v>48</v>
      </c>
      <c r="AO32" s="25"/>
      <c r="AP32" s="26"/>
      <c r="AQ32" s="38">
        <v>111</v>
      </c>
      <c r="AR32" s="39"/>
      <c r="AS32" s="40"/>
      <c r="AT32" s="4"/>
      <c r="AU32" s="4"/>
      <c r="AV32" s="4"/>
      <c r="AW32" s="4"/>
      <c r="AX32" s="24" t="s">
        <v>136</v>
      </c>
      <c r="AY32" s="25"/>
      <c r="AZ32" s="26"/>
      <c r="BA32" s="38" t="s">
        <v>110</v>
      </c>
      <c r="BB32" s="39"/>
      <c r="BC32" s="40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SUM(N34,X34,AH34,AR34,BB34)</f>
        <v>870</v>
      </c>
      <c r="H33" s="2"/>
      <c r="I33" s="2"/>
      <c r="J33" s="30" t="s">
        <v>199</v>
      </c>
      <c r="K33" s="31"/>
      <c r="L33" s="31"/>
      <c r="M33" s="31"/>
      <c r="N33" s="32"/>
      <c r="O33" s="33"/>
      <c r="P33" s="4"/>
      <c r="Q33" s="4"/>
      <c r="R33" s="4"/>
      <c r="S33" s="4"/>
      <c r="T33" s="30" t="s">
        <v>250</v>
      </c>
      <c r="U33" s="31"/>
      <c r="V33" s="31"/>
      <c r="W33" s="31"/>
      <c r="X33" s="32"/>
      <c r="Y33" s="33"/>
      <c r="Z33" s="4"/>
      <c r="AA33" s="4"/>
      <c r="AB33" s="4"/>
      <c r="AC33" s="4"/>
      <c r="AD33" s="53" t="s">
        <v>198</v>
      </c>
      <c r="AE33" s="54"/>
      <c r="AF33" s="54"/>
      <c r="AG33" s="54"/>
      <c r="AH33" s="55"/>
      <c r="AI33" s="56"/>
      <c r="AJ33" s="4"/>
      <c r="AK33" s="4"/>
      <c r="AL33" s="4"/>
      <c r="AM33" s="4"/>
      <c r="AN33" s="146" t="s">
        <v>47</v>
      </c>
      <c r="AO33" s="147"/>
      <c r="AP33" s="147"/>
      <c r="AQ33" s="147"/>
      <c r="AR33" s="148"/>
      <c r="AS33" s="149"/>
      <c r="AT33" s="4"/>
      <c r="AU33" s="4"/>
      <c r="AV33" s="4"/>
      <c r="AW33" s="4"/>
      <c r="AX33" s="30" t="s">
        <v>28</v>
      </c>
      <c r="AY33" s="31"/>
      <c r="AZ33" s="31"/>
      <c r="BA33" s="31"/>
      <c r="BB33" s="32"/>
      <c r="BC33" s="33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34">
        <v>3</v>
      </c>
      <c r="K34" s="35"/>
      <c r="L34" s="36">
        <v>5</v>
      </c>
      <c r="M34" s="35"/>
      <c r="N34" s="36">
        <v>195</v>
      </c>
      <c r="O34" s="37"/>
      <c r="P34" s="4"/>
      <c r="Q34" s="4"/>
      <c r="R34" s="4"/>
      <c r="S34" s="4"/>
      <c r="T34" s="34">
        <v>3</v>
      </c>
      <c r="U34" s="35"/>
      <c r="V34" s="36">
        <v>4</v>
      </c>
      <c r="W34" s="35"/>
      <c r="X34" s="36">
        <v>150</v>
      </c>
      <c r="Y34" s="37"/>
      <c r="Z34" s="4"/>
      <c r="AA34" s="4"/>
      <c r="AB34" s="4"/>
      <c r="AC34" s="4"/>
      <c r="AD34" s="57">
        <v>3</v>
      </c>
      <c r="AE34" s="58"/>
      <c r="AF34" s="59">
        <v>5</v>
      </c>
      <c r="AG34" s="58"/>
      <c r="AH34" s="59">
        <v>165</v>
      </c>
      <c r="AI34" s="91"/>
      <c r="AJ34" s="4"/>
      <c r="AK34" s="4"/>
      <c r="AL34" s="4"/>
      <c r="AM34" s="4"/>
      <c r="AN34" s="138">
        <v>3</v>
      </c>
      <c r="AO34" s="139"/>
      <c r="AP34" s="140">
        <v>5</v>
      </c>
      <c r="AQ34" s="139"/>
      <c r="AR34" s="140">
        <v>180</v>
      </c>
      <c r="AS34" s="141"/>
      <c r="AT34" s="4"/>
      <c r="AU34" s="4"/>
      <c r="AV34" s="4"/>
      <c r="AW34" s="4"/>
      <c r="AX34" s="34">
        <v>3</v>
      </c>
      <c r="AY34" s="35"/>
      <c r="AZ34" s="36">
        <v>5</v>
      </c>
      <c r="BA34" s="35"/>
      <c r="BB34" s="36">
        <v>180</v>
      </c>
      <c r="BC34" s="37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SUM(J34,T34,AD34,AN34,AX34)</f>
        <v>15</v>
      </c>
      <c r="F35" s="11">
        <f>SUM(J35:BM35)</f>
        <v>24</v>
      </c>
      <c r="G35" s="105"/>
      <c r="H35" s="2"/>
      <c r="I35" s="2"/>
      <c r="J35" s="20">
        <v>2</v>
      </c>
      <c r="K35" s="21"/>
      <c r="L35" s="22">
        <v>1</v>
      </c>
      <c r="M35" s="21"/>
      <c r="N35" s="22">
        <v>2</v>
      </c>
      <c r="O35" s="23"/>
      <c r="P35" s="4"/>
      <c r="Q35" s="4"/>
      <c r="R35" s="4"/>
      <c r="S35" s="4"/>
      <c r="T35" s="20">
        <v>2</v>
      </c>
      <c r="U35" s="21"/>
      <c r="V35" s="22">
        <v>2</v>
      </c>
      <c r="W35" s="21"/>
      <c r="X35" s="22">
        <v>0</v>
      </c>
      <c r="Y35" s="23"/>
      <c r="Z35" s="4"/>
      <c r="AA35" s="4"/>
      <c r="AB35" s="4"/>
      <c r="AC35" s="4"/>
      <c r="AD35" s="92">
        <v>2</v>
      </c>
      <c r="AE35" s="93"/>
      <c r="AF35" s="70">
        <v>1</v>
      </c>
      <c r="AG35" s="93"/>
      <c r="AH35" s="70">
        <v>2</v>
      </c>
      <c r="AI35" s="71"/>
      <c r="AJ35" s="4"/>
      <c r="AK35" s="4"/>
      <c r="AL35" s="4"/>
      <c r="AM35" s="4"/>
      <c r="AN35" s="142">
        <v>2</v>
      </c>
      <c r="AO35" s="143"/>
      <c r="AP35" s="144">
        <v>1</v>
      </c>
      <c r="AQ35" s="143"/>
      <c r="AR35" s="144">
        <v>2</v>
      </c>
      <c r="AS35" s="145"/>
      <c r="AT35" s="4"/>
      <c r="AU35" s="4"/>
      <c r="AV35" s="4"/>
      <c r="AW35" s="4"/>
      <c r="AX35" s="20">
        <v>2</v>
      </c>
      <c r="AY35" s="21"/>
      <c r="AZ35" s="22">
        <v>1</v>
      </c>
      <c r="BA35" s="21"/>
      <c r="BB35" s="22">
        <v>2</v>
      </c>
      <c r="BC35" s="23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3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137</v>
      </c>
      <c r="K42" s="25"/>
      <c r="L42" s="26"/>
      <c r="M42" s="38" t="s">
        <v>110</v>
      </c>
      <c r="N42" s="39"/>
      <c r="O42" s="40"/>
      <c r="P42" s="4"/>
      <c r="Q42" s="4"/>
      <c r="R42" s="4"/>
      <c r="S42" s="4"/>
      <c r="T42" s="24" t="s">
        <v>19</v>
      </c>
      <c r="U42" s="25"/>
      <c r="V42" s="26"/>
      <c r="W42" s="38">
        <v>221</v>
      </c>
      <c r="X42" s="102"/>
      <c r="Y42" s="103"/>
      <c r="Z42" s="4"/>
      <c r="AA42" s="4"/>
      <c r="AB42" s="4"/>
      <c r="AC42" s="4"/>
      <c r="AD42" s="24" t="s">
        <v>121</v>
      </c>
      <c r="AE42" s="25"/>
      <c r="AF42" s="26"/>
      <c r="AG42" s="38" t="s">
        <v>109</v>
      </c>
      <c r="AH42" s="39"/>
      <c r="AI42" s="40"/>
      <c r="AJ42" s="4"/>
      <c r="AK42" s="4"/>
      <c r="AL42" s="4"/>
      <c r="AM42" s="4"/>
      <c r="AN42" s="24" t="s">
        <v>19</v>
      </c>
      <c r="AO42" s="25"/>
      <c r="AP42" s="26"/>
      <c r="AQ42" s="38">
        <v>233</v>
      </c>
      <c r="AR42" s="39"/>
      <c r="AS42" s="40"/>
      <c r="AT42" s="4"/>
      <c r="AU42" s="4"/>
      <c r="AV42" s="4"/>
      <c r="AW42" s="4"/>
      <c r="AX42" s="24" t="s">
        <v>48</v>
      </c>
      <c r="AY42" s="25"/>
      <c r="AZ42" s="26"/>
      <c r="BA42" s="38">
        <v>121</v>
      </c>
      <c r="BB42" s="39"/>
      <c r="BC42" s="40"/>
      <c r="BD42" s="4"/>
      <c r="BE42" s="4"/>
      <c r="BF42" s="4"/>
      <c r="BG42" s="4"/>
      <c r="BH42" s="24" t="s">
        <v>19</v>
      </c>
      <c r="BI42" s="25"/>
      <c r="BJ42" s="26"/>
      <c r="BK42" s="38">
        <v>291</v>
      </c>
      <c r="BL42" s="102"/>
      <c r="BM42" s="103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855</v>
      </c>
      <c r="H43" s="2"/>
      <c r="I43" s="2"/>
      <c r="J43" s="30" t="s">
        <v>29</v>
      </c>
      <c r="K43" s="31"/>
      <c r="L43" s="31"/>
      <c r="M43" s="31"/>
      <c r="N43" s="32"/>
      <c r="O43" s="33"/>
      <c r="P43" s="4"/>
      <c r="Q43" s="4"/>
      <c r="R43" s="4"/>
      <c r="S43" s="4"/>
      <c r="T43" s="53" t="s">
        <v>43</v>
      </c>
      <c r="U43" s="54"/>
      <c r="V43" s="54"/>
      <c r="W43" s="54"/>
      <c r="X43" s="55"/>
      <c r="Y43" s="56"/>
      <c r="Z43" s="4"/>
      <c r="AA43" s="4"/>
      <c r="AB43" s="4"/>
      <c r="AC43" s="4"/>
      <c r="AD43" s="114" t="s">
        <v>21</v>
      </c>
      <c r="AE43" s="115"/>
      <c r="AF43" s="115"/>
      <c r="AG43" s="115"/>
      <c r="AH43" s="116"/>
      <c r="AI43" s="117"/>
      <c r="AJ43" s="4"/>
      <c r="AK43" s="4"/>
      <c r="AL43" s="4"/>
      <c r="AM43" s="4"/>
      <c r="AN43" s="53" t="s">
        <v>40</v>
      </c>
      <c r="AO43" s="54"/>
      <c r="AP43" s="54"/>
      <c r="AQ43" s="54"/>
      <c r="AR43" s="55"/>
      <c r="AS43" s="56"/>
      <c r="AT43" s="4"/>
      <c r="AU43" s="4"/>
      <c r="AV43" s="4"/>
      <c r="AW43" s="4"/>
      <c r="AX43" s="146" t="s">
        <v>49</v>
      </c>
      <c r="AY43" s="147"/>
      <c r="AZ43" s="147"/>
      <c r="BA43" s="147"/>
      <c r="BB43" s="148"/>
      <c r="BC43" s="149"/>
      <c r="BD43" s="4"/>
      <c r="BE43" s="4"/>
      <c r="BF43" s="4"/>
      <c r="BG43" s="4"/>
      <c r="BH43" s="41" t="s">
        <v>248</v>
      </c>
      <c r="BI43" s="42"/>
      <c r="BJ43" s="42"/>
      <c r="BK43" s="42"/>
      <c r="BL43" s="43"/>
      <c r="BM43" s="4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34">
        <v>3</v>
      </c>
      <c r="K44" s="35"/>
      <c r="L44" s="36">
        <v>5</v>
      </c>
      <c r="M44" s="35"/>
      <c r="N44" s="36">
        <v>180</v>
      </c>
      <c r="O44" s="37"/>
      <c r="P44" s="4"/>
      <c r="Q44" s="4"/>
      <c r="R44" s="4"/>
      <c r="S44" s="4"/>
      <c r="T44" s="57">
        <v>3</v>
      </c>
      <c r="U44" s="58"/>
      <c r="V44" s="59">
        <v>5</v>
      </c>
      <c r="W44" s="58"/>
      <c r="X44" s="59">
        <v>180</v>
      </c>
      <c r="Y44" s="91"/>
      <c r="Z44" s="4"/>
      <c r="AA44" s="4"/>
      <c r="AB44" s="4"/>
      <c r="AC44" s="4"/>
      <c r="AD44" s="110">
        <v>2</v>
      </c>
      <c r="AE44" s="111"/>
      <c r="AF44" s="108">
        <v>2</v>
      </c>
      <c r="AG44" s="111"/>
      <c r="AH44" s="108">
        <v>90</v>
      </c>
      <c r="AI44" s="109"/>
      <c r="AJ44" s="4"/>
      <c r="AK44" s="4"/>
      <c r="AL44" s="4"/>
      <c r="AM44" s="4"/>
      <c r="AN44" s="57">
        <v>3</v>
      </c>
      <c r="AO44" s="58"/>
      <c r="AP44" s="59">
        <v>5</v>
      </c>
      <c r="AQ44" s="58"/>
      <c r="AR44" s="59">
        <v>165</v>
      </c>
      <c r="AS44" s="91"/>
      <c r="AT44" s="4"/>
      <c r="AU44" s="4"/>
      <c r="AV44" s="4"/>
      <c r="AW44" s="4"/>
      <c r="AX44" s="138">
        <v>3</v>
      </c>
      <c r="AY44" s="139"/>
      <c r="AZ44" s="140">
        <v>5</v>
      </c>
      <c r="BA44" s="139"/>
      <c r="BB44" s="140">
        <v>180</v>
      </c>
      <c r="BC44" s="141"/>
      <c r="BD44" s="4"/>
      <c r="BE44" s="4"/>
      <c r="BF44" s="4"/>
      <c r="BG44" s="4"/>
      <c r="BH44" s="45">
        <v>2</v>
      </c>
      <c r="BI44" s="46"/>
      <c r="BJ44" s="47">
        <v>2</v>
      </c>
      <c r="BK44" s="46"/>
      <c r="BL44" s="47">
        <v>60</v>
      </c>
      <c r="BM44" s="48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16</v>
      </c>
      <c r="F45" s="11">
        <f>SUM(J45:BM45)</f>
        <v>24</v>
      </c>
      <c r="G45" s="105"/>
      <c r="H45" s="2"/>
      <c r="I45" s="2"/>
      <c r="J45" s="20">
        <v>2</v>
      </c>
      <c r="K45" s="21"/>
      <c r="L45" s="22">
        <v>2</v>
      </c>
      <c r="M45" s="21"/>
      <c r="N45" s="22">
        <v>1</v>
      </c>
      <c r="O45" s="23"/>
      <c r="P45" s="4"/>
      <c r="Q45" s="4"/>
      <c r="R45" s="4"/>
      <c r="S45" s="4"/>
      <c r="T45" s="92">
        <v>2</v>
      </c>
      <c r="U45" s="93"/>
      <c r="V45" s="70">
        <v>1</v>
      </c>
      <c r="W45" s="93"/>
      <c r="X45" s="70">
        <v>2</v>
      </c>
      <c r="Y45" s="71"/>
      <c r="Z45" s="4"/>
      <c r="AA45" s="4"/>
      <c r="AB45" s="4"/>
      <c r="AC45" s="4"/>
      <c r="AD45" s="112">
        <v>2</v>
      </c>
      <c r="AE45" s="113"/>
      <c r="AF45" s="106">
        <v>0</v>
      </c>
      <c r="AG45" s="113"/>
      <c r="AH45" s="106">
        <v>0</v>
      </c>
      <c r="AI45" s="107"/>
      <c r="AJ45" s="4"/>
      <c r="AK45" s="4"/>
      <c r="AL45" s="4"/>
      <c r="AM45" s="4"/>
      <c r="AN45" s="92">
        <v>2</v>
      </c>
      <c r="AO45" s="93"/>
      <c r="AP45" s="70">
        <v>1</v>
      </c>
      <c r="AQ45" s="93"/>
      <c r="AR45" s="70">
        <v>2</v>
      </c>
      <c r="AS45" s="71"/>
      <c r="AT45" s="4"/>
      <c r="AU45" s="4"/>
      <c r="AV45" s="4"/>
      <c r="AW45" s="4"/>
      <c r="AX45" s="142">
        <v>2</v>
      </c>
      <c r="AY45" s="143"/>
      <c r="AZ45" s="144">
        <v>1</v>
      </c>
      <c r="BA45" s="143"/>
      <c r="BB45" s="144">
        <v>2</v>
      </c>
      <c r="BC45" s="145"/>
      <c r="BD45" s="4"/>
      <c r="BE45" s="4"/>
      <c r="BF45" s="4"/>
      <c r="BG45" s="4"/>
      <c r="BH45" s="49">
        <v>2</v>
      </c>
      <c r="BI45" s="50"/>
      <c r="BJ45" s="51">
        <v>0</v>
      </c>
      <c r="BK45" s="50"/>
      <c r="BL45" s="51">
        <v>0</v>
      </c>
      <c r="BM45" s="52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19</v>
      </c>
      <c r="K50" s="25"/>
      <c r="L50" s="26"/>
      <c r="M50" s="38">
        <v>211</v>
      </c>
      <c r="N50" s="39"/>
      <c r="O50" s="40"/>
      <c r="P50" s="4"/>
      <c r="Q50" s="4"/>
      <c r="R50" s="4"/>
      <c r="S50" s="4"/>
      <c r="T50" s="24" t="s">
        <v>19</v>
      </c>
      <c r="U50" s="25"/>
      <c r="V50" s="26"/>
      <c r="W50" s="38">
        <v>251</v>
      </c>
      <c r="X50" s="102"/>
      <c r="Y50" s="103"/>
      <c r="Z50" s="4"/>
      <c r="AA50" s="4"/>
      <c r="AB50" s="4"/>
      <c r="AC50" s="4"/>
      <c r="AD50" s="24" t="s">
        <v>19</v>
      </c>
      <c r="AE50" s="25"/>
      <c r="AF50" s="26"/>
      <c r="AG50" s="38">
        <v>261</v>
      </c>
      <c r="AH50" s="102"/>
      <c r="AI50" s="103"/>
      <c r="AJ50" s="4"/>
      <c r="AK50" s="4"/>
      <c r="AL50" s="4"/>
      <c r="AM50" s="4"/>
      <c r="AN50" s="24" t="s">
        <v>19</v>
      </c>
      <c r="AO50" s="25"/>
      <c r="AP50" s="26"/>
      <c r="AQ50" s="38">
        <v>112</v>
      </c>
      <c r="AR50" s="102"/>
      <c r="AS50" s="103"/>
      <c r="AT50" s="4"/>
      <c r="AU50" s="4"/>
      <c r="AV50" s="4"/>
      <c r="AW50" s="4"/>
      <c r="AX50" s="24" t="s">
        <v>19</v>
      </c>
      <c r="AY50" s="25"/>
      <c r="AZ50" s="26"/>
      <c r="BA50" s="38">
        <v>234</v>
      </c>
      <c r="BB50" s="102"/>
      <c r="BC50" s="103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SUM(N52,X52,AH52,AR52,BB52)</f>
        <v>885</v>
      </c>
      <c r="H51" s="2"/>
      <c r="I51" s="2"/>
      <c r="J51" s="53" t="s">
        <v>201</v>
      </c>
      <c r="K51" s="54"/>
      <c r="L51" s="54"/>
      <c r="M51" s="54"/>
      <c r="N51" s="55"/>
      <c r="O51" s="56"/>
      <c r="P51" s="4"/>
      <c r="Q51" s="4"/>
      <c r="R51" s="4"/>
      <c r="S51" s="4"/>
      <c r="T51" s="53" t="s">
        <v>67</v>
      </c>
      <c r="U51" s="54"/>
      <c r="V51" s="54"/>
      <c r="W51" s="54"/>
      <c r="X51" s="55"/>
      <c r="Y51" s="56"/>
      <c r="Z51" s="4"/>
      <c r="AA51" s="4"/>
      <c r="AB51" s="4"/>
      <c r="AC51" s="4"/>
      <c r="AD51" s="53" t="s">
        <v>41</v>
      </c>
      <c r="AE51" s="54"/>
      <c r="AF51" s="54"/>
      <c r="AG51" s="54"/>
      <c r="AH51" s="55"/>
      <c r="AI51" s="56"/>
      <c r="AJ51" s="4"/>
      <c r="AK51" s="4"/>
      <c r="AL51" s="4"/>
      <c r="AM51" s="4"/>
      <c r="AN51" s="53" t="s">
        <v>38</v>
      </c>
      <c r="AO51" s="54"/>
      <c r="AP51" s="54"/>
      <c r="AQ51" s="54"/>
      <c r="AR51" s="55"/>
      <c r="AS51" s="56"/>
      <c r="AT51" s="4"/>
      <c r="AU51" s="4"/>
      <c r="AV51" s="4"/>
      <c r="AW51" s="4"/>
      <c r="AX51" s="53" t="s">
        <v>200</v>
      </c>
      <c r="AY51" s="54"/>
      <c r="AZ51" s="54"/>
      <c r="BA51" s="54"/>
      <c r="BB51" s="55"/>
      <c r="BC51" s="56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57">
        <v>3</v>
      </c>
      <c r="K52" s="58"/>
      <c r="L52" s="59">
        <v>5</v>
      </c>
      <c r="M52" s="58"/>
      <c r="N52" s="59">
        <v>165</v>
      </c>
      <c r="O52" s="91"/>
      <c r="P52" s="4"/>
      <c r="Q52" s="4"/>
      <c r="R52" s="4"/>
      <c r="S52" s="4"/>
      <c r="T52" s="57">
        <v>3</v>
      </c>
      <c r="U52" s="58"/>
      <c r="V52" s="59">
        <v>5</v>
      </c>
      <c r="W52" s="58"/>
      <c r="X52" s="59">
        <v>180</v>
      </c>
      <c r="Y52" s="91"/>
      <c r="Z52" s="4"/>
      <c r="AA52" s="4"/>
      <c r="AB52" s="4"/>
      <c r="AC52" s="4"/>
      <c r="AD52" s="57">
        <v>3</v>
      </c>
      <c r="AE52" s="58"/>
      <c r="AF52" s="59">
        <v>5</v>
      </c>
      <c r="AG52" s="58"/>
      <c r="AH52" s="59">
        <v>165</v>
      </c>
      <c r="AI52" s="91"/>
      <c r="AJ52" s="4"/>
      <c r="AK52" s="4"/>
      <c r="AL52" s="4"/>
      <c r="AM52" s="4"/>
      <c r="AN52" s="57">
        <v>4</v>
      </c>
      <c r="AO52" s="58"/>
      <c r="AP52" s="59">
        <v>6</v>
      </c>
      <c r="AQ52" s="58"/>
      <c r="AR52" s="59">
        <v>195</v>
      </c>
      <c r="AS52" s="91"/>
      <c r="AT52" s="4"/>
      <c r="AU52" s="4"/>
      <c r="AV52" s="4"/>
      <c r="AW52" s="4"/>
      <c r="AX52" s="57">
        <v>3</v>
      </c>
      <c r="AY52" s="58"/>
      <c r="AZ52" s="59">
        <v>5</v>
      </c>
      <c r="BA52" s="58"/>
      <c r="BB52" s="59">
        <v>180</v>
      </c>
      <c r="BC52" s="91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</f>
        <v>16</v>
      </c>
      <c r="F53" s="11">
        <f>L52+V52+AF52+AP52+AZ52</f>
        <v>26</v>
      </c>
      <c r="G53" s="105"/>
      <c r="H53" s="2"/>
      <c r="I53" s="2"/>
      <c r="J53" s="92">
        <v>2</v>
      </c>
      <c r="K53" s="93"/>
      <c r="L53" s="70">
        <v>1</v>
      </c>
      <c r="M53" s="93"/>
      <c r="N53" s="70">
        <v>2</v>
      </c>
      <c r="O53" s="71"/>
      <c r="P53" s="4"/>
      <c r="Q53" s="4"/>
      <c r="R53" s="4"/>
      <c r="S53" s="4"/>
      <c r="T53" s="92">
        <v>2</v>
      </c>
      <c r="U53" s="93"/>
      <c r="V53" s="70">
        <v>1</v>
      </c>
      <c r="W53" s="93"/>
      <c r="X53" s="70">
        <v>2</v>
      </c>
      <c r="Y53" s="71"/>
      <c r="Z53" s="4"/>
      <c r="AA53" s="4"/>
      <c r="AB53" s="4"/>
      <c r="AC53" s="4"/>
      <c r="AD53" s="92">
        <v>2</v>
      </c>
      <c r="AE53" s="93"/>
      <c r="AF53" s="70">
        <v>1</v>
      </c>
      <c r="AG53" s="93"/>
      <c r="AH53" s="70">
        <v>2</v>
      </c>
      <c r="AI53" s="71"/>
      <c r="AJ53" s="4"/>
      <c r="AK53" s="4"/>
      <c r="AL53" s="4"/>
      <c r="AM53" s="4"/>
      <c r="AN53" s="92">
        <v>3</v>
      </c>
      <c r="AO53" s="93"/>
      <c r="AP53" s="70">
        <v>3</v>
      </c>
      <c r="AQ53" s="93"/>
      <c r="AR53" s="70">
        <v>0</v>
      </c>
      <c r="AS53" s="71"/>
      <c r="AT53" s="4"/>
      <c r="AU53" s="4"/>
      <c r="AV53" s="4"/>
      <c r="AW53" s="4"/>
      <c r="AX53" s="92">
        <v>2</v>
      </c>
      <c r="AY53" s="93"/>
      <c r="AZ53" s="70">
        <v>1</v>
      </c>
      <c r="BA53" s="93"/>
      <c r="BB53" s="70">
        <v>2</v>
      </c>
      <c r="BC53" s="71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2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167</v>
      </c>
      <c r="K60" s="25"/>
      <c r="L60" s="26"/>
      <c r="M60" s="38">
        <v>432</v>
      </c>
      <c r="N60" s="39"/>
      <c r="O60" s="40"/>
      <c r="P60" s="4"/>
      <c r="Q60" s="4"/>
      <c r="R60" s="4"/>
      <c r="S60" s="4"/>
      <c r="T60" s="24" t="s">
        <v>19</v>
      </c>
      <c r="U60" s="25"/>
      <c r="V60" s="26"/>
      <c r="W60" s="38">
        <v>242</v>
      </c>
      <c r="X60" s="39"/>
      <c r="Y60" s="40"/>
      <c r="Z60" s="4"/>
      <c r="AA60" s="4"/>
      <c r="AB60" s="4"/>
      <c r="AC60" s="4"/>
      <c r="AD60" s="24" t="s">
        <v>19</v>
      </c>
      <c r="AE60" s="25"/>
      <c r="AF60" s="26"/>
      <c r="AG60" s="38">
        <v>271</v>
      </c>
      <c r="AH60" s="102"/>
      <c r="AI60" s="103"/>
      <c r="AJ60" s="4"/>
      <c r="AK60" s="4"/>
      <c r="AL60" s="4"/>
      <c r="AM60" s="4"/>
      <c r="AN60" s="24" t="s">
        <v>19</v>
      </c>
      <c r="AO60" s="25"/>
      <c r="AP60" s="26"/>
      <c r="AQ60" s="38">
        <v>344</v>
      </c>
      <c r="AR60" s="39"/>
      <c r="AS60" s="40"/>
      <c r="AT60" s="4"/>
      <c r="AU60" s="4"/>
      <c r="AV60" s="4"/>
      <c r="AW60" s="4"/>
      <c r="AX60" s="24" t="s">
        <v>19</v>
      </c>
      <c r="AY60" s="25"/>
      <c r="AZ60" s="26"/>
      <c r="BA60" s="38">
        <v>363</v>
      </c>
      <c r="BB60" s="102"/>
      <c r="BC60" s="103"/>
      <c r="BD60" s="4"/>
      <c r="BE60" s="4"/>
      <c r="BF60" s="4"/>
      <c r="BG60" s="4"/>
      <c r="BH60" s="24" t="s">
        <v>131</v>
      </c>
      <c r="BI60" s="25"/>
      <c r="BJ60" s="26"/>
      <c r="BK60" s="38" t="s">
        <v>109</v>
      </c>
      <c r="BL60" s="39"/>
      <c r="BM60" s="40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960</v>
      </c>
      <c r="H61" s="2"/>
      <c r="I61" s="2"/>
      <c r="J61" s="30" t="s">
        <v>27</v>
      </c>
      <c r="K61" s="31"/>
      <c r="L61" s="31"/>
      <c r="M61" s="31"/>
      <c r="N61" s="32"/>
      <c r="O61" s="33"/>
      <c r="P61" s="4"/>
      <c r="Q61" s="4"/>
      <c r="R61" s="4"/>
      <c r="S61" s="4"/>
      <c r="T61" s="94" t="s">
        <v>69</v>
      </c>
      <c r="U61" s="95"/>
      <c r="V61" s="95"/>
      <c r="W61" s="95"/>
      <c r="X61" s="96"/>
      <c r="Y61" s="97"/>
      <c r="Z61" s="4"/>
      <c r="AA61" s="4"/>
      <c r="AB61" s="4"/>
      <c r="AC61" s="4"/>
      <c r="AD61" s="94" t="s">
        <v>202</v>
      </c>
      <c r="AE61" s="95"/>
      <c r="AF61" s="95"/>
      <c r="AG61" s="95"/>
      <c r="AH61" s="96"/>
      <c r="AI61" s="97"/>
      <c r="AJ61" s="4"/>
      <c r="AK61" s="4"/>
      <c r="AL61" s="4"/>
      <c r="AM61" s="4"/>
      <c r="AN61" s="53" t="s">
        <v>204</v>
      </c>
      <c r="AO61" s="54"/>
      <c r="AP61" s="54"/>
      <c r="AQ61" s="54"/>
      <c r="AR61" s="55"/>
      <c r="AS61" s="56"/>
      <c r="AT61" s="4"/>
      <c r="AU61" s="4"/>
      <c r="AV61" s="4"/>
      <c r="AW61" s="4"/>
      <c r="AX61" s="53" t="s">
        <v>72</v>
      </c>
      <c r="AY61" s="54"/>
      <c r="AZ61" s="54"/>
      <c r="BA61" s="54"/>
      <c r="BB61" s="55"/>
      <c r="BC61" s="56"/>
      <c r="BD61" s="4"/>
      <c r="BE61" s="4"/>
      <c r="BF61" s="4"/>
      <c r="BG61" s="4"/>
      <c r="BH61" s="114" t="s">
        <v>20</v>
      </c>
      <c r="BI61" s="115"/>
      <c r="BJ61" s="115"/>
      <c r="BK61" s="115"/>
      <c r="BL61" s="116"/>
      <c r="BM61" s="117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34">
        <v>3</v>
      </c>
      <c r="K62" s="35"/>
      <c r="L62" s="36">
        <v>4</v>
      </c>
      <c r="M62" s="35"/>
      <c r="N62" s="36">
        <v>150</v>
      </c>
      <c r="O62" s="37"/>
      <c r="P62" s="4"/>
      <c r="Q62" s="4"/>
      <c r="R62" s="4"/>
      <c r="S62" s="4"/>
      <c r="T62" s="98">
        <v>3</v>
      </c>
      <c r="U62" s="99"/>
      <c r="V62" s="100">
        <v>5</v>
      </c>
      <c r="W62" s="99"/>
      <c r="X62" s="100">
        <v>180</v>
      </c>
      <c r="Y62" s="101"/>
      <c r="Z62" s="4"/>
      <c r="AA62" s="4"/>
      <c r="AB62" s="4"/>
      <c r="AC62" s="4"/>
      <c r="AD62" s="98">
        <v>3</v>
      </c>
      <c r="AE62" s="99"/>
      <c r="AF62" s="100">
        <v>5</v>
      </c>
      <c r="AG62" s="99"/>
      <c r="AH62" s="100">
        <v>180</v>
      </c>
      <c r="AI62" s="101"/>
      <c r="AJ62" s="4"/>
      <c r="AK62" s="4"/>
      <c r="AL62" s="4"/>
      <c r="AM62" s="4"/>
      <c r="AN62" s="57">
        <v>3</v>
      </c>
      <c r="AO62" s="58"/>
      <c r="AP62" s="59">
        <v>5</v>
      </c>
      <c r="AQ62" s="58"/>
      <c r="AR62" s="59">
        <v>180</v>
      </c>
      <c r="AS62" s="91"/>
      <c r="AT62" s="4"/>
      <c r="AU62" s="4"/>
      <c r="AV62" s="4"/>
      <c r="AW62" s="4"/>
      <c r="AX62" s="57">
        <v>3</v>
      </c>
      <c r="AY62" s="58"/>
      <c r="AZ62" s="59">
        <v>5</v>
      </c>
      <c r="BA62" s="58"/>
      <c r="BB62" s="59">
        <v>180</v>
      </c>
      <c r="BC62" s="91"/>
      <c r="BD62" s="4"/>
      <c r="BE62" s="4"/>
      <c r="BF62" s="4"/>
      <c r="BG62" s="4"/>
      <c r="BH62" s="110">
        <v>2</v>
      </c>
      <c r="BI62" s="111"/>
      <c r="BJ62" s="108">
        <v>2</v>
      </c>
      <c r="BK62" s="111"/>
      <c r="BL62" s="108">
        <v>90</v>
      </c>
      <c r="BM62" s="109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17</v>
      </c>
      <c r="F63" s="11">
        <f>SUM(J63:BM63)</f>
        <v>26</v>
      </c>
      <c r="G63" s="105"/>
      <c r="H63" s="2"/>
      <c r="I63" s="2"/>
      <c r="J63" s="20">
        <v>2</v>
      </c>
      <c r="K63" s="21"/>
      <c r="L63" s="22">
        <v>1</v>
      </c>
      <c r="M63" s="21"/>
      <c r="N63" s="22">
        <v>1</v>
      </c>
      <c r="O63" s="23"/>
      <c r="P63" s="4"/>
      <c r="Q63" s="4"/>
      <c r="R63" s="4"/>
      <c r="S63" s="4"/>
      <c r="T63" s="72">
        <v>2</v>
      </c>
      <c r="U63" s="73"/>
      <c r="V63" s="68">
        <v>1</v>
      </c>
      <c r="W63" s="73"/>
      <c r="X63" s="68">
        <v>2</v>
      </c>
      <c r="Y63" s="69"/>
      <c r="Z63" s="4"/>
      <c r="AA63" s="4"/>
      <c r="AB63" s="4"/>
      <c r="AC63" s="4"/>
      <c r="AD63" s="72">
        <v>2</v>
      </c>
      <c r="AE63" s="73"/>
      <c r="AF63" s="68">
        <v>1</v>
      </c>
      <c r="AG63" s="73"/>
      <c r="AH63" s="68">
        <v>2</v>
      </c>
      <c r="AI63" s="69"/>
      <c r="AJ63" s="4"/>
      <c r="AK63" s="4"/>
      <c r="AL63" s="4"/>
      <c r="AM63" s="4"/>
      <c r="AN63" s="92">
        <v>2</v>
      </c>
      <c r="AO63" s="93"/>
      <c r="AP63" s="70">
        <v>1</v>
      </c>
      <c r="AQ63" s="93"/>
      <c r="AR63" s="70">
        <v>2</v>
      </c>
      <c r="AS63" s="71"/>
      <c r="AT63" s="4"/>
      <c r="AU63" s="4"/>
      <c r="AV63" s="4"/>
      <c r="AW63" s="4"/>
      <c r="AX63" s="92">
        <v>2</v>
      </c>
      <c r="AY63" s="93"/>
      <c r="AZ63" s="70">
        <v>1</v>
      </c>
      <c r="BA63" s="93"/>
      <c r="BB63" s="70">
        <v>2</v>
      </c>
      <c r="BC63" s="71"/>
      <c r="BD63" s="4"/>
      <c r="BE63" s="4"/>
      <c r="BF63" s="4"/>
      <c r="BG63" s="4"/>
      <c r="BH63" s="112">
        <v>2</v>
      </c>
      <c r="BI63" s="113"/>
      <c r="BJ63" s="106">
        <v>0</v>
      </c>
      <c r="BK63" s="113"/>
      <c r="BL63" s="106">
        <v>0</v>
      </c>
      <c r="BM63" s="107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ht="14.55" customHeight="1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19</v>
      </c>
      <c r="K68" s="25"/>
      <c r="L68" s="26"/>
      <c r="M68" s="38">
        <v>272</v>
      </c>
      <c r="N68" s="102"/>
      <c r="O68" s="103"/>
      <c r="P68" s="4"/>
      <c r="Q68" s="4"/>
      <c r="R68" s="4"/>
      <c r="S68" s="4"/>
      <c r="T68" s="24" t="s">
        <v>19</v>
      </c>
      <c r="U68" s="25"/>
      <c r="V68" s="26"/>
      <c r="W68" s="38">
        <v>446</v>
      </c>
      <c r="X68" s="102"/>
      <c r="Y68" s="103"/>
      <c r="Z68" s="4"/>
      <c r="AA68" s="4"/>
      <c r="AB68" s="4"/>
      <c r="AC68" s="4"/>
      <c r="AD68" s="24" t="s">
        <v>19</v>
      </c>
      <c r="AE68" s="25"/>
      <c r="AF68" s="26"/>
      <c r="AG68" s="38">
        <v>464</v>
      </c>
      <c r="AH68" s="102"/>
      <c r="AI68" s="103"/>
      <c r="AJ68" s="4"/>
      <c r="AK68" s="4"/>
      <c r="AL68" s="4"/>
      <c r="AM68" s="4"/>
      <c r="AN68" s="24" t="s">
        <v>19</v>
      </c>
      <c r="AO68" s="25"/>
      <c r="AP68" s="26"/>
      <c r="AQ68" s="38">
        <v>322</v>
      </c>
      <c r="AR68" s="102"/>
      <c r="AS68" s="103"/>
      <c r="AT68" s="4"/>
      <c r="AU68" s="4"/>
      <c r="AV68" s="4"/>
      <c r="AW68" s="4"/>
      <c r="AX68" s="24" t="s">
        <v>19</v>
      </c>
      <c r="AY68" s="25"/>
      <c r="AZ68" s="26"/>
      <c r="BA68" s="38">
        <v>392</v>
      </c>
      <c r="BB68" s="39"/>
      <c r="BC68" s="40"/>
      <c r="BD68" s="4"/>
      <c r="BE68" s="4"/>
      <c r="BF68" s="4"/>
      <c r="BG68" s="4"/>
      <c r="BH68" s="24" t="s">
        <v>135</v>
      </c>
      <c r="BI68" s="25"/>
      <c r="BJ68" s="26"/>
      <c r="BK68" s="38" t="s">
        <v>111</v>
      </c>
      <c r="BL68" s="39"/>
      <c r="BM68" s="40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840</v>
      </c>
      <c r="H69" s="2"/>
      <c r="I69" s="2"/>
      <c r="J69" s="94" t="s">
        <v>203</v>
      </c>
      <c r="K69" s="95"/>
      <c r="L69" s="95"/>
      <c r="M69" s="95"/>
      <c r="N69" s="96"/>
      <c r="O69" s="97"/>
      <c r="P69" s="4"/>
      <c r="Q69" s="4"/>
      <c r="R69" s="4"/>
      <c r="S69" s="4"/>
      <c r="T69" s="94" t="s">
        <v>206</v>
      </c>
      <c r="U69" s="95"/>
      <c r="V69" s="95"/>
      <c r="W69" s="95"/>
      <c r="X69" s="96"/>
      <c r="Y69" s="97"/>
      <c r="Z69" s="4"/>
      <c r="AA69" s="4"/>
      <c r="AB69" s="4"/>
      <c r="AC69" s="4"/>
      <c r="AD69" s="94" t="s">
        <v>74</v>
      </c>
      <c r="AE69" s="95"/>
      <c r="AF69" s="95"/>
      <c r="AG69" s="95"/>
      <c r="AH69" s="96"/>
      <c r="AI69" s="97"/>
      <c r="AJ69" s="4"/>
      <c r="AK69" s="4"/>
      <c r="AL69" s="4"/>
      <c r="AM69" s="4"/>
      <c r="AN69" s="94" t="s">
        <v>211</v>
      </c>
      <c r="AO69" s="95"/>
      <c r="AP69" s="95"/>
      <c r="AQ69" s="95"/>
      <c r="AR69" s="96"/>
      <c r="AS69" s="97"/>
      <c r="AT69" s="4"/>
      <c r="AU69" s="4"/>
      <c r="AV69" s="4"/>
      <c r="AW69" s="4"/>
      <c r="AX69" s="41" t="s">
        <v>249</v>
      </c>
      <c r="AY69" s="42"/>
      <c r="AZ69" s="42"/>
      <c r="BA69" s="42"/>
      <c r="BB69" s="43"/>
      <c r="BC69" s="44"/>
      <c r="BD69" s="4"/>
      <c r="BE69" s="4"/>
      <c r="BF69" s="4"/>
      <c r="BG69" s="4"/>
      <c r="BH69" s="114" t="s">
        <v>134</v>
      </c>
      <c r="BI69" s="115"/>
      <c r="BJ69" s="115"/>
      <c r="BK69" s="115"/>
      <c r="BL69" s="116"/>
      <c r="BM69" s="117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98">
        <v>3</v>
      </c>
      <c r="K70" s="99"/>
      <c r="L70" s="100">
        <v>5</v>
      </c>
      <c r="M70" s="99"/>
      <c r="N70" s="100">
        <v>150</v>
      </c>
      <c r="O70" s="101"/>
      <c r="P70" s="4"/>
      <c r="Q70" s="4"/>
      <c r="R70" s="4"/>
      <c r="S70" s="4"/>
      <c r="T70" s="98">
        <v>3</v>
      </c>
      <c r="U70" s="99"/>
      <c r="V70" s="100">
        <v>5</v>
      </c>
      <c r="W70" s="99"/>
      <c r="X70" s="100">
        <v>180</v>
      </c>
      <c r="Y70" s="101"/>
      <c r="Z70" s="4"/>
      <c r="AA70" s="4"/>
      <c r="AB70" s="4"/>
      <c r="AC70" s="4"/>
      <c r="AD70" s="98">
        <v>3</v>
      </c>
      <c r="AE70" s="99"/>
      <c r="AF70" s="100">
        <v>5</v>
      </c>
      <c r="AG70" s="99"/>
      <c r="AH70" s="100">
        <v>180</v>
      </c>
      <c r="AI70" s="101"/>
      <c r="AJ70" s="4"/>
      <c r="AK70" s="4"/>
      <c r="AL70" s="4"/>
      <c r="AM70" s="4"/>
      <c r="AN70" s="98">
        <v>3</v>
      </c>
      <c r="AO70" s="99"/>
      <c r="AP70" s="100">
        <v>5</v>
      </c>
      <c r="AQ70" s="99"/>
      <c r="AR70" s="100">
        <v>180</v>
      </c>
      <c r="AS70" s="101"/>
      <c r="AT70" s="4"/>
      <c r="AU70" s="4"/>
      <c r="AV70" s="4"/>
      <c r="AW70" s="4"/>
      <c r="AX70" s="45">
        <v>2</v>
      </c>
      <c r="AY70" s="46"/>
      <c r="AZ70" s="47">
        <v>2</v>
      </c>
      <c r="BA70" s="46"/>
      <c r="BB70" s="47">
        <v>60</v>
      </c>
      <c r="BC70" s="48"/>
      <c r="BD70" s="4"/>
      <c r="BE70" s="4"/>
      <c r="BF70" s="4"/>
      <c r="BG70" s="4"/>
      <c r="BH70" s="110">
        <v>2</v>
      </c>
      <c r="BI70" s="111"/>
      <c r="BJ70" s="108">
        <v>2</v>
      </c>
      <c r="BK70" s="111"/>
      <c r="BL70" s="108">
        <v>90</v>
      </c>
      <c r="BM70" s="109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SUM(J70,T70,AD70,AN70,AX70,BH70)</f>
        <v>16</v>
      </c>
      <c r="F71" s="11">
        <f>L70+V70+AF70+AP70+AZ70+BJ70</f>
        <v>24</v>
      </c>
      <c r="G71" s="105"/>
      <c r="H71" s="2"/>
      <c r="I71" s="2"/>
      <c r="J71" s="72">
        <v>2</v>
      </c>
      <c r="K71" s="73"/>
      <c r="L71" s="68">
        <v>1</v>
      </c>
      <c r="M71" s="73"/>
      <c r="N71" s="68">
        <v>2</v>
      </c>
      <c r="O71" s="69"/>
      <c r="P71" s="4"/>
      <c r="Q71" s="4"/>
      <c r="R71" s="4"/>
      <c r="S71" s="4"/>
      <c r="T71" s="72">
        <v>2</v>
      </c>
      <c r="U71" s="73"/>
      <c r="V71" s="68">
        <v>1</v>
      </c>
      <c r="W71" s="73"/>
      <c r="X71" s="68">
        <v>2</v>
      </c>
      <c r="Y71" s="69"/>
      <c r="Z71" s="4"/>
      <c r="AA71" s="4"/>
      <c r="AB71" s="4"/>
      <c r="AC71" s="4"/>
      <c r="AD71" s="72">
        <v>2</v>
      </c>
      <c r="AE71" s="73"/>
      <c r="AF71" s="68">
        <v>1</v>
      </c>
      <c r="AG71" s="73"/>
      <c r="AH71" s="68">
        <v>2</v>
      </c>
      <c r="AI71" s="69"/>
      <c r="AJ71" s="4"/>
      <c r="AK71" s="4"/>
      <c r="AL71" s="4"/>
      <c r="AM71" s="4"/>
      <c r="AN71" s="72">
        <v>2</v>
      </c>
      <c r="AO71" s="73"/>
      <c r="AP71" s="68">
        <v>1</v>
      </c>
      <c r="AQ71" s="73"/>
      <c r="AR71" s="68">
        <v>2</v>
      </c>
      <c r="AS71" s="69"/>
      <c r="AT71" s="4"/>
      <c r="AU71" s="4"/>
      <c r="AV71" s="4"/>
      <c r="AW71" s="4"/>
      <c r="AX71" s="49">
        <v>2</v>
      </c>
      <c r="AY71" s="50"/>
      <c r="AZ71" s="51">
        <v>0</v>
      </c>
      <c r="BA71" s="50"/>
      <c r="BB71" s="51">
        <v>0</v>
      </c>
      <c r="BC71" s="52"/>
      <c r="BD71" s="4"/>
      <c r="BE71" s="4"/>
      <c r="BF71" s="4"/>
      <c r="BG71" s="4"/>
      <c r="BH71" s="112">
        <v>2</v>
      </c>
      <c r="BI71" s="113"/>
      <c r="BJ71" s="106">
        <v>0</v>
      </c>
      <c r="BK71" s="113"/>
      <c r="BL71" s="106">
        <v>0</v>
      </c>
      <c r="BM71" s="107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x14ac:dyDescent="0.3"/>
    <row r="77" spans="2:135" ht="10.050000000000001" customHeight="1" thickBot="1" x14ac:dyDescent="0.35">
      <c r="B77" s="118" t="s">
        <v>1</v>
      </c>
      <c r="C77" s="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2:135" ht="15" customHeight="1" x14ac:dyDescent="0.3">
      <c r="B78" s="118"/>
      <c r="C78" s="1"/>
      <c r="D78" s="119" t="s">
        <v>5</v>
      </c>
      <c r="E78" s="11"/>
      <c r="F78" s="11"/>
      <c r="G78" s="2"/>
      <c r="H78" s="2"/>
      <c r="I78" s="2"/>
      <c r="J78" s="24" t="s">
        <v>252</v>
      </c>
      <c r="K78" s="25"/>
      <c r="L78" s="26"/>
      <c r="M78" s="38" t="s">
        <v>111</v>
      </c>
      <c r="N78" s="39"/>
      <c r="O78" s="40"/>
      <c r="P78" s="4"/>
      <c r="Q78" s="4"/>
      <c r="R78" s="4"/>
      <c r="S78" s="4"/>
      <c r="T78" s="24" t="s">
        <v>254</v>
      </c>
      <c r="U78" s="25"/>
      <c r="V78" s="26"/>
      <c r="W78" s="38" t="s">
        <v>111</v>
      </c>
      <c r="X78" s="39"/>
      <c r="Y78" s="40"/>
      <c r="Z78" s="4"/>
      <c r="AA78" s="4"/>
      <c r="AB78" s="4"/>
      <c r="AC78" s="4"/>
      <c r="AD78" s="24" t="s">
        <v>19</v>
      </c>
      <c r="AE78" s="25"/>
      <c r="AF78" s="26"/>
      <c r="AG78" s="38">
        <v>465</v>
      </c>
      <c r="AH78" s="102"/>
      <c r="AI78" s="103"/>
      <c r="AJ78" s="4"/>
      <c r="AK78" s="4"/>
      <c r="AL78" s="4"/>
      <c r="AM78" s="4"/>
      <c r="AN78" s="24" t="s">
        <v>19</v>
      </c>
      <c r="AO78" s="25"/>
      <c r="AP78" s="26"/>
      <c r="AQ78" s="38">
        <v>493</v>
      </c>
      <c r="AR78" s="102"/>
      <c r="AS78" s="103"/>
      <c r="AT78" s="4"/>
      <c r="AU78" s="4"/>
      <c r="AV78" s="4"/>
      <c r="AW78" s="4"/>
      <c r="AX78" s="24" t="s">
        <v>141</v>
      </c>
      <c r="AY78" s="25"/>
      <c r="AZ78" s="26"/>
      <c r="BA78" s="38" t="s">
        <v>111</v>
      </c>
      <c r="BB78" s="39"/>
      <c r="BC78" s="40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79" s="118"/>
      <c r="C79" s="1"/>
      <c r="D79" s="119"/>
      <c r="E79" s="120" t="s">
        <v>16</v>
      </c>
      <c r="F79" s="120" t="s">
        <v>17</v>
      </c>
      <c r="G79" s="13">
        <f>SUM(N80,X80,AH80,AR80,BB80,BL98,BL80)</f>
        <v>810</v>
      </c>
      <c r="H79" s="2"/>
      <c r="I79" s="2"/>
      <c r="J79" s="76" t="s">
        <v>140</v>
      </c>
      <c r="K79" s="77"/>
      <c r="L79" s="77"/>
      <c r="M79" s="77"/>
      <c r="N79" s="77"/>
      <c r="O79" s="78"/>
      <c r="P79" s="4"/>
      <c r="Q79" s="4"/>
      <c r="R79" s="4"/>
      <c r="S79" s="4"/>
      <c r="T79" s="76" t="s">
        <v>143</v>
      </c>
      <c r="U79" s="77"/>
      <c r="V79" s="77"/>
      <c r="W79" s="77"/>
      <c r="X79" s="77"/>
      <c r="Y79" s="78"/>
      <c r="Z79" s="4"/>
      <c r="AA79" s="4"/>
      <c r="AB79" s="4"/>
      <c r="AC79" s="4"/>
      <c r="AD79" s="94" t="s">
        <v>212</v>
      </c>
      <c r="AE79" s="95"/>
      <c r="AF79" s="95"/>
      <c r="AG79" s="95"/>
      <c r="AH79" s="96"/>
      <c r="AI79" s="97"/>
      <c r="AJ79" s="4"/>
      <c r="AK79" s="4"/>
      <c r="AL79" s="4"/>
      <c r="AM79" s="4"/>
      <c r="AN79" s="87" t="s">
        <v>63</v>
      </c>
      <c r="AO79" s="88"/>
      <c r="AP79" s="88"/>
      <c r="AQ79" s="88"/>
      <c r="AR79" s="88"/>
      <c r="AS79" s="89"/>
      <c r="AT79" s="4"/>
      <c r="AU79" s="4"/>
      <c r="AV79" s="4"/>
      <c r="AW79" s="4"/>
      <c r="AX79" s="114" t="s">
        <v>142</v>
      </c>
      <c r="AY79" s="115"/>
      <c r="AZ79" s="115"/>
      <c r="BA79" s="115"/>
      <c r="BB79" s="116"/>
      <c r="BC79" s="117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80" s="118"/>
      <c r="C80" s="1"/>
      <c r="D80" s="119"/>
      <c r="E80" s="120"/>
      <c r="F80" s="120"/>
      <c r="G80" s="105"/>
      <c r="H80" s="121"/>
      <c r="I80" s="122"/>
      <c r="J80" s="79">
        <v>3</v>
      </c>
      <c r="K80" s="80"/>
      <c r="L80" s="81">
        <v>5</v>
      </c>
      <c r="M80" s="80"/>
      <c r="N80" s="81">
        <v>180</v>
      </c>
      <c r="O80" s="82"/>
      <c r="P80" s="4"/>
      <c r="Q80" s="4"/>
      <c r="R80" s="4"/>
      <c r="S80" s="4"/>
      <c r="T80" s="79">
        <v>3</v>
      </c>
      <c r="U80" s="80"/>
      <c r="V80" s="81">
        <v>5</v>
      </c>
      <c r="W80" s="80"/>
      <c r="X80" s="81">
        <v>180</v>
      </c>
      <c r="Y80" s="82"/>
      <c r="Z80" s="4"/>
      <c r="AA80" s="4"/>
      <c r="AB80" s="4"/>
      <c r="AC80" s="4"/>
      <c r="AD80" s="98">
        <v>3</v>
      </c>
      <c r="AE80" s="99"/>
      <c r="AF80" s="100">
        <v>5</v>
      </c>
      <c r="AG80" s="99"/>
      <c r="AH80" s="100">
        <v>180</v>
      </c>
      <c r="AI80" s="101"/>
      <c r="AJ80" s="4"/>
      <c r="AK80" s="4"/>
      <c r="AL80" s="4"/>
      <c r="AM80" s="4"/>
      <c r="AN80" s="45">
        <v>3</v>
      </c>
      <c r="AO80" s="46"/>
      <c r="AP80" s="47">
        <v>5</v>
      </c>
      <c r="AQ80" s="46"/>
      <c r="AR80" s="47">
        <v>180</v>
      </c>
      <c r="AS80" s="48"/>
      <c r="AT80" s="4"/>
      <c r="AU80" s="4"/>
      <c r="AV80" s="4"/>
      <c r="AW80" s="4"/>
      <c r="AX80" s="110">
        <v>2</v>
      </c>
      <c r="AY80" s="111"/>
      <c r="AZ80" s="108">
        <v>2</v>
      </c>
      <c r="BA80" s="111"/>
      <c r="BB80" s="108">
        <v>90</v>
      </c>
      <c r="BC80" s="109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2:135" ht="23.55" customHeight="1" thickBot="1" x14ac:dyDescent="0.35">
      <c r="B81" s="118"/>
      <c r="C81" s="1"/>
      <c r="D81" s="119"/>
      <c r="E81" s="11">
        <f>SUM(J80,T80,AD80,AN80,AX80,BH80)</f>
        <v>14</v>
      </c>
      <c r="F81" s="11">
        <f>SUM(J81:BM81)</f>
        <v>22</v>
      </c>
      <c r="G81" s="105"/>
      <c r="H81" s="2"/>
      <c r="I81" s="2"/>
      <c r="J81" s="83">
        <v>2</v>
      </c>
      <c r="K81" s="84"/>
      <c r="L81" s="85">
        <v>1</v>
      </c>
      <c r="M81" s="84"/>
      <c r="N81" s="85">
        <v>2</v>
      </c>
      <c r="O81" s="86"/>
      <c r="P81" s="4"/>
      <c r="Q81" s="4"/>
      <c r="R81" s="4"/>
      <c r="S81" s="4"/>
      <c r="T81" s="83">
        <v>2</v>
      </c>
      <c r="U81" s="84"/>
      <c r="V81" s="85">
        <v>1</v>
      </c>
      <c r="W81" s="84"/>
      <c r="X81" s="85">
        <v>2</v>
      </c>
      <c r="Y81" s="86"/>
      <c r="Z81" s="4"/>
      <c r="AA81" s="4"/>
      <c r="AB81" s="4"/>
      <c r="AC81" s="4"/>
      <c r="AD81" s="72">
        <v>2</v>
      </c>
      <c r="AE81" s="73"/>
      <c r="AF81" s="68">
        <v>1</v>
      </c>
      <c r="AG81" s="73"/>
      <c r="AH81" s="68">
        <v>2</v>
      </c>
      <c r="AI81" s="69"/>
      <c r="AJ81" s="4"/>
      <c r="AK81" s="4"/>
      <c r="AL81" s="4"/>
      <c r="AM81" s="4"/>
      <c r="AN81" s="49">
        <v>2</v>
      </c>
      <c r="AO81" s="50"/>
      <c r="AP81" s="51">
        <v>0</v>
      </c>
      <c r="AQ81" s="50"/>
      <c r="AR81" s="51">
        <v>3</v>
      </c>
      <c r="AS81" s="52"/>
      <c r="AT81" s="4"/>
      <c r="AU81" s="4"/>
      <c r="AV81" s="4"/>
      <c r="AW81" s="4"/>
      <c r="AX81" s="112">
        <v>2</v>
      </c>
      <c r="AY81" s="113"/>
      <c r="AZ81" s="106">
        <v>0</v>
      </c>
      <c r="BA81" s="113"/>
      <c r="BB81" s="106">
        <v>0</v>
      </c>
      <c r="BC81" s="107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2:135" ht="10.050000000000001" customHeight="1" x14ac:dyDescent="0.3">
      <c r="B82" s="118"/>
      <c r="C82" s="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2:135" ht="10.050000000000001" customHeight="1" x14ac:dyDescent="0.3">
      <c r="B83" s="118"/>
      <c r="C83" s="3"/>
    </row>
    <row r="84" spans="2:135" ht="10.050000000000001" customHeight="1" x14ac:dyDescent="0.3">
      <c r="B84" s="118"/>
      <c r="C84" s="3"/>
    </row>
    <row r="85" spans="2:135" ht="10.050000000000001" customHeight="1" thickBot="1" x14ac:dyDescent="0.35">
      <c r="B85" s="118"/>
      <c r="C85" s="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2:135" ht="15" customHeight="1" x14ac:dyDescent="0.3">
      <c r="B86" s="118"/>
      <c r="C86" s="1"/>
      <c r="D86" s="119" t="s">
        <v>6</v>
      </c>
      <c r="E86" s="11"/>
      <c r="F86" s="11"/>
      <c r="G86" s="2"/>
      <c r="H86" s="2"/>
      <c r="I86" s="2"/>
      <c r="J86" s="24" t="s">
        <v>255</v>
      </c>
      <c r="K86" s="25"/>
      <c r="L86" s="26"/>
      <c r="M86" s="38" t="s">
        <v>111</v>
      </c>
      <c r="N86" s="39"/>
      <c r="O86" s="40"/>
      <c r="P86" s="4"/>
      <c r="Q86" s="4"/>
      <c r="R86" s="4"/>
      <c r="S86" s="4"/>
      <c r="T86" s="24" t="s">
        <v>256</v>
      </c>
      <c r="U86" s="25"/>
      <c r="V86" s="26"/>
      <c r="W86" s="38" t="s">
        <v>112</v>
      </c>
      <c r="X86" s="39"/>
      <c r="Y86" s="40"/>
      <c r="Z86" s="4"/>
      <c r="AA86" s="4"/>
      <c r="AB86" s="4"/>
      <c r="AC86" s="4"/>
      <c r="AD86" s="24" t="s">
        <v>19</v>
      </c>
      <c r="AE86" s="25"/>
      <c r="AF86" s="26"/>
      <c r="AG86" s="38">
        <v>427</v>
      </c>
      <c r="AH86" s="102"/>
      <c r="AI86" s="103"/>
      <c r="AJ86" s="4"/>
      <c r="AK86" s="4"/>
      <c r="AL86" s="4"/>
      <c r="AM86" s="4"/>
      <c r="AN86" s="24" t="s">
        <v>19</v>
      </c>
      <c r="AO86" s="25"/>
      <c r="AP86" s="26"/>
      <c r="AQ86" s="38">
        <v>494</v>
      </c>
      <c r="AR86" s="39"/>
      <c r="AS86" s="40"/>
      <c r="AT86" s="4"/>
      <c r="AU86" s="4"/>
      <c r="AV86" s="4"/>
      <c r="AW86" s="4"/>
      <c r="AX86" s="24" t="s">
        <v>144</v>
      </c>
      <c r="AY86" s="25"/>
      <c r="AZ86" s="26"/>
      <c r="BA86" s="38" t="s">
        <v>111</v>
      </c>
      <c r="BB86" s="39"/>
      <c r="BC86" s="40"/>
      <c r="BD86" s="4"/>
      <c r="BE86" s="4"/>
      <c r="BF86" s="4"/>
      <c r="BG86" s="4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2:135" ht="48.75" customHeight="1" x14ac:dyDescent="0.3">
      <c r="B87" s="118"/>
      <c r="C87" s="1"/>
      <c r="D87" s="119"/>
      <c r="E87" s="120" t="s">
        <v>16</v>
      </c>
      <c r="F87" s="120" t="s">
        <v>17</v>
      </c>
      <c r="G87" s="13">
        <f>SUM(N88,X88,AH88,AR88,BB88,BL106)</f>
        <v>810</v>
      </c>
      <c r="H87" s="2"/>
      <c r="I87" s="2"/>
      <c r="J87" s="76" t="s">
        <v>145</v>
      </c>
      <c r="K87" s="77"/>
      <c r="L87" s="77"/>
      <c r="M87" s="77"/>
      <c r="N87" s="77"/>
      <c r="O87" s="78"/>
      <c r="P87" s="4"/>
      <c r="Q87" s="4"/>
      <c r="R87" s="4"/>
      <c r="S87" s="4"/>
      <c r="T87" s="76" t="s">
        <v>146</v>
      </c>
      <c r="U87" s="77"/>
      <c r="V87" s="77"/>
      <c r="W87" s="77"/>
      <c r="X87" s="77"/>
      <c r="Y87" s="78"/>
      <c r="Z87" s="4"/>
      <c r="AA87" s="4"/>
      <c r="AB87" s="4"/>
      <c r="AC87" s="4"/>
      <c r="AD87" s="94" t="s">
        <v>213</v>
      </c>
      <c r="AE87" s="95"/>
      <c r="AF87" s="95"/>
      <c r="AG87" s="95"/>
      <c r="AH87" s="96"/>
      <c r="AI87" s="97"/>
      <c r="AJ87" s="4"/>
      <c r="AK87" s="4"/>
      <c r="AL87" s="4"/>
      <c r="AM87" s="4"/>
      <c r="AN87" s="87" t="s">
        <v>64</v>
      </c>
      <c r="AO87" s="88"/>
      <c r="AP87" s="88"/>
      <c r="AQ87" s="88"/>
      <c r="AR87" s="88"/>
      <c r="AS87" s="89"/>
      <c r="AT87" s="4"/>
      <c r="AU87" s="4"/>
      <c r="AV87" s="4"/>
      <c r="AW87" s="4"/>
      <c r="AX87" s="114" t="s">
        <v>106</v>
      </c>
      <c r="AY87" s="115"/>
      <c r="AZ87" s="115"/>
      <c r="BA87" s="115"/>
      <c r="BB87" s="116"/>
      <c r="BC87" s="117"/>
      <c r="BD87" s="4"/>
      <c r="BE87" s="4"/>
      <c r="BF87" s="4"/>
      <c r="BG87" s="4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2:135" x14ac:dyDescent="0.3">
      <c r="B88" s="118"/>
      <c r="C88" s="1"/>
      <c r="D88" s="119"/>
      <c r="E88" s="120"/>
      <c r="F88" s="120"/>
      <c r="G88" s="105"/>
      <c r="H88" s="121"/>
      <c r="I88" s="122"/>
      <c r="J88" s="79">
        <v>3</v>
      </c>
      <c r="K88" s="80"/>
      <c r="L88" s="81">
        <v>5</v>
      </c>
      <c r="M88" s="80"/>
      <c r="N88" s="81">
        <v>180</v>
      </c>
      <c r="O88" s="82"/>
      <c r="P88" s="4"/>
      <c r="Q88" s="4"/>
      <c r="R88" s="4"/>
      <c r="S88" s="4"/>
      <c r="T88" s="79">
        <v>3</v>
      </c>
      <c r="U88" s="80"/>
      <c r="V88" s="81">
        <v>5</v>
      </c>
      <c r="W88" s="80"/>
      <c r="X88" s="81">
        <v>180</v>
      </c>
      <c r="Y88" s="82"/>
      <c r="Z88" s="4"/>
      <c r="AA88" s="4"/>
      <c r="AB88" s="4"/>
      <c r="AC88" s="4"/>
      <c r="AD88" s="98">
        <v>3</v>
      </c>
      <c r="AE88" s="99"/>
      <c r="AF88" s="100">
        <v>5</v>
      </c>
      <c r="AG88" s="99"/>
      <c r="AH88" s="100">
        <v>180</v>
      </c>
      <c r="AI88" s="101"/>
      <c r="AJ88" s="4"/>
      <c r="AK88" s="4"/>
      <c r="AL88" s="4"/>
      <c r="AM88" s="4"/>
      <c r="AN88" s="45">
        <v>3</v>
      </c>
      <c r="AO88" s="46"/>
      <c r="AP88" s="47">
        <v>5</v>
      </c>
      <c r="AQ88" s="46"/>
      <c r="AR88" s="47">
        <v>180</v>
      </c>
      <c r="AS88" s="48"/>
      <c r="AT88" s="4"/>
      <c r="AU88" s="4"/>
      <c r="AV88" s="4"/>
      <c r="AW88" s="4"/>
      <c r="AX88" s="110">
        <v>2</v>
      </c>
      <c r="AY88" s="111"/>
      <c r="AZ88" s="108">
        <v>2</v>
      </c>
      <c r="BA88" s="111"/>
      <c r="BB88" s="108">
        <v>90</v>
      </c>
      <c r="BC88" s="109"/>
      <c r="BD88" s="4"/>
      <c r="BE88" s="4"/>
      <c r="BF88" s="4"/>
      <c r="BG88" s="4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2:135" ht="15" thickBot="1" x14ac:dyDescent="0.35">
      <c r="B89" s="118"/>
      <c r="C89" s="1"/>
      <c r="D89" s="119"/>
      <c r="E89" s="11">
        <f>SUM(J88,T88,AD88,AN88,AX88)</f>
        <v>14</v>
      </c>
      <c r="F89" s="11">
        <f>SUM(J89:BC89)</f>
        <v>22</v>
      </c>
      <c r="G89" s="105"/>
      <c r="H89" s="2"/>
      <c r="I89" s="2"/>
      <c r="J89" s="83">
        <v>2</v>
      </c>
      <c r="K89" s="84"/>
      <c r="L89" s="85">
        <v>1</v>
      </c>
      <c r="M89" s="84"/>
      <c r="N89" s="85">
        <v>2</v>
      </c>
      <c r="O89" s="86"/>
      <c r="P89" s="4"/>
      <c r="Q89" s="4"/>
      <c r="R89" s="4"/>
      <c r="S89" s="4"/>
      <c r="T89" s="83">
        <v>2</v>
      </c>
      <c r="U89" s="84"/>
      <c r="V89" s="85">
        <v>1</v>
      </c>
      <c r="W89" s="84"/>
      <c r="X89" s="85">
        <v>2</v>
      </c>
      <c r="Y89" s="86"/>
      <c r="Z89" s="4"/>
      <c r="AA89" s="4"/>
      <c r="AB89" s="4"/>
      <c r="AC89" s="4"/>
      <c r="AD89" s="72">
        <v>2</v>
      </c>
      <c r="AE89" s="73"/>
      <c r="AF89" s="68">
        <v>1</v>
      </c>
      <c r="AG89" s="73"/>
      <c r="AH89" s="68">
        <v>2</v>
      </c>
      <c r="AI89" s="69"/>
      <c r="AJ89" s="4"/>
      <c r="AK89" s="4"/>
      <c r="AL89" s="4"/>
      <c r="AM89" s="4"/>
      <c r="AN89" s="49">
        <v>2</v>
      </c>
      <c r="AO89" s="50"/>
      <c r="AP89" s="51">
        <v>0</v>
      </c>
      <c r="AQ89" s="50"/>
      <c r="AR89" s="51">
        <v>3</v>
      </c>
      <c r="AS89" s="52"/>
      <c r="AT89" s="4"/>
      <c r="AU89" s="4"/>
      <c r="AV89" s="4"/>
      <c r="AW89" s="4"/>
      <c r="AX89" s="112">
        <v>2</v>
      </c>
      <c r="AY89" s="113"/>
      <c r="AZ89" s="106">
        <v>0</v>
      </c>
      <c r="BA89" s="113"/>
      <c r="BB89" s="106">
        <v>0</v>
      </c>
      <c r="BC89" s="107"/>
      <c r="BD89" s="4"/>
      <c r="BE89" s="4"/>
      <c r="BF89" s="4"/>
      <c r="BG89" s="4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2:135" ht="10.050000000000001" customHeight="1" x14ac:dyDescent="0.3">
      <c r="B90" s="118"/>
      <c r="C90" s="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2:135" ht="10.050000000000001" customHeight="1" x14ac:dyDescent="0.3"/>
    <row r="92" spans="2:135" ht="10.050000000000001" customHeight="1" x14ac:dyDescent="0.3"/>
    <row r="93" spans="2:135" ht="10.050000000000001" customHeight="1" x14ac:dyDescent="0.3"/>
    <row r="94" spans="2:135" ht="15" thickBot="1" x14ac:dyDescent="0.35"/>
    <row r="95" spans="2:135" ht="15.6" customHeight="1" thickTop="1" thickBot="1" x14ac:dyDescent="0.35">
      <c r="BI95" s="63" t="s">
        <v>15</v>
      </c>
      <c r="BJ95" s="150" t="s">
        <v>65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6"/>
    </row>
    <row r="96" spans="2:135" ht="14.55" customHeight="1" x14ac:dyDescent="0.3">
      <c r="BI96" s="64"/>
      <c r="BJ96" s="137"/>
      <c r="BK96" s="17"/>
      <c r="BL96" s="16"/>
      <c r="BR96" s="123" t="s">
        <v>7</v>
      </c>
      <c r="BS96" s="124"/>
      <c r="BT96" s="124"/>
      <c r="BU96" s="124"/>
      <c r="BV96" s="125"/>
      <c r="BW96" s="126"/>
      <c r="CA96" s="8"/>
    </row>
    <row r="97" spans="61:79" ht="14.55" customHeight="1" x14ac:dyDescent="0.3">
      <c r="BI97" s="64"/>
      <c r="BJ97" s="137"/>
      <c r="BK97" s="17"/>
      <c r="BL97" s="16"/>
      <c r="BR97" s="127" t="s">
        <v>8</v>
      </c>
      <c r="BS97" s="128"/>
      <c r="BT97" s="128"/>
      <c r="BU97" s="128"/>
      <c r="BV97" s="129"/>
      <c r="BW97" s="130"/>
      <c r="CA97" s="8"/>
    </row>
    <row r="98" spans="61:79" x14ac:dyDescent="0.3">
      <c r="BI98" s="64"/>
      <c r="BJ98" s="137"/>
      <c r="BK98" s="17"/>
      <c r="BL98" s="16"/>
      <c r="BR98" s="66" t="s">
        <v>9</v>
      </c>
      <c r="BS98" s="67"/>
      <c r="BT98" s="131" t="s">
        <v>18</v>
      </c>
      <c r="BU98" s="67"/>
      <c r="BV98" s="131" t="s">
        <v>10</v>
      </c>
      <c r="BW98" s="132"/>
      <c r="CA98" s="8"/>
    </row>
    <row r="99" spans="61:79" ht="15" thickBot="1" x14ac:dyDescent="0.35">
      <c r="BI99" s="64"/>
      <c r="BJ99" s="137"/>
      <c r="BK99" s="17"/>
      <c r="BL99" s="16"/>
      <c r="BR99" s="133" t="s">
        <v>11</v>
      </c>
      <c r="BS99" s="134"/>
      <c r="BT99" s="135" t="s">
        <v>12</v>
      </c>
      <c r="BU99" s="134"/>
      <c r="BV99" s="135" t="s">
        <v>13</v>
      </c>
      <c r="BW99" s="136"/>
      <c r="CA99" s="8"/>
    </row>
    <row r="100" spans="61:79" ht="48.75" customHeight="1" x14ac:dyDescent="0.3">
      <c r="BI100" s="64"/>
      <c r="BJ100" s="90" t="s">
        <v>31</v>
      </c>
      <c r="BL100" s="74" t="s">
        <v>22</v>
      </c>
      <c r="BN100" s="62" t="s">
        <v>14</v>
      </c>
      <c r="BO100" s="62"/>
      <c r="BP100" s="62"/>
      <c r="BQ100" s="62"/>
      <c r="BS100" s="151" t="s">
        <v>46</v>
      </c>
      <c r="BU100" s="152" t="s">
        <v>30</v>
      </c>
      <c r="BW100" s="153" t="s">
        <v>62</v>
      </c>
      <c r="CA100" s="8"/>
    </row>
    <row r="101" spans="61:79" x14ac:dyDescent="0.3">
      <c r="BI101" s="64"/>
      <c r="BJ101" s="90"/>
      <c r="BL101" s="74"/>
      <c r="BN101" s="62"/>
      <c r="BO101" s="62"/>
      <c r="BP101" s="62"/>
      <c r="BQ101" s="62"/>
      <c r="BS101" s="60"/>
      <c r="BU101" s="75"/>
      <c r="BW101" s="61"/>
      <c r="CA101" s="8"/>
    </row>
    <row r="102" spans="61:79" ht="14.55" customHeight="1" x14ac:dyDescent="0.3">
      <c r="BI102" s="64"/>
      <c r="BJ102" s="90"/>
      <c r="BL102" s="74"/>
      <c r="BN102" s="62"/>
      <c r="BO102" s="62"/>
      <c r="BP102" s="62"/>
      <c r="BQ102" s="62"/>
      <c r="BS102" s="60"/>
      <c r="BU102" s="75"/>
      <c r="BW102" s="61"/>
      <c r="CA102" s="8"/>
    </row>
    <row r="103" spans="61:79" ht="14.55" customHeight="1" x14ac:dyDescent="0.3">
      <c r="BI103" s="64"/>
      <c r="BJ103" s="90"/>
      <c r="BL103" s="74"/>
      <c r="BN103" s="62"/>
      <c r="BO103" s="62"/>
      <c r="BP103" s="62"/>
      <c r="BQ103" s="62"/>
      <c r="BS103" s="60"/>
      <c r="BU103" s="75"/>
      <c r="BW103" s="61"/>
      <c r="CA103" s="8"/>
    </row>
    <row r="104" spans="61:79" ht="14.55" customHeight="1" x14ac:dyDescent="0.3">
      <c r="BI104" s="64"/>
      <c r="BJ104" s="90"/>
      <c r="BK104" s="7"/>
      <c r="BL104" s="74"/>
      <c r="BM104" s="7"/>
      <c r="BN104" s="62"/>
      <c r="BO104" s="62"/>
      <c r="BP104" s="62"/>
      <c r="BQ104" s="62"/>
      <c r="BR104" s="7"/>
      <c r="BS104" s="60"/>
      <c r="BT104" s="7"/>
      <c r="BU104" s="75"/>
      <c r="BV104" s="7"/>
      <c r="BW104" s="61"/>
      <c r="CA104" s="8"/>
    </row>
    <row r="105" spans="61:79" x14ac:dyDescent="0.3">
      <c r="BI105" s="64"/>
      <c r="BJ105" s="90"/>
      <c r="BK105" s="7"/>
      <c r="BL105" s="74"/>
      <c r="BM105" s="7"/>
      <c r="BN105" s="62"/>
      <c r="BO105" s="62"/>
      <c r="BP105" s="62"/>
      <c r="BQ105" s="62"/>
      <c r="BR105" s="7"/>
      <c r="BS105" s="60"/>
      <c r="BT105" s="7"/>
      <c r="BU105" s="75"/>
      <c r="BV105" s="7"/>
      <c r="BW105" s="61"/>
      <c r="CA105" s="8"/>
    </row>
    <row r="106" spans="61:79" x14ac:dyDescent="0.3">
      <c r="BI106" s="64"/>
      <c r="BJ106" s="90"/>
      <c r="BK106" s="7"/>
      <c r="BL106" s="74"/>
      <c r="BM106" s="7"/>
      <c r="BN106" s="62"/>
      <c r="BO106" s="62"/>
      <c r="BP106" s="62"/>
      <c r="BQ106" s="62"/>
      <c r="BR106" s="7"/>
      <c r="BS106" s="60"/>
      <c r="BT106" s="7"/>
      <c r="BU106" s="75"/>
      <c r="BV106" s="7"/>
      <c r="BW106" s="61"/>
      <c r="CA106" s="8"/>
    </row>
    <row r="107" spans="61:79" x14ac:dyDescent="0.3">
      <c r="BI107" s="64"/>
      <c r="BJ107" s="90"/>
      <c r="BK107" s="7"/>
      <c r="BL107" s="74"/>
      <c r="BM107" s="7"/>
      <c r="BN107" s="62"/>
      <c r="BO107" s="62"/>
      <c r="BP107" s="62"/>
      <c r="BQ107" s="62"/>
      <c r="BR107" s="7"/>
      <c r="BS107" s="60"/>
      <c r="BT107" s="7"/>
      <c r="BU107" s="75"/>
      <c r="BV107" s="7"/>
      <c r="BW107" s="61"/>
      <c r="CA107" s="8"/>
    </row>
    <row r="108" spans="61:79" ht="15" thickBot="1" x14ac:dyDescent="0.35">
      <c r="BI108" s="65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10"/>
    </row>
    <row r="109" spans="61:79" ht="15" thickTop="1" x14ac:dyDescent="0.3"/>
  </sheetData>
  <mergeCells count="736"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AQ6:AS6"/>
    <mergeCell ref="AX6:AZ6"/>
    <mergeCell ref="BA6:BC6"/>
    <mergeCell ref="N9:O9"/>
    <mergeCell ref="T9:U9"/>
    <mergeCell ref="V9:W9"/>
    <mergeCell ref="AP8:AQ8"/>
    <mergeCell ref="AR8:AS8"/>
    <mergeCell ref="AX8:AY8"/>
    <mergeCell ref="AZ8:BA8"/>
    <mergeCell ref="BB8:BC8"/>
    <mergeCell ref="F15:F16"/>
    <mergeCell ref="J15:O15"/>
    <mergeCell ref="T15:Y15"/>
    <mergeCell ref="DP6:DU6"/>
    <mergeCell ref="DZ6:EE6"/>
    <mergeCell ref="E7:E8"/>
    <mergeCell ref="F7:F8"/>
    <mergeCell ref="J7:O7"/>
    <mergeCell ref="T7:Y7"/>
    <mergeCell ref="AD7:AI7"/>
    <mergeCell ref="AN7:AS7"/>
    <mergeCell ref="AX7:BC7"/>
    <mergeCell ref="DP7:DU7"/>
    <mergeCell ref="DZ7:EE7"/>
    <mergeCell ref="G8:G9"/>
    <mergeCell ref="H8:I8"/>
    <mergeCell ref="J8:K8"/>
    <mergeCell ref="L8:M8"/>
    <mergeCell ref="N8:O8"/>
    <mergeCell ref="T8:U8"/>
    <mergeCell ref="DR8:DS8"/>
    <mergeCell ref="DT8:DU8"/>
    <mergeCell ref="DZ8:EA8"/>
    <mergeCell ref="EB8:EC8"/>
    <mergeCell ref="ED8:EE8"/>
    <mergeCell ref="J9:K9"/>
    <mergeCell ref="L9:M9"/>
    <mergeCell ref="DP8:DQ8"/>
    <mergeCell ref="V8:W8"/>
    <mergeCell ref="X8:Y8"/>
    <mergeCell ref="AD8:AE8"/>
    <mergeCell ref="AF8:AG8"/>
    <mergeCell ref="AH8:AI8"/>
    <mergeCell ref="AN8:AO8"/>
    <mergeCell ref="DT9:DU9"/>
    <mergeCell ref="DZ9:EA9"/>
    <mergeCell ref="EB9:EC9"/>
    <mergeCell ref="ED9:EE9"/>
    <mergeCell ref="D14:D17"/>
    <mergeCell ref="J14:L14"/>
    <mergeCell ref="M14:O14"/>
    <mergeCell ref="T14:V14"/>
    <mergeCell ref="W14:Y14"/>
    <mergeCell ref="AD14:AF14"/>
    <mergeCell ref="AR9:AS9"/>
    <mergeCell ref="AX9:AY9"/>
    <mergeCell ref="AZ9:BA9"/>
    <mergeCell ref="BB9:BC9"/>
    <mergeCell ref="DP9:DQ9"/>
    <mergeCell ref="DR9:DS9"/>
    <mergeCell ref="X9:Y9"/>
    <mergeCell ref="AD9:AE9"/>
    <mergeCell ref="AF9:AG9"/>
    <mergeCell ref="AH9:AI9"/>
    <mergeCell ref="AN9:AO9"/>
    <mergeCell ref="AP9:AQ9"/>
    <mergeCell ref="BK14:BM14"/>
    <mergeCell ref="DP14:DU14"/>
    <mergeCell ref="DZ14:EE14"/>
    <mergeCell ref="E15:E16"/>
    <mergeCell ref="AD15:AI15"/>
    <mergeCell ref="AN15:AS15"/>
    <mergeCell ref="AX15:BC15"/>
    <mergeCell ref="AG14:AI14"/>
    <mergeCell ref="AN14:AP14"/>
    <mergeCell ref="AQ14:AS14"/>
    <mergeCell ref="AX14:AZ14"/>
    <mergeCell ref="BA14:BC14"/>
    <mergeCell ref="BH14:BJ14"/>
    <mergeCell ref="AF16:AG16"/>
    <mergeCell ref="AH16:AI16"/>
    <mergeCell ref="AN16:AO16"/>
    <mergeCell ref="AP16:AQ16"/>
    <mergeCell ref="BH15:BM15"/>
    <mergeCell ref="DP15:DU15"/>
    <mergeCell ref="DZ15:EE15"/>
    <mergeCell ref="G16:G17"/>
    <mergeCell ref="H16:I16"/>
    <mergeCell ref="J16:K16"/>
    <mergeCell ref="L16:M16"/>
    <mergeCell ref="N16:O16"/>
    <mergeCell ref="T16:U16"/>
    <mergeCell ref="V16:W16"/>
    <mergeCell ref="ED16:EE16"/>
    <mergeCell ref="J17:K17"/>
    <mergeCell ref="L17:M17"/>
    <mergeCell ref="N17:O17"/>
    <mergeCell ref="T17:U17"/>
    <mergeCell ref="V17:W17"/>
    <mergeCell ref="X17:Y17"/>
    <mergeCell ref="AD17:AE17"/>
    <mergeCell ref="AF17:AG17"/>
    <mergeCell ref="AH17:AI17"/>
    <mergeCell ref="BL16:BM16"/>
    <mergeCell ref="DP16:DQ16"/>
    <mergeCell ref="DR16:DS16"/>
    <mergeCell ref="DT16:DU16"/>
    <mergeCell ref="DZ16:EA16"/>
    <mergeCell ref="EB16:EC16"/>
    <mergeCell ref="AR16:AS16"/>
    <mergeCell ref="AX16:AY16"/>
    <mergeCell ref="AZ16:BA16"/>
    <mergeCell ref="BB16:BC16"/>
    <mergeCell ref="BH16:BI16"/>
    <mergeCell ref="BJ16:BK16"/>
    <mergeCell ref="X16:Y16"/>
    <mergeCell ref="AD16:AE16"/>
    <mergeCell ref="DZ17:EA17"/>
    <mergeCell ref="EB17:EC17"/>
    <mergeCell ref="ED17:EE17"/>
    <mergeCell ref="B23:B36"/>
    <mergeCell ref="D24:D27"/>
    <mergeCell ref="J24:L24"/>
    <mergeCell ref="M24:O24"/>
    <mergeCell ref="T24:V24"/>
    <mergeCell ref="W24:Y24"/>
    <mergeCell ref="AD24:AF24"/>
    <mergeCell ref="BH17:BI17"/>
    <mergeCell ref="BJ17:BK17"/>
    <mergeCell ref="BL17:BM17"/>
    <mergeCell ref="DP17:DQ17"/>
    <mergeCell ref="DR17:DS17"/>
    <mergeCell ref="DT17:DU17"/>
    <mergeCell ref="AN17:AO17"/>
    <mergeCell ref="AP17:AQ17"/>
    <mergeCell ref="AR17:AS17"/>
    <mergeCell ref="AX17:AY17"/>
    <mergeCell ref="AZ17:BA17"/>
    <mergeCell ref="BB17:BC17"/>
    <mergeCell ref="BK24:BM24"/>
    <mergeCell ref="DP24:DU24"/>
    <mergeCell ref="DZ24:EE24"/>
    <mergeCell ref="E25:E26"/>
    <mergeCell ref="F25:F26"/>
    <mergeCell ref="J25:O25"/>
    <mergeCell ref="T25:Y25"/>
    <mergeCell ref="AD25:AI25"/>
    <mergeCell ref="AN25:AS25"/>
    <mergeCell ref="AX25:BC25"/>
    <mergeCell ref="AG24:AI24"/>
    <mergeCell ref="AN24:AP24"/>
    <mergeCell ref="AQ24:AS24"/>
    <mergeCell ref="AX24:AZ24"/>
    <mergeCell ref="BA24:BC24"/>
    <mergeCell ref="BH24:BJ24"/>
    <mergeCell ref="AD26:AE26"/>
    <mergeCell ref="AF26:AG26"/>
    <mergeCell ref="AH26:AI26"/>
    <mergeCell ref="AN26:AO26"/>
    <mergeCell ref="AP26:AQ26"/>
    <mergeCell ref="BH25:BM25"/>
    <mergeCell ref="DP25:DU25"/>
    <mergeCell ref="DZ25:EE25"/>
    <mergeCell ref="G26:G27"/>
    <mergeCell ref="H26:I26"/>
    <mergeCell ref="J26:K26"/>
    <mergeCell ref="L26:M26"/>
    <mergeCell ref="N26:O26"/>
    <mergeCell ref="T26:U26"/>
    <mergeCell ref="V26:W26"/>
    <mergeCell ref="BB27:BC27"/>
    <mergeCell ref="ED26:EE26"/>
    <mergeCell ref="J27:K27"/>
    <mergeCell ref="L27:M27"/>
    <mergeCell ref="N27:O27"/>
    <mergeCell ref="T27:U27"/>
    <mergeCell ref="V27:W27"/>
    <mergeCell ref="X27:Y27"/>
    <mergeCell ref="AD27:AE27"/>
    <mergeCell ref="AF27:AG27"/>
    <mergeCell ref="AH27:AI27"/>
    <mergeCell ref="BL26:BM26"/>
    <mergeCell ref="DP26:DQ26"/>
    <mergeCell ref="DR26:DS26"/>
    <mergeCell ref="DT26:DU26"/>
    <mergeCell ref="DZ26:EA26"/>
    <mergeCell ref="EB26:EC26"/>
    <mergeCell ref="AR26:AS26"/>
    <mergeCell ref="AX26:AY26"/>
    <mergeCell ref="AZ26:BA26"/>
    <mergeCell ref="BB26:BC26"/>
    <mergeCell ref="BH26:BI26"/>
    <mergeCell ref="BJ26:BK26"/>
    <mergeCell ref="X26:Y26"/>
    <mergeCell ref="BA32:BC32"/>
    <mergeCell ref="DP32:DU32"/>
    <mergeCell ref="AN32:AP32"/>
    <mergeCell ref="AQ32:AS32"/>
    <mergeCell ref="AX32:AZ32"/>
    <mergeCell ref="DZ32:EE32"/>
    <mergeCell ref="DZ27:EA27"/>
    <mergeCell ref="EB27:EC27"/>
    <mergeCell ref="ED27:EE27"/>
    <mergeCell ref="D32:D35"/>
    <mergeCell ref="J32:L32"/>
    <mergeCell ref="M32:O32"/>
    <mergeCell ref="T32:V32"/>
    <mergeCell ref="W32:Y32"/>
    <mergeCell ref="AD32:AF32"/>
    <mergeCell ref="AG32:AI32"/>
    <mergeCell ref="BH27:BI27"/>
    <mergeCell ref="BJ27:BK27"/>
    <mergeCell ref="BL27:BM27"/>
    <mergeCell ref="DP27:DQ27"/>
    <mergeCell ref="DR27:DS27"/>
    <mergeCell ref="DT27:DU27"/>
    <mergeCell ref="AN27:AO27"/>
    <mergeCell ref="AP27:AQ27"/>
    <mergeCell ref="AR27:AS27"/>
    <mergeCell ref="AX27:AY27"/>
    <mergeCell ref="AZ27:BA27"/>
    <mergeCell ref="AD33:AI33"/>
    <mergeCell ref="AN33:AS33"/>
    <mergeCell ref="G34:G35"/>
    <mergeCell ref="H34:I34"/>
    <mergeCell ref="J34:K34"/>
    <mergeCell ref="L34:M34"/>
    <mergeCell ref="N34:O34"/>
    <mergeCell ref="T34:U34"/>
    <mergeCell ref="V34:W34"/>
    <mergeCell ref="N35:O35"/>
    <mergeCell ref="T35:U35"/>
    <mergeCell ref="V35:W35"/>
    <mergeCell ref="X35:Y35"/>
    <mergeCell ref="E33:E34"/>
    <mergeCell ref="F33:F34"/>
    <mergeCell ref="J33:O33"/>
    <mergeCell ref="T33:Y33"/>
    <mergeCell ref="ED34:EE34"/>
    <mergeCell ref="AN34:AO34"/>
    <mergeCell ref="AP34:AQ34"/>
    <mergeCell ref="AR34:AS34"/>
    <mergeCell ref="AX34:AY34"/>
    <mergeCell ref="AZ34:BA34"/>
    <mergeCell ref="BB34:BC34"/>
    <mergeCell ref="AX33:BC33"/>
    <mergeCell ref="DP33:DU33"/>
    <mergeCell ref="DZ33:EE33"/>
    <mergeCell ref="DP34:DQ34"/>
    <mergeCell ref="DR34:DS34"/>
    <mergeCell ref="DT34:DU34"/>
    <mergeCell ref="DZ34:EA34"/>
    <mergeCell ref="EB34:EC34"/>
    <mergeCell ref="X34:Y34"/>
    <mergeCell ref="AD34:AE34"/>
    <mergeCell ref="AF34:AG34"/>
    <mergeCell ref="AH34:AI34"/>
    <mergeCell ref="DZ35:EA35"/>
    <mergeCell ref="EB35:EC35"/>
    <mergeCell ref="ED35:EE35"/>
    <mergeCell ref="B41:B54"/>
    <mergeCell ref="D42:D45"/>
    <mergeCell ref="J42:L42"/>
    <mergeCell ref="M42:O42"/>
    <mergeCell ref="T42:V42"/>
    <mergeCell ref="W42:Y42"/>
    <mergeCell ref="AD42:AF42"/>
    <mergeCell ref="AX35:AY35"/>
    <mergeCell ref="AZ35:BA35"/>
    <mergeCell ref="BB35:BC35"/>
    <mergeCell ref="DP35:DQ35"/>
    <mergeCell ref="DR35:DS35"/>
    <mergeCell ref="DT35:DU35"/>
    <mergeCell ref="AD35:AE35"/>
    <mergeCell ref="AF35:AG35"/>
    <mergeCell ref="AH35:AI35"/>
    <mergeCell ref="AN35:AO35"/>
    <mergeCell ref="AP35:AQ35"/>
    <mergeCell ref="AR35:AS35"/>
    <mergeCell ref="J35:K35"/>
    <mergeCell ref="L35:M35"/>
    <mergeCell ref="BK42:BM42"/>
    <mergeCell ref="DP42:DU42"/>
    <mergeCell ref="DZ42:EE42"/>
    <mergeCell ref="E43:E44"/>
    <mergeCell ref="F43:F44"/>
    <mergeCell ref="J43:O43"/>
    <mergeCell ref="T43:Y43"/>
    <mergeCell ref="AD43:AI43"/>
    <mergeCell ref="AN43:AS43"/>
    <mergeCell ref="AX43:BC43"/>
    <mergeCell ref="AG42:AI42"/>
    <mergeCell ref="AN42:AP42"/>
    <mergeCell ref="AQ42:AS42"/>
    <mergeCell ref="AX42:AZ42"/>
    <mergeCell ref="BA42:BC42"/>
    <mergeCell ref="BH42:BJ42"/>
    <mergeCell ref="AD44:AE44"/>
    <mergeCell ref="AF44:AG44"/>
    <mergeCell ref="AH44:AI44"/>
    <mergeCell ref="AN44:AO44"/>
    <mergeCell ref="AP44:AQ44"/>
    <mergeCell ref="BH43:BM43"/>
    <mergeCell ref="DP43:DU43"/>
    <mergeCell ref="DZ43:EE43"/>
    <mergeCell ref="G44:G45"/>
    <mergeCell ref="H44:I44"/>
    <mergeCell ref="J44:K44"/>
    <mergeCell ref="L44:M44"/>
    <mergeCell ref="N44:O44"/>
    <mergeCell ref="T44:U44"/>
    <mergeCell ref="V44:W44"/>
    <mergeCell ref="BB45:BC45"/>
    <mergeCell ref="ED44:EE44"/>
    <mergeCell ref="J45:K45"/>
    <mergeCell ref="L45:M45"/>
    <mergeCell ref="N45:O45"/>
    <mergeCell ref="T45:U45"/>
    <mergeCell ref="V45:W45"/>
    <mergeCell ref="X45:Y45"/>
    <mergeCell ref="AD45:AE45"/>
    <mergeCell ref="AF45:AG45"/>
    <mergeCell ref="AH45:AI45"/>
    <mergeCell ref="BL44:BM44"/>
    <mergeCell ref="DP44:DQ44"/>
    <mergeCell ref="DR44:DS44"/>
    <mergeCell ref="DT44:DU44"/>
    <mergeCell ref="DZ44:EA44"/>
    <mergeCell ref="EB44:EC44"/>
    <mergeCell ref="AR44:AS44"/>
    <mergeCell ref="AX44:AY44"/>
    <mergeCell ref="AZ44:BA44"/>
    <mergeCell ref="BB44:BC44"/>
    <mergeCell ref="BH44:BI44"/>
    <mergeCell ref="BJ44:BK44"/>
    <mergeCell ref="X44:Y44"/>
    <mergeCell ref="BA50:BC50"/>
    <mergeCell ref="DP50:DU50"/>
    <mergeCell ref="AN50:AP50"/>
    <mergeCell ref="AQ50:AS50"/>
    <mergeCell ref="AX50:AZ50"/>
    <mergeCell ref="DZ50:EE50"/>
    <mergeCell ref="DZ45:EA45"/>
    <mergeCell ref="EB45:EC45"/>
    <mergeCell ref="ED45:EE45"/>
    <mergeCell ref="D50:D53"/>
    <mergeCell ref="J50:L50"/>
    <mergeCell ref="M50:O50"/>
    <mergeCell ref="T50:V50"/>
    <mergeCell ref="W50:Y50"/>
    <mergeCell ref="AD50:AF50"/>
    <mergeCell ref="AG50:AI50"/>
    <mergeCell ref="BH45:BI45"/>
    <mergeCell ref="BJ45:BK45"/>
    <mergeCell ref="BL45:BM45"/>
    <mergeCell ref="DP45:DQ45"/>
    <mergeCell ref="DR45:DS45"/>
    <mergeCell ref="DT45:DU45"/>
    <mergeCell ref="AN45:AO45"/>
    <mergeCell ref="AP45:AQ45"/>
    <mergeCell ref="AR45:AS45"/>
    <mergeCell ref="AX45:AY45"/>
    <mergeCell ref="AZ45:BA45"/>
    <mergeCell ref="AD51:AI51"/>
    <mergeCell ref="AN51:AS51"/>
    <mergeCell ref="G52:G53"/>
    <mergeCell ref="H52:I52"/>
    <mergeCell ref="J52:K52"/>
    <mergeCell ref="L52:M52"/>
    <mergeCell ref="N52:O52"/>
    <mergeCell ref="T52:U52"/>
    <mergeCell ref="V52:W52"/>
    <mergeCell ref="N53:O53"/>
    <mergeCell ref="T53:U53"/>
    <mergeCell ref="V53:W53"/>
    <mergeCell ref="X53:Y53"/>
    <mergeCell ref="E51:E52"/>
    <mergeCell ref="F51:F52"/>
    <mergeCell ref="J51:O51"/>
    <mergeCell ref="T51:Y51"/>
    <mergeCell ref="ED52:EE52"/>
    <mergeCell ref="AN52:AO52"/>
    <mergeCell ref="AP52:AQ52"/>
    <mergeCell ref="AR52:AS52"/>
    <mergeCell ref="AX52:AY52"/>
    <mergeCell ref="AZ52:BA52"/>
    <mergeCell ref="BB52:BC52"/>
    <mergeCell ref="AX51:BC51"/>
    <mergeCell ref="DP51:DU51"/>
    <mergeCell ref="DZ51:EE51"/>
    <mergeCell ref="DP52:DQ52"/>
    <mergeCell ref="DR52:DS52"/>
    <mergeCell ref="DT52:DU52"/>
    <mergeCell ref="DZ52:EA52"/>
    <mergeCell ref="EB52:EC52"/>
    <mergeCell ref="X52:Y52"/>
    <mergeCell ref="AD52:AE52"/>
    <mergeCell ref="AF52:AG52"/>
    <mergeCell ref="AH52:AI52"/>
    <mergeCell ref="DZ53:EA53"/>
    <mergeCell ref="EB53:EC53"/>
    <mergeCell ref="ED53:EE53"/>
    <mergeCell ref="B59:B72"/>
    <mergeCell ref="D60:D63"/>
    <mergeCell ref="J60:L60"/>
    <mergeCell ref="M60:O60"/>
    <mergeCell ref="T60:V60"/>
    <mergeCell ref="W60:Y60"/>
    <mergeCell ref="AD60:AF60"/>
    <mergeCell ref="AX53:AY53"/>
    <mergeCell ref="AZ53:BA53"/>
    <mergeCell ref="BB53:BC53"/>
    <mergeCell ref="DP53:DQ53"/>
    <mergeCell ref="DR53:DS53"/>
    <mergeCell ref="DT53:DU53"/>
    <mergeCell ref="AD53:AE53"/>
    <mergeCell ref="AF53:AG53"/>
    <mergeCell ref="AH53:AI53"/>
    <mergeCell ref="AN53:AO53"/>
    <mergeCell ref="AP53:AQ53"/>
    <mergeCell ref="AR53:AS53"/>
    <mergeCell ref="J53:K53"/>
    <mergeCell ref="L53:M53"/>
    <mergeCell ref="BK60:BM60"/>
    <mergeCell ref="DP60:DU60"/>
    <mergeCell ref="DZ60:EE60"/>
    <mergeCell ref="E61:E62"/>
    <mergeCell ref="F61:F62"/>
    <mergeCell ref="J61:O61"/>
    <mergeCell ref="T61:Y61"/>
    <mergeCell ref="AD61:AI61"/>
    <mergeCell ref="AN61:AS61"/>
    <mergeCell ref="AX61:BC61"/>
    <mergeCell ref="AG60:AI60"/>
    <mergeCell ref="AN60:AP60"/>
    <mergeCell ref="AQ60:AS60"/>
    <mergeCell ref="AX60:AZ60"/>
    <mergeCell ref="BA60:BC60"/>
    <mergeCell ref="BH60:BJ60"/>
    <mergeCell ref="AF62:AG62"/>
    <mergeCell ref="AH62:AI62"/>
    <mergeCell ref="AN62:AO62"/>
    <mergeCell ref="AP62:AQ62"/>
    <mergeCell ref="BH61:BM61"/>
    <mergeCell ref="DP61:DU61"/>
    <mergeCell ref="DZ61:EE61"/>
    <mergeCell ref="G62:G63"/>
    <mergeCell ref="H62:I62"/>
    <mergeCell ref="J62:K62"/>
    <mergeCell ref="L62:M62"/>
    <mergeCell ref="N62:O62"/>
    <mergeCell ref="T62:U62"/>
    <mergeCell ref="V62:W62"/>
    <mergeCell ref="ED62:EE62"/>
    <mergeCell ref="J63:K63"/>
    <mergeCell ref="L63:M63"/>
    <mergeCell ref="N63:O63"/>
    <mergeCell ref="T63:U63"/>
    <mergeCell ref="V63:W63"/>
    <mergeCell ref="X63:Y63"/>
    <mergeCell ref="AD63:AE63"/>
    <mergeCell ref="AF63:AG63"/>
    <mergeCell ref="AH63:AI63"/>
    <mergeCell ref="BL62:BM62"/>
    <mergeCell ref="DP62:DQ62"/>
    <mergeCell ref="DR62:DS62"/>
    <mergeCell ref="DT62:DU62"/>
    <mergeCell ref="DZ62:EA62"/>
    <mergeCell ref="EB62:EC62"/>
    <mergeCell ref="AR62:AS62"/>
    <mergeCell ref="AX62:AY62"/>
    <mergeCell ref="AZ62:BA62"/>
    <mergeCell ref="BB62:BC62"/>
    <mergeCell ref="BH62:BI62"/>
    <mergeCell ref="BJ62:BK62"/>
    <mergeCell ref="X62:Y62"/>
    <mergeCell ref="AD62:AE62"/>
    <mergeCell ref="DZ63:EA63"/>
    <mergeCell ref="EB63:EC63"/>
    <mergeCell ref="ED63:EE63"/>
    <mergeCell ref="BL63:BM63"/>
    <mergeCell ref="DP63:DQ63"/>
    <mergeCell ref="DR63:DS63"/>
    <mergeCell ref="DT63:DU63"/>
    <mergeCell ref="D68:D71"/>
    <mergeCell ref="J68:L68"/>
    <mergeCell ref="M68:O68"/>
    <mergeCell ref="T68:V68"/>
    <mergeCell ref="W68:Y68"/>
    <mergeCell ref="AD68:AF68"/>
    <mergeCell ref="AG68:AI68"/>
    <mergeCell ref="BH63:BI63"/>
    <mergeCell ref="BJ63:BK63"/>
    <mergeCell ref="AN63:AO63"/>
    <mergeCell ref="AP63:AQ63"/>
    <mergeCell ref="AR63:AS63"/>
    <mergeCell ref="AX63:AY63"/>
    <mergeCell ref="AZ63:BA63"/>
    <mergeCell ref="BB63:BC63"/>
    <mergeCell ref="G70:G71"/>
    <mergeCell ref="H70:I70"/>
    <mergeCell ref="J70:K70"/>
    <mergeCell ref="L70:M70"/>
    <mergeCell ref="N70:O70"/>
    <mergeCell ref="T70:U70"/>
    <mergeCell ref="V70:W70"/>
    <mergeCell ref="X70:Y70"/>
    <mergeCell ref="AD71:AE71"/>
    <mergeCell ref="DP68:DU68"/>
    <mergeCell ref="DZ68:EE68"/>
    <mergeCell ref="E69:E70"/>
    <mergeCell ref="F69:F70"/>
    <mergeCell ref="J69:O69"/>
    <mergeCell ref="T69:Y69"/>
    <mergeCell ref="AD69:AI69"/>
    <mergeCell ref="AN69:AS69"/>
    <mergeCell ref="AX69:BC69"/>
    <mergeCell ref="BH69:BM69"/>
    <mergeCell ref="AN68:AP68"/>
    <mergeCell ref="AQ68:AS68"/>
    <mergeCell ref="AX68:AZ68"/>
    <mergeCell ref="BA68:BC68"/>
    <mergeCell ref="BH68:BJ68"/>
    <mergeCell ref="BK68:BM68"/>
    <mergeCell ref="AD70:AE70"/>
    <mergeCell ref="AF70:AG70"/>
    <mergeCell ref="AH70:AI70"/>
    <mergeCell ref="AN70:AO70"/>
    <mergeCell ref="AP70:AQ70"/>
    <mergeCell ref="AR70:AS70"/>
    <mergeCell ref="DP69:DU69"/>
    <mergeCell ref="DZ69:EE69"/>
    <mergeCell ref="DP70:DQ70"/>
    <mergeCell ref="DR70:DS70"/>
    <mergeCell ref="DT70:DU70"/>
    <mergeCell ref="DZ70:EA70"/>
    <mergeCell ref="EB70:EC70"/>
    <mergeCell ref="ED70:EE70"/>
    <mergeCell ref="AX70:AY70"/>
    <mergeCell ref="AZ70:BA70"/>
    <mergeCell ref="BB70:BC70"/>
    <mergeCell ref="BH70:BI70"/>
    <mergeCell ref="BJ70:BK70"/>
    <mergeCell ref="BL70:BM70"/>
    <mergeCell ref="AF71:AG71"/>
    <mergeCell ref="AH71:AI71"/>
    <mergeCell ref="AN71:AO71"/>
    <mergeCell ref="AP71:AQ71"/>
    <mergeCell ref="AR71:AS71"/>
    <mergeCell ref="J71:K71"/>
    <mergeCell ref="L71:M71"/>
    <mergeCell ref="N71:O71"/>
    <mergeCell ref="T71:U71"/>
    <mergeCell ref="V71:W71"/>
    <mergeCell ref="X71:Y71"/>
    <mergeCell ref="DP71:DQ71"/>
    <mergeCell ref="DR71:DS71"/>
    <mergeCell ref="DT71:DU71"/>
    <mergeCell ref="DZ71:EA71"/>
    <mergeCell ref="EB71:EC71"/>
    <mergeCell ref="ED71:EE71"/>
    <mergeCell ref="AX71:AY71"/>
    <mergeCell ref="AZ71:BA71"/>
    <mergeCell ref="BB71:BC71"/>
    <mergeCell ref="BH71:BI71"/>
    <mergeCell ref="BJ71:BK71"/>
    <mergeCell ref="BL71:BM71"/>
    <mergeCell ref="B77:B90"/>
    <mergeCell ref="D78:D81"/>
    <mergeCell ref="J78:L78"/>
    <mergeCell ref="M78:O78"/>
    <mergeCell ref="T78:V78"/>
    <mergeCell ref="W78:Y78"/>
    <mergeCell ref="V80:W80"/>
    <mergeCell ref="X80:Y80"/>
    <mergeCell ref="J81:K81"/>
    <mergeCell ref="L81:M81"/>
    <mergeCell ref="N80:O80"/>
    <mergeCell ref="T80:U80"/>
    <mergeCell ref="V81:W81"/>
    <mergeCell ref="X81:Y81"/>
    <mergeCell ref="L88:M88"/>
    <mergeCell ref="N88:O88"/>
    <mergeCell ref="T88:U88"/>
    <mergeCell ref="J89:K89"/>
    <mergeCell ref="L89:M89"/>
    <mergeCell ref="N89:O89"/>
    <mergeCell ref="T89:U89"/>
    <mergeCell ref="V89:W89"/>
    <mergeCell ref="DP78:DU78"/>
    <mergeCell ref="DZ78:EE78"/>
    <mergeCell ref="E79:E80"/>
    <mergeCell ref="F79:F80"/>
    <mergeCell ref="J79:O79"/>
    <mergeCell ref="T79:Y79"/>
    <mergeCell ref="AD79:AI79"/>
    <mergeCell ref="AN79:AS79"/>
    <mergeCell ref="AD78:AF78"/>
    <mergeCell ref="AG78:AI78"/>
    <mergeCell ref="AN78:AP78"/>
    <mergeCell ref="AQ78:AS78"/>
    <mergeCell ref="AX78:AZ78"/>
    <mergeCell ref="BA78:BC78"/>
    <mergeCell ref="AX79:BC79"/>
    <mergeCell ref="DP79:DU79"/>
    <mergeCell ref="DZ79:EE79"/>
    <mergeCell ref="G80:G81"/>
    <mergeCell ref="H80:I80"/>
    <mergeCell ref="J80:K80"/>
    <mergeCell ref="L80:M80"/>
    <mergeCell ref="AX80:AY80"/>
    <mergeCell ref="AZ80:BA80"/>
    <mergeCell ref="BB80:BC80"/>
    <mergeCell ref="AD80:AE80"/>
    <mergeCell ref="AF80:AG80"/>
    <mergeCell ref="AH80:AI80"/>
    <mergeCell ref="AN80:AO80"/>
    <mergeCell ref="AP80:AQ80"/>
    <mergeCell ref="AR80:AS80"/>
    <mergeCell ref="DP80:DQ80"/>
    <mergeCell ref="DR80:DS80"/>
    <mergeCell ref="DT80:DU80"/>
    <mergeCell ref="DZ80:EA80"/>
    <mergeCell ref="EB80:EC80"/>
    <mergeCell ref="DT81:DU81"/>
    <mergeCell ref="DZ81:EA81"/>
    <mergeCell ref="EB81:EC81"/>
    <mergeCell ref="ED80:EE80"/>
    <mergeCell ref="ED81:EE81"/>
    <mergeCell ref="D86:D89"/>
    <mergeCell ref="J86:L86"/>
    <mergeCell ref="M86:O86"/>
    <mergeCell ref="T86:V86"/>
    <mergeCell ref="W86:Y86"/>
    <mergeCell ref="AD86:AF86"/>
    <mergeCell ref="BB81:BC81"/>
    <mergeCell ref="DP81:DQ81"/>
    <mergeCell ref="DR81:DS81"/>
    <mergeCell ref="AH81:AI81"/>
    <mergeCell ref="AN81:AO81"/>
    <mergeCell ref="AP81:AQ81"/>
    <mergeCell ref="AR81:AS81"/>
    <mergeCell ref="AX81:AY81"/>
    <mergeCell ref="AZ81:BA81"/>
    <mergeCell ref="N81:O81"/>
    <mergeCell ref="T81:U81"/>
    <mergeCell ref="G88:G89"/>
    <mergeCell ref="H88:I88"/>
    <mergeCell ref="J88:K88"/>
    <mergeCell ref="AD81:AE81"/>
    <mergeCell ref="AF81:AG81"/>
    <mergeCell ref="DZ86:EE86"/>
    <mergeCell ref="E87:E88"/>
    <mergeCell ref="F87:F88"/>
    <mergeCell ref="J87:O87"/>
    <mergeCell ref="T87:Y87"/>
    <mergeCell ref="AD87:AI87"/>
    <mergeCell ref="AN87:AS87"/>
    <mergeCell ref="AX87:BC87"/>
    <mergeCell ref="DP87:DU87"/>
    <mergeCell ref="DZ87:EE87"/>
    <mergeCell ref="AG86:AI86"/>
    <mergeCell ref="AN86:AP86"/>
    <mergeCell ref="AQ86:AS86"/>
    <mergeCell ref="AX86:AZ86"/>
    <mergeCell ref="BA86:BC86"/>
    <mergeCell ref="DP86:DU86"/>
    <mergeCell ref="DR88:DS88"/>
    <mergeCell ref="DT88:DU88"/>
    <mergeCell ref="DZ88:EA88"/>
    <mergeCell ref="EB88:EC88"/>
    <mergeCell ref="ED88:EE88"/>
    <mergeCell ref="AP88:AQ88"/>
    <mergeCell ref="AR88:AS88"/>
    <mergeCell ref="AX88:AY88"/>
    <mergeCell ref="AZ88:BA88"/>
    <mergeCell ref="BB88:BC88"/>
    <mergeCell ref="DP88:DQ88"/>
    <mergeCell ref="V88:W88"/>
    <mergeCell ref="X88:Y88"/>
    <mergeCell ref="AD88:AE88"/>
    <mergeCell ref="AF88:AG88"/>
    <mergeCell ref="AH88:AI88"/>
    <mergeCell ref="AN88:AO88"/>
    <mergeCell ref="AR89:AS89"/>
    <mergeCell ref="AX89:AY89"/>
    <mergeCell ref="AZ89:BA89"/>
    <mergeCell ref="BB89:BC89"/>
    <mergeCell ref="DP89:DQ89"/>
    <mergeCell ref="DR89:DS89"/>
    <mergeCell ref="X89:Y89"/>
    <mergeCell ref="AD89:AE89"/>
    <mergeCell ref="AF89:AG89"/>
    <mergeCell ref="AH89:AI89"/>
    <mergeCell ref="AN89:AO89"/>
    <mergeCell ref="AP89:AQ89"/>
    <mergeCell ref="EB89:EC89"/>
    <mergeCell ref="ED89:EE89"/>
    <mergeCell ref="BI95:BI108"/>
    <mergeCell ref="BR96:BW96"/>
    <mergeCell ref="BR97:BW97"/>
    <mergeCell ref="BR98:BS98"/>
    <mergeCell ref="BT98:BU98"/>
    <mergeCell ref="BV98:BW98"/>
    <mergeCell ref="BR99:BS99"/>
    <mergeCell ref="BT99:BU99"/>
    <mergeCell ref="BV99:BW99"/>
    <mergeCell ref="BJ95:BJ99"/>
    <mergeCell ref="BJ100:BJ107"/>
    <mergeCell ref="BL100:BL107"/>
    <mergeCell ref="BN100:BQ107"/>
    <mergeCell ref="BS100:BS107"/>
    <mergeCell ref="BU100:BU107"/>
    <mergeCell ref="BW100:BW107"/>
    <mergeCell ref="DT89:DU89"/>
    <mergeCell ref="DZ89:EA89"/>
    <mergeCell ref="BH6:BJ6"/>
    <mergeCell ref="BK6:BM6"/>
    <mergeCell ref="BH7:BM7"/>
    <mergeCell ref="BH8:BI8"/>
    <mergeCell ref="BJ8:BK8"/>
    <mergeCell ref="BL8:BM8"/>
    <mergeCell ref="BH9:BI9"/>
    <mergeCell ref="BJ9:BK9"/>
    <mergeCell ref="BL9:BM9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E100"/>
  <sheetViews>
    <sheetView zoomScaleNormal="100" workbookViewId="0">
      <selection activeCell="J86" sqref="J86:O89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173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5" spans="2:135" ht="10.050000000000001" customHeight="1" thickBot="1" x14ac:dyDescent="0.35">
      <c r="B5" s="118" t="s">
        <v>0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121</v>
      </c>
      <c r="K6" s="25"/>
      <c r="L6" s="26"/>
      <c r="M6" s="38" t="s">
        <v>109</v>
      </c>
      <c r="N6" s="39"/>
      <c r="O6" s="40"/>
      <c r="P6" s="4"/>
      <c r="Q6" s="4"/>
      <c r="R6" s="4"/>
      <c r="S6" s="4"/>
      <c r="T6" s="24" t="s">
        <v>119</v>
      </c>
      <c r="U6" s="25"/>
      <c r="V6" s="26"/>
      <c r="W6" s="38" t="s">
        <v>109</v>
      </c>
      <c r="X6" s="39"/>
      <c r="Y6" s="40"/>
      <c r="Z6" s="4"/>
      <c r="AA6" s="4"/>
      <c r="AB6" s="4"/>
      <c r="AC6" s="4"/>
      <c r="AD6" s="24" t="s">
        <v>114</v>
      </c>
      <c r="AE6" s="25"/>
      <c r="AF6" s="26"/>
      <c r="AG6" s="38">
        <v>111</v>
      </c>
      <c r="AH6" s="39"/>
      <c r="AI6" s="40"/>
      <c r="AJ6" s="4"/>
      <c r="AK6" s="4"/>
      <c r="AL6" s="4"/>
      <c r="AM6" s="4"/>
      <c r="AN6" s="24" t="s">
        <v>90</v>
      </c>
      <c r="AO6" s="25"/>
      <c r="AP6" s="26"/>
      <c r="AQ6" s="27" t="s">
        <v>116</v>
      </c>
      <c r="AR6" s="28"/>
      <c r="AS6" s="29"/>
      <c r="AT6" s="4"/>
      <c r="AU6" s="4"/>
      <c r="AV6" s="4"/>
      <c r="AW6" s="4"/>
      <c r="AX6" s="24" t="s">
        <v>114</v>
      </c>
      <c r="AY6" s="25"/>
      <c r="AZ6" s="26"/>
      <c r="BA6" s="27" t="s">
        <v>115</v>
      </c>
      <c r="BB6" s="28"/>
      <c r="BC6" s="29"/>
      <c r="BD6" s="4"/>
      <c r="BE6" s="4"/>
      <c r="BF6" s="4"/>
      <c r="BG6" s="4"/>
      <c r="BH6" s="24" t="s">
        <v>19</v>
      </c>
      <c r="BI6" s="25"/>
      <c r="BJ6" s="26"/>
      <c r="BK6" s="27" t="s">
        <v>33</v>
      </c>
      <c r="BL6" s="28"/>
      <c r="BM6" s="29"/>
      <c r="BN6" s="4"/>
      <c r="BO6" s="4"/>
      <c r="BP6" s="4"/>
      <c r="BQ6" s="4"/>
      <c r="BR6" s="24" t="s">
        <v>162</v>
      </c>
      <c r="BS6" s="25"/>
      <c r="BT6" s="26"/>
      <c r="BU6" s="27" t="s">
        <v>169</v>
      </c>
      <c r="BV6" s="28"/>
      <c r="BW6" s="29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SUM(N8,X8,AH8,AR8,BB8,BL8,BV8)</f>
        <v>945</v>
      </c>
      <c r="H7" s="2"/>
      <c r="I7" s="2"/>
      <c r="J7" s="114" t="s">
        <v>21</v>
      </c>
      <c r="K7" s="115"/>
      <c r="L7" s="115"/>
      <c r="M7" s="115"/>
      <c r="N7" s="116"/>
      <c r="O7" s="117"/>
      <c r="P7" s="4"/>
      <c r="Q7" s="4"/>
      <c r="R7" s="4"/>
      <c r="S7" s="4"/>
      <c r="T7" s="114" t="s">
        <v>120</v>
      </c>
      <c r="U7" s="115"/>
      <c r="V7" s="115"/>
      <c r="W7" s="115"/>
      <c r="X7" s="116"/>
      <c r="Y7" s="117"/>
      <c r="Z7" s="4"/>
      <c r="AA7" s="4"/>
      <c r="AB7" s="4"/>
      <c r="AC7" s="4"/>
      <c r="AD7" s="30" t="s">
        <v>161</v>
      </c>
      <c r="AE7" s="31"/>
      <c r="AF7" s="31"/>
      <c r="AG7" s="31"/>
      <c r="AH7" s="32"/>
      <c r="AI7" s="33"/>
      <c r="AJ7" s="4"/>
      <c r="AK7" s="4"/>
      <c r="AL7" s="4"/>
      <c r="AM7" s="4"/>
      <c r="AN7" s="30" t="s">
        <v>118</v>
      </c>
      <c r="AO7" s="31"/>
      <c r="AP7" s="31"/>
      <c r="AQ7" s="31"/>
      <c r="AR7" s="32"/>
      <c r="AS7" s="33"/>
      <c r="AT7" s="4"/>
      <c r="AU7" s="4"/>
      <c r="AV7" s="4"/>
      <c r="AW7" s="4"/>
      <c r="AX7" s="30" t="s">
        <v>23</v>
      </c>
      <c r="AY7" s="31"/>
      <c r="AZ7" s="31"/>
      <c r="BA7" s="31"/>
      <c r="BB7" s="32"/>
      <c r="BC7" s="33"/>
      <c r="BD7" s="4"/>
      <c r="BE7" s="4"/>
      <c r="BF7" s="4"/>
      <c r="BG7" s="4"/>
      <c r="BH7" s="53" t="s">
        <v>32</v>
      </c>
      <c r="BI7" s="54"/>
      <c r="BJ7" s="54"/>
      <c r="BK7" s="54"/>
      <c r="BL7" s="55"/>
      <c r="BM7" s="56"/>
      <c r="BN7" s="4"/>
      <c r="BO7" s="4"/>
      <c r="BP7" s="4"/>
      <c r="BQ7" s="4"/>
      <c r="BR7" s="30" t="s">
        <v>163</v>
      </c>
      <c r="BS7" s="31"/>
      <c r="BT7" s="31"/>
      <c r="BU7" s="31"/>
      <c r="BV7" s="32"/>
      <c r="BW7" s="33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110">
        <v>2</v>
      </c>
      <c r="K8" s="111"/>
      <c r="L8" s="108">
        <v>2</v>
      </c>
      <c r="M8" s="111"/>
      <c r="N8" s="108">
        <v>90</v>
      </c>
      <c r="O8" s="109"/>
      <c r="P8" s="4"/>
      <c r="Q8" s="4"/>
      <c r="R8" s="4"/>
      <c r="S8" s="4"/>
      <c r="T8" s="110">
        <v>2</v>
      </c>
      <c r="U8" s="111"/>
      <c r="V8" s="108">
        <v>2</v>
      </c>
      <c r="W8" s="111"/>
      <c r="X8" s="108">
        <v>90</v>
      </c>
      <c r="Y8" s="109"/>
      <c r="Z8" s="4"/>
      <c r="AA8" s="4"/>
      <c r="AB8" s="4"/>
      <c r="AC8" s="4"/>
      <c r="AD8" s="34">
        <v>3</v>
      </c>
      <c r="AE8" s="35"/>
      <c r="AF8" s="36">
        <v>4</v>
      </c>
      <c r="AG8" s="35"/>
      <c r="AH8" s="36">
        <v>150</v>
      </c>
      <c r="AI8" s="37"/>
      <c r="AJ8" s="4"/>
      <c r="AK8" s="4"/>
      <c r="AL8" s="4"/>
      <c r="AM8" s="4"/>
      <c r="AN8" s="34">
        <v>3</v>
      </c>
      <c r="AO8" s="35"/>
      <c r="AP8" s="36">
        <v>4</v>
      </c>
      <c r="AQ8" s="35"/>
      <c r="AR8" s="36">
        <v>150</v>
      </c>
      <c r="AS8" s="37"/>
      <c r="AT8" s="4"/>
      <c r="AU8" s="4"/>
      <c r="AV8" s="4"/>
      <c r="AW8" s="4"/>
      <c r="AX8" s="34">
        <v>3</v>
      </c>
      <c r="AY8" s="35"/>
      <c r="AZ8" s="36">
        <v>4</v>
      </c>
      <c r="BA8" s="35"/>
      <c r="BB8" s="36">
        <v>150</v>
      </c>
      <c r="BC8" s="37"/>
      <c r="BD8" s="4"/>
      <c r="BE8" s="4"/>
      <c r="BF8" s="4"/>
      <c r="BG8" s="4"/>
      <c r="BH8" s="57">
        <v>3</v>
      </c>
      <c r="BI8" s="58"/>
      <c r="BJ8" s="59">
        <v>6</v>
      </c>
      <c r="BK8" s="58"/>
      <c r="BL8" s="59">
        <v>180</v>
      </c>
      <c r="BM8" s="91"/>
      <c r="BN8" s="4"/>
      <c r="BO8" s="4"/>
      <c r="BP8" s="4"/>
      <c r="BQ8" s="4"/>
      <c r="BR8" s="34">
        <v>2</v>
      </c>
      <c r="BS8" s="35"/>
      <c r="BT8" s="36">
        <v>5</v>
      </c>
      <c r="BU8" s="35"/>
      <c r="BV8" s="36">
        <v>135</v>
      </c>
      <c r="BW8" s="37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SUM(J8,T8,AD8,AN8,AX8,BH8,BR8)</f>
        <v>18</v>
      </c>
      <c r="F9" s="11">
        <f>SUM(J9:BW9)</f>
        <v>27</v>
      </c>
      <c r="G9" s="105"/>
      <c r="H9" s="2"/>
      <c r="I9" s="2"/>
      <c r="J9" s="112">
        <v>2</v>
      </c>
      <c r="K9" s="113"/>
      <c r="L9" s="106">
        <v>0</v>
      </c>
      <c r="M9" s="113"/>
      <c r="N9" s="106">
        <v>0</v>
      </c>
      <c r="O9" s="107"/>
      <c r="P9" s="4"/>
      <c r="Q9" s="4"/>
      <c r="R9" s="4"/>
      <c r="S9" s="4"/>
      <c r="T9" s="112">
        <v>2</v>
      </c>
      <c r="U9" s="113"/>
      <c r="V9" s="106">
        <v>0</v>
      </c>
      <c r="W9" s="113"/>
      <c r="X9" s="106">
        <v>0</v>
      </c>
      <c r="Y9" s="107"/>
      <c r="Z9" s="4"/>
      <c r="AA9" s="4"/>
      <c r="AB9" s="4"/>
      <c r="AC9" s="4"/>
      <c r="AD9" s="20">
        <v>3</v>
      </c>
      <c r="AE9" s="21"/>
      <c r="AF9" s="22">
        <v>1</v>
      </c>
      <c r="AG9" s="21"/>
      <c r="AH9" s="22">
        <v>0</v>
      </c>
      <c r="AI9" s="23"/>
      <c r="AJ9" s="4"/>
      <c r="AK9" s="4"/>
      <c r="AL9" s="4"/>
      <c r="AM9" s="4"/>
      <c r="AN9" s="20">
        <v>2</v>
      </c>
      <c r="AO9" s="21"/>
      <c r="AP9" s="22">
        <v>2</v>
      </c>
      <c r="AQ9" s="21"/>
      <c r="AR9" s="22">
        <v>0</v>
      </c>
      <c r="AS9" s="23"/>
      <c r="AT9" s="4"/>
      <c r="AU9" s="4"/>
      <c r="AV9" s="4"/>
      <c r="AW9" s="4"/>
      <c r="AX9" s="20">
        <v>2</v>
      </c>
      <c r="AY9" s="21"/>
      <c r="AZ9" s="22">
        <v>2</v>
      </c>
      <c r="BA9" s="21"/>
      <c r="BB9" s="22">
        <v>0</v>
      </c>
      <c r="BC9" s="23"/>
      <c r="BD9" s="4"/>
      <c r="BE9" s="4"/>
      <c r="BF9" s="4"/>
      <c r="BG9" s="4"/>
      <c r="BH9" s="92">
        <v>3</v>
      </c>
      <c r="BI9" s="93"/>
      <c r="BJ9" s="70">
        <v>3</v>
      </c>
      <c r="BK9" s="93"/>
      <c r="BL9" s="70">
        <v>0</v>
      </c>
      <c r="BM9" s="71"/>
      <c r="BN9" s="4"/>
      <c r="BO9" s="4"/>
      <c r="BP9" s="4"/>
      <c r="BQ9" s="4"/>
      <c r="BR9" s="20">
        <v>1</v>
      </c>
      <c r="BS9" s="21"/>
      <c r="BT9" s="22">
        <v>2</v>
      </c>
      <c r="BU9" s="21"/>
      <c r="BV9" s="22">
        <v>2</v>
      </c>
      <c r="BW9" s="23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122</v>
      </c>
      <c r="K14" s="25"/>
      <c r="L14" s="26"/>
      <c r="M14" s="38" t="s">
        <v>109</v>
      </c>
      <c r="N14" s="39"/>
      <c r="O14" s="40"/>
      <c r="P14" s="4"/>
      <c r="Q14" s="4"/>
      <c r="R14" s="4"/>
      <c r="S14" s="4"/>
      <c r="T14" s="24" t="s">
        <v>114</v>
      </c>
      <c r="U14" s="25"/>
      <c r="V14" s="26"/>
      <c r="W14" s="38">
        <v>114</v>
      </c>
      <c r="X14" s="39"/>
      <c r="Y14" s="40"/>
      <c r="Z14" s="4"/>
      <c r="AA14" s="4"/>
      <c r="AB14" s="4"/>
      <c r="AC14" s="4"/>
      <c r="AD14" s="24" t="s">
        <v>114</v>
      </c>
      <c r="AE14" s="25"/>
      <c r="AF14" s="26"/>
      <c r="AG14" s="38">
        <v>131</v>
      </c>
      <c r="AH14" s="39"/>
      <c r="AI14" s="40"/>
      <c r="AJ14" s="4"/>
      <c r="AK14" s="4"/>
      <c r="AL14" s="4"/>
      <c r="AM14" s="4"/>
      <c r="AN14" s="24" t="s">
        <v>90</v>
      </c>
      <c r="AO14" s="25"/>
      <c r="AP14" s="26"/>
      <c r="AQ14" s="27" t="s">
        <v>164</v>
      </c>
      <c r="AR14" s="28"/>
      <c r="AS14" s="29"/>
      <c r="AT14" s="4"/>
      <c r="AU14" s="4"/>
      <c r="AV14" s="4"/>
      <c r="AW14" s="4"/>
      <c r="AX14" s="24" t="s">
        <v>19</v>
      </c>
      <c r="AY14" s="25"/>
      <c r="AZ14" s="26"/>
      <c r="BA14" s="38">
        <v>113</v>
      </c>
      <c r="BB14" s="39"/>
      <c r="BC14" s="40"/>
      <c r="BD14" s="4"/>
      <c r="BE14" s="4"/>
      <c r="BF14" s="4"/>
      <c r="BG14" s="4"/>
      <c r="BH14" s="24" t="s">
        <v>19</v>
      </c>
      <c r="BI14" s="25"/>
      <c r="BJ14" s="26"/>
      <c r="BK14" s="27" t="s">
        <v>35</v>
      </c>
      <c r="BL14" s="28"/>
      <c r="BM14" s="29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900</v>
      </c>
      <c r="H15" s="2"/>
      <c r="I15" s="2"/>
      <c r="J15" s="114" t="s">
        <v>123</v>
      </c>
      <c r="K15" s="115"/>
      <c r="L15" s="115"/>
      <c r="M15" s="115"/>
      <c r="N15" s="116"/>
      <c r="O15" s="117"/>
      <c r="P15" s="4"/>
      <c r="Q15" s="4"/>
      <c r="R15" s="4"/>
      <c r="S15" s="4"/>
      <c r="T15" s="30" t="s">
        <v>117</v>
      </c>
      <c r="U15" s="31"/>
      <c r="V15" s="31"/>
      <c r="W15" s="31"/>
      <c r="X15" s="32"/>
      <c r="Y15" s="33"/>
      <c r="Z15" s="4"/>
      <c r="AA15" s="4"/>
      <c r="AB15" s="4"/>
      <c r="AC15" s="4"/>
      <c r="AD15" s="30" t="s">
        <v>124</v>
      </c>
      <c r="AE15" s="31"/>
      <c r="AF15" s="31"/>
      <c r="AG15" s="31"/>
      <c r="AH15" s="32"/>
      <c r="AI15" s="33"/>
      <c r="AJ15" s="4"/>
      <c r="AK15" s="4"/>
      <c r="AL15" s="4"/>
      <c r="AM15" s="4"/>
      <c r="AN15" s="30" t="s">
        <v>165</v>
      </c>
      <c r="AO15" s="31"/>
      <c r="AP15" s="31"/>
      <c r="AQ15" s="31"/>
      <c r="AR15" s="32"/>
      <c r="AS15" s="33"/>
      <c r="AT15" s="4"/>
      <c r="AU15" s="4"/>
      <c r="AV15" s="4"/>
      <c r="AW15" s="4"/>
      <c r="AX15" s="30" t="s">
        <v>24</v>
      </c>
      <c r="AY15" s="31"/>
      <c r="AZ15" s="31"/>
      <c r="BA15" s="31"/>
      <c r="BB15" s="32"/>
      <c r="BC15" s="33"/>
      <c r="BD15" s="4"/>
      <c r="BE15" s="4"/>
      <c r="BF15" s="4"/>
      <c r="BG15" s="4"/>
      <c r="BH15" s="53" t="s">
        <v>34</v>
      </c>
      <c r="BI15" s="54"/>
      <c r="BJ15" s="54"/>
      <c r="BK15" s="54"/>
      <c r="BL15" s="55"/>
      <c r="BM15" s="56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110">
        <v>2</v>
      </c>
      <c r="K16" s="111"/>
      <c r="L16" s="108">
        <v>2</v>
      </c>
      <c r="M16" s="111"/>
      <c r="N16" s="108">
        <v>90</v>
      </c>
      <c r="O16" s="109"/>
      <c r="P16" s="4"/>
      <c r="Q16" s="4"/>
      <c r="R16" s="4"/>
      <c r="S16" s="4"/>
      <c r="T16" s="34">
        <v>4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2</v>
      </c>
      <c r="AE16" s="35"/>
      <c r="AF16" s="36">
        <v>3</v>
      </c>
      <c r="AG16" s="35"/>
      <c r="AH16" s="36">
        <v>105</v>
      </c>
      <c r="AI16" s="37"/>
      <c r="AJ16" s="4"/>
      <c r="AK16" s="4"/>
      <c r="AL16" s="4"/>
      <c r="AM16" s="4"/>
      <c r="AN16" s="34">
        <v>3</v>
      </c>
      <c r="AO16" s="35"/>
      <c r="AP16" s="36">
        <v>4</v>
      </c>
      <c r="AQ16" s="35"/>
      <c r="AR16" s="36">
        <v>150</v>
      </c>
      <c r="AS16" s="37"/>
      <c r="AT16" s="4"/>
      <c r="AU16" s="4"/>
      <c r="AV16" s="4"/>
      <c r="AW16" s="4"/>
      <c r="AX16" s="34">
        <v>3</v>
      </c>
      <c r="AY16" s="35"/>
      <c r="AZ16" s="36">
        <v>6</v>
      </c>
      <c r="BA16" s="35"/>
      <c r="BB16" s="36">
        <v>180</v>
      </c>
      <c r="BC16" s="37"/>
      <c r="BD16" s="4"/>
      <c r="BE16" s="4"/>
      <c r="BF16" s="4"/>
      <c r="BG16" s="4"/>
      <c r="BH16" s="57">
        <v>3</v>
      </c>
      <c r="BI16" s="58"/>
      <c r="BJ16" s="59">
        <v>6</v>
      </c>
      <c r="BK16" s="58"/>
      <c r="BL16" s="59">
        <v>180</v>
      </c>
      <c r="BM16" s="91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SUM(J16,T16,AD16,AN16,AX16,BH16,BR16)</f>
        <v>17</v>
      </c>
      <c r="F17" s="11">
        <f>SUM(J17:BW17)</f>
        <v>26</v>
      </c>
      <c r="G17" s="105"/>
      <c r="H17" s="2"/>
      <c r="I17" s="2"/>
      <c r="J17" s="112">
        <v>2</v>
      </c>
      <c r="K17" s="113"/>
      <c r="L17" s="106">
        <v>0</v>
      </c>
      <c r="M17" s="113"/>
      <c r="N17" s="106">
        <v>0</v>
      </c>
      <c r="O17" s="107"/>
      <c r="P17" s="4"/>
      <c r="Q17" s="4"/>
      <c r="R17" s="4"/>
      <c r="S17" s="4"/>
      <c r="T17" s="20">
        <v>3</v>
      </c>
      <c r="U17" s="21"/>
      <c r="V17" s="22">
        <v>2</v>
      </c>
      <c r="W17" s="21"/>
      <c r="X17" s="22">
        <v>0</v>
      </c>
      <c r="Y17" s="23"/>
      <c r="Z17" s="4"/>
      <c r="AA17" s="4"/>
      <c r="AB17" s="4"/>
      <c r="AC17" s="4"/>
      <c r="AD17" s="20">
        <v>1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20">
        <v>2</v>
      </c>
      <c r="AO17" s="21"/>
      <c r="AP17" s="22">
        <v>2</v>
      </c>
      <c r="AQ17" s="21"/>
      <c r="AR17" s="22">
        <v>0</v>
      </c>
      <c r="AS17" s="23"/>
      <c r="AT17" s="4"/>
      <c r="AU17" s="4"/>
      <c r="AV17" s="4"/>
      <c r="AW17" s="4"/>
      <c r="AX17" s="20">
        <v>1</v>
      </c>
      <c r="AY17" s="21"/>
      <c r="AZ17" s="22">
        <v>3</v>
      </c>
      <c r="BA17" s="21"/>
      <c r="BB17" s="22">
        <v>2</v>
      </c>
      <c r="BC17" s="23"/>
      <c r="BD17" s="4"/>
      <c r="BE17" s="4"/>
      <c r="BF17" s="4"/>
      <c r="BG17" s="4"/>
      <c r="BH17" s="92">
        <v>3</v>
      </c>
      <c r="BI17" s="93"/>
      <c r="BJ17" s="70">
        <v>3</v>
      </c>
      <c r="BK17" s="93"/>
      <c r="BL17" s="70">
        <v>0</v>
      </c>
      <c r="BM17" s="71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4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127</v>
      </c>
      <c r="K24" s="25"/>
      <c r="L24" s="26"/>
      <c r="M24" s="38" t="s">
        <v>110</v>
      </c>
      <c r="N24" s="39"/>
      <c r="O24" s="40"/>
      <c r="P24" s="4"/>
      <c r="Q24" s="4"/>
      <c r="R24" s="4"/>
      <c r="S24" s="4"/>
      <c r="T24" s="24" t="s">
        <v>114</v>
      </c>
      <c r="U24" s="25"/>
      <c r="V24" s="26"/>
      <c r="W24" s="38">
        <v>313</v>
      </c>
      <c r="X24" s="39"/>
      <c r="Y24" s="40"/>
      <c r="Z24" s="4"/>
      <c r="AA24" s="4"/>
      <c r="AB24" s="4"/>
      <c r="AC24" s="4"/>
      <c r="AD24" s="24" t="s">
        <v>25</v>
      </c>
      <c r="AE24" s="25"/>
      <c r="AF24" s="26"/>
      <c r="AG24" s="38">
        <v>115</v>
      </c>
      <c r="AH24" s="39"/>
      <c r="AI24" s="40"/>
      <c r="AJ24" s="4"/>
      <c r="AK24" s="4"/>
      <c r="AL24" s="4"/>
      <c r="AM24" s="4"/>
      <c r="AN24" s="24" t="s">
        <v>19</v>
      </c>
      <c r="AO24" s="25"/>
      <c r="AP24" s="26"/>
      <c r="AQ24" s="38">
        <v>111</v>
      </c>
      <c r="AR24" s="102"/>
      <c r="AS24" s="103"/>
      <c r="AT24" s="4"/>
      <c r="AU24" s="4"/>
      <c r="AV24" s="4"/>
      <c r="AW24" s="4"/>
      <c r="AX24" s="24" t="s">
        <v>19</v>
      </c>
      <c r="AY24" s="25"/>
      <c r="AZ24" s="26"/>
      <c r="BA24" s="38">
        <v>131</v>
      </c>
      <c r="BB24" s="102"/>
      <c r="BC24" s="103"/>
      <c r="BD24" s="4"/>
      <c r="BE24" s="4"/>
      <c r="BF24" s="4"/>
      <c r="BG24" s="4"/>
      <c r="BH24" s="24" t="s">
        <v>48</v>
      </c>
      <c r="BI24" s="25"/>
      <c r="BJ24" s="26"/>
      <c r="BK24" s="38">
        <v>111</v>
      </c>
      <c r="BL24" s="39"/>
      <c r="BM24" s="40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54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SUM(N26,X26,AH26,AR26,BB26,BL26)</f>
        <v>1005</v>
      </c>
      <c r="H25" s="2"/>
      <c r="I25" s="2"/>
      <c r="J25" s="114" t="s">
        <v>128</v>
      </c>
      <c r="K25" s="115"/>
      <c r="L25" s="115"/>
      <c r="M25" s="115"/>
      <c r="N25" s="116"/>
      <c r="O25" s="117"/>
      <c r="P25" s="4"/>
      <c r="Q25" s="4"/>
      <c r="R25" s="4"/>
      <c r="S25" s="4"/>
      <c r="T25" s="30" t="s">
        <v>125</v>
      </c>
      <c r="U25" s="31"/>
      <c r="V25" s="31"/>
      <c r="W25" s="31"/>
      <c r="X25" s="32"/>
      <c r="Y25" s="33"/>
      <c r="Z25" s="4"/>
      <c r="AA25" s="4"/>
      <c r="AB25" s="4"/>
      <c r="AC25" s="4"/>
      <c r="AD25" s="30" t="s">
        <v>166</v>
      </c>
      <c r="AE25" s="31"/>
      <c r="AF25" s="31"/>
      <c r="AG25" s="31"/>
      <c r="AH25" s="32"/>
      <c r="AI25" s="33"/>
      <c r="AJ25" s="4"/>
      <c r="AK25" s="4"/>
      <c r="AL25" s="4"/>
      <c r="AM25" s="4"/>
      <c r="AN25" s="53" t="s">
        <v>36</v>
      </c>
      <c r="AO25" s="54"/>
      <c r="AP25" s="54"/>
      <c r="AQ25" s="54"/>
      <c r="AR25" s="55"/>
      <c r="AS25" s="56"/>
      <c r="AT25" s="4"/>
      <c r="AU25" s="4"/>
      <c r="AV25" s="4"/>
      <c r="AW25" s="4"/>
      <c r="AX25" s="53" t="s">
        <v>37</v>
      </c>
      <c r="AY25" s="54"/>
      <c r="AZ25" s="54"/>
      <c r="BA25" s="54"/>
      <c r="BB25" s="55"/>
      <c r="BC25" s="56"/>
      <c r="BD25" s="4"/>
      <c r="BE25" s="4"/>
      <c r="BF25" s="4"/>
      <c r="BG25" s="4"/>
      <c r="BH25" s="146" t="s">
        <v>47</v>
      </c>
      <c r="BI25" s="147"/>
      <c r="BJ25" s="147"/>
      <c r="BK25" s="147"/>
      <c r="BL25" s="148"/>
      <c r="BM25" s="149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110">
        <v>2</v>
      </c>
      <c r="K26" s="111"/>
      <c r="L26" s="108">
        <v>2</v>
      </c>
      <c r="M26" s="111"/>
      <c r="N26" s="108">
        <v>90</v>
      </c>
      <c r="O26" s="109"/>
      <c r="P26" s="4"/>
      <c r="Q26" s="4"/>
      <c r="R26" s="4"/>
      <c r="S26" s="4"/>
      <c r="T26" s="34">
        <v>4</v>
      </c>
      <c r="U26" s="35"/>
      <c r="V26" s="36">
        <v>5</v>
      </c>
      <c r="W26" s="35"/>
      <c r="X26" s="36">
        <v>195</v>
      </c>
      <c r="Y26" s="37"/>
      <c r="Z26" s="4"/>
      <c r="AA26" s="4"/>
      <c r="AB26" s="4"/>
      <c r="AC26" s="4"/>
      <c r="AD26" s="34">
        <v>3</v>
      </c>
      <c r="AE26" s="35"/>
      <c r="AF26" s="36">
        <v>5</v>
      </c>
      <c r="AG26" s="35"/>
      <c r="AH26" s="36">
        <v>165</v>
      </c>
      <c r="AI26" s="37"/>
      <c r="AJ26" s="4"/>
      <c r="AK26" s="4"/>
      <c r="AL26" s="4"/>
      <c r="AM26" s="4"/>
      <c r="AN26" s="57">
        <v>3</v>
      </c>
      <c r="AO26" s="58"/>
      <c r="AP26" s="59">
        <v>6</v>
      </c>
      <c r="AQ26" s="58"/>
      <c r="AR26" s="59">
        <v>180</v>
      </c>
      <c r="AS26" s="91"/>
      <c r="AT26" s="4"/>
      <c r="AU26" s="4"/>
      <c r="AV26" s="4"/>
      <c r="AW26" s="4"/>
      <c r="AX26" s="57">
        <v>3</v>
      </c>
      <c r="AY26" s="58"/>
      <c r="AZ26" s="59">
        <v>7</v>
      </c>
      <c r="BA26" s="58"/>
      <c r="BB26" s="59">
        <v>195</v>
      </c>
      <c r="BC26" s="91"/>
      <c r="BD26" s="4"/>
      <c r="BE26" s="4"/>
      <c r="BF26" s="4"/>
      <c r="BG26" s="4"/>
      <c r="BH26" s="138">
        <v>3</v>
      </c>
      <c r="BI26" s="139"/>
      <c r="BJ26" s="140">
        <v>6</v>
      </c>
      <c r="BK26" s="139"/>
      <c r="BL26" s="140">
        <v>180</v>
      </c>
      <c r="BM26" s="141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thickBot="1" x14ac:dyDescent="0.35">
      <c r="B27" s="118"/>
      <c r="C27" s="1"/>
      <c r="D27" s="119"/>
      <c r="E27" s="11">
        <f>SUM(J26,T26,AD26,AN26,AX26,BH26,BR26)</f>
        <v>18</v>
      </c>
      <c r="F27" s="11">
        <f>SUM(J27:BW27)</f>
        <v>31</v>
      </c>
      <c r="G27" s="105"/>
      <c r="H27" s="2"/>
      <c r="I27" s="2"/>
      <c r="J27" s="112">
        <v>2</v>
      </c>
      <c r="K27" s="113"/>
      <c r="L27" s="106">
        <v>0</v>
      </c>
      <c r="M27" s="113"/>
      <c r="N27" s="106">
        <v>0</v>
      </c>
      <c r="O27" s="107"/>
      <c r="P27" s="4"/>
      <c r="Q27" s="4"/>
      <c r="R27" s="4"/>
      <c r="S27" s="4"/>
      <c r="T27" s="20">
        <v>3</v>
      </c>
      <c r="U27" s="21"/>
      <c r="V27" s="22">
        <v>2</v>
      </c>
      <c r="W27" s="21"/>
      <c r="X27" s="22">
        <v>0</v>
      </c>
      <c r="Y27" s="23"/>
      <c r="Z27" s="4"/>
      <c r="AA27" s="4"/>
      <c r="AB27" s="4"/>
      <c r="AC27" s="4"/>
      <c r="AD27" s="20">
        <v>2</v>
      </c>
      <c r="AE27" s="21"/>
      <c r="AF27" s="22">
        <v>2</v>
      </c>
      <c r="AG27" s="21"/>
      <c r="AH27" s="22">
        <v>1</v>
      </c>
      <c r="AI27" s="23"/>
      <c r="AJ27" s="4"/>
      <c r="AK27" s="4"/>
      <c r="AL27" s="4"/>
      <c r="AM27" s="4"/>
      <c r="AN27" s="92">
        <v>3</v>
      </c>
      <c r="AO27" s="93"/>
      <c r="AP27" s="70">
        <v>3</v>
      </c>
      <c r="AQ27" s="93"/>
      <c r="AR27" s="70">
        <v>0</v>
      </c>
      <c r="AS27" s="71"/>
      <c r="AT27" s="4"/>
      <c r="AU27" s="4"/>
      <c r="AV27" s="4"/>
      <c r="AW27" s="4"/>
      <c r="AX27" s="92">
        <v>3</v>
      </c>
      <c r="AY27" s="93"/>
      <c r="AZ27" s="70">
        <v>2</v>
      </c>
      <c r="BA27" s="93"/>
      <c r="BB27" s="70">
        <v>2</v>
      </c>
      <c r="BC27" s="71"/>
      <c r="BD27" s="4"/>
      <c r="BE27" s="4"/>
      <c r="BF27" s="4"/>
      <c r="BG27" s="4"/>
      <c r="BH27" s="142">
        <v>3</v>
      </c>
      <c r="BI27" s="143"/>
      <c r="BJ27" s="144">
        <v>3</v>
      </c>
      <c r="BK27" s="143"/>
      <c r="BL27" s="144">
        <v>0</v>
      </c>
      <c r="BM27" s="145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129</v>
      </c>
      <c r="K32" s="25"/>
      <c r="L32" s="26"/>
      <c r="M32" s="38" t="s">
        <v>110</v>
      </c>
      <c r="N32" s="39"/>
      <c r="O32" s="40"/>
      <c r="P32" s="4"/>
      <c r="Q32" s="4"/>
      <c r="R32" s="4"/>
      <c r="S32" s="4"/>
      <c r="T32" s="24" t="s">
        <v>19</v>
      </c>
      <c r="U32" s="25"/>
      <c r="V32" s="26"/>
      <c r="W32" s="38">
        <v>315</v>
      </c>
      <c r="X32" s="39"/>
      <c r="Y32" s="40"/>
      <c r="Z32" s="4"/>
      <c r="AA32" s="4"/>
      <c r="AB32" s="4"/>
      <c r="AC32" s="4"/>
      <c r="AD32" s="24" t="s">
        <v>25</v>
      </c>
      <c r="AE32" s="25"/>
      <c r="AF32" s="26"/>
      <c r="AG32" s="38">
        <v>432</v>
      </c>
      <c r="AH32" s="39"/>
      <c r="AI32" s="40"/>
      <c r="AJ32" s="4"/>
      <c r="AK32" s="4"/>
      <c r="AL32" s="4"/>
      <c r="AM32" s="4"/>
      <c r="AN32" s="24" t="s">
        <v>19</v>
      </c>
      <c r="AO32" s="25"/>
      <c r="AP32" s="26"/>
      <c r="AQ32" s="38">
        <v>112</v>
      </c>
      <c r="AR32" s="102"/>
      <c r="AS32" s="103"/>
      <c r="AT32" s="4"/>
      <c r="AU32" s="4"/>
      <c r="AV32" s="4"/>
      <c r="AW32" s="4"/>
      <c r="AX32" s="24" t="s">
        <v>19</v>
      </c>
      <c r="AY32" s="25"/>
      <c r="AZ32" s="26"/>
      <c r="BA32" s="38">
        <v>132</v>
      </c>
      <c r="BB32" s="102"/>
      <c r="BC32" s="103"/>
      <c r="BD32" s="4"/>
      <c r="BE32" s="4"/>
      <c r="BF32" s="4"/>
      <c r="BG32" s="4"/>
      <c r="BH32" s="24" t="s">
        <v>48</v>
      </c>
      <c r="BI32" s="25"/>
      <c r="BJ32" s="26"/>
      <c r="BK32" s="38">
        <v>121</v>
      </c>
      <c r="BL32" s="39"/>
      <c r="BM32" s="40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915</v>
      </c>
      <c r="H33" s="2"/>
      <c r="I33" s="2"/>
      <c r="J33" s="114" t="s">
        <v>130</v>
      </c>
      <c r="K33" s="115"/>
      <c r="L33" s="115"/>
      <c r="M33" s="115"/>
      <c r="N33" s="116"/>
      <c r="O33" s="117"/>
      <c r="P33" s="4"/>
      <c r="Q33" s="4"/>
      <c r="R33" s="4"/>
      <c r="S33" s="4"/>
      <c r="T33" s="30" t="s">
        <v>26</v>
      </c>
      <c r="U33" s="31"/>
      <c r="V33" s="31"/>
      <c r="W33" s="31"/>
      <c r="X33" s="32"/>
      <c r="Y33" s="33"/>
      <c r="Z33" s="4"/>
      <c r="AA33" s="4"/>
      <c r="AB33" s="4"/>
      <c r="AC33" s="4"/>
      <c r="AD33" s="30" t="s">
        <v>27</v>
      </c>
      <c r="AE33" s="31"/>
      <c r="AF33" s="31"/>
      <c r="AG33" s="31"/>
      <c r="AH33" s="32"/>
      <c r="AI33" s="33"/>
      <c r="AJ33" s="4"/>
      <c r="AK33" s="4"/>
      <c r="AL33" s="4"/>
      <c r="AM33" s="4"/>
      <c r="AN33" s="53" t="s">
        <v>38</v>
      </c>
      <c r="AO33" s="54"/>
      <c r="AP33" s="54"/>
      <c r="AQ33" s="54"/>
      <c r="AR33" s="55"/>
      <c r="AS33" s="56"/>
      <c r="AT33" s="4"/>
      <c r="AU33" s="4"/>
      <c r="AV33" s="4"/>
      <c r="AW33" s="4"/>
      <c r="AX33" s="53" t="s">
        <v>39</v>
      </c>
      <c r="AY33" s="54"/>
      <c r="AZ33" s="54"/>
      <c r="BA33" s="54"/>
      <c r="BB33" s="55"/>
      <c r="BC33" s="56"/>
      <c r="BD33" s="4"/>
      <c r="BE33" s="4"/>
      <c r="BF33" s="4"/>
      <c r="BG33" s="4"/>
      <c r="BH33" s="146" t="s">
        <v>49</v>
      </c>
      <c r="BI33" s="147"/>
      <c r="BJ33" s="147"/>
      <c r="BK33" s="147"/>
      <c r="BL33" s="148"/>
      <c r="BM33" s="149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110">
        <v>2</v>
      </c>
      <c r="K34" s="111"/>
      <c r="L34" s="108">
        <v>2</v>
      </c>
      <c r="M34" s="111"/>
      <c r="N34" s="108">
        <v>90</v>
      </c>
      <c r="O34" s="109"/>
      <c r="P34" s="4"/>
      <c r="Q34" s="4"/>
      <c r="R34" s="4"/>
      <c r="S34" s="4"/>
      <c r="T34" s="34">
        <v>3</v>
      </c>
      <c r="U34" s="35"/>
      <c r="V34" s="36">
        <v>4</v>
      </c>
      <c r="W34" s="35"/>
      <c r="X34" s="36">
        <v>150</v>
      </c>
      <c r="Y34" s="37"/>
      <c r="Z34" s="4"/>
      <c r="AA34" s="4"/>
      <c r="AB34" s="4"/>
      <c r="AC34" s="4"/>
      <c r="AD34" s="34">
        <v>3</v>
      </c>
      <c r="AE34" s="35"/>
      <c r="AF34" s="36">
        <v>4</v>
      </c>
      <c r="AG34" s="35"/>
      <c r="AH34" s="36">
        <v>150</v>
      </c>
      <c r="AI34" s="37"/>
      <c r="AJ34" s="4"/>
      <c r="AK34" s="4"/>
      <c r="AL34" s="4"/>
      <c r="AM34" s="4"/>
      <c r="AN34" s="57">
        <v>3</v>
      </c>
      <c r="AO34" s="58"/>
      <c r="AP34" s="59">
        <v>6</v>
      </c>
      <c r="AQ34" s="58"/>
      <c r="AR34" s="59">
        <v>180</v>
      </c>
      <c r="AS34" s="91"/>
      <c r="AT34" s="4"/>
      <c r="AU34" s="4"/>
      <c r="AV34" s="4"/>
      <c r="AW34" s="4"/>
      <c r="AX34" s="57">
        <v>3</v>
      </c>
      <c r="AY34" s="58"/>
      <c r="AZ34" s="59">
        <v>5</v>
      </c>
      <c r="BA34" s="58"/>
      <c r="BB34" s="59">
        <v>165</v>
      </c>
      <c r="BC34" s="91"/>
      <c r="BD34" s="4"/>
      <c r="BE34" s="4"/>
      <c r="BF34" s="4"/>
      <c r="BG34" s="4"/>
      <c r="BH34" s="138">
        <v>3</v>
      </c>
      <c r="BI34" s="139"/>
      <c r="BJ34" s="140">
        <v>6</v>
      </c>
      <c r="BK34" s="139"/>
      <c r="BL34" s="140">
        <v>180</v>
      </c>
      <c r="BM34" s="141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SUM(J34,T34,AD34,AN34,AX34,BH34,BR34)</f>
        <v>17</v>
      </c>
      <c r="F35" s="11">
        <f>SUM(J35:BM35)</f>
        <v>27</v>
      </c>
      <c r="G35" s="105"/>
      <c r="H35" s="2"/>
      <c r="I35" s="2"/>
      <c r="J35" s="112">
        <v>2</v>
      </c>
      <c r="K35" s="113"/>
      <c r="L35" s="106">
        <v>0</v>
      </c>
      <c r="M35" s="113"/>
      <c r="N35" s="106">
        <v>0</v>
      </c>
      <c r="O35" s="107"/>
      <c r="P35" s="4"/>
      <c r="Q35" s="4"/>
      <c r="R35" s="4"/>
      <c r="S35" s="4"/>
      <c r="T35" s="20">
        <v>2</v>
      </c>
      <c r="U35" s="21"/>
      <c r="V35" s="22">
        <v>0</v>
      </c>
      <c r="W35" s="21"/>
      <c r="X35" s="22">
        <v>2</v>
      </c>
      <c r="Y35" s="23"/>
      <c r="Z35" s="4"/>
      <c r="AA35" s="4"/>
      <c r="AB35" s="4"/>
      <c r="AC35" s="4"/>
      <c r="AD35" s="20">
        <v>2</v>
      </c>
      <c r="AE35" s="21"/>
      <c r="AF35" s="22">
        <v>1</v>
      </c>
      <c r="AG35" s="21"/>
      <c r="AH35" s="22">
        <v>1</v>
      </c>
      <c r="AI35" s="23"/>
      <c r="AJ35" s="4"/>
      <c r="AK35" s="4"/>
      <c r="AL35" s="4"/>
      <c r="AM35" s="4"/>
      <c r="AN35" s="92">
        <v>3</v>
      </c>
      <c r="AO35" s="93"/>
      <c r="AP35" s="70">
        <v>3</v>
      </c>
      <c r="AQ35" s="93"/>
      <c r="AR35" s="70">
        <v>0</v>
      </c>
      <c r="AS35" s="71"/>
      <c r="AT35" s="4"/>
      <c r="AU35" s="4"/>
      <c r="AV35" s="4"/>
      <c r="AW35" s="4"/>
      <c r="AX35" s="92">
        <v>3</v>
      </c>
      <c r="AY35" s="93"/>
      <c r="AZ35" s="70">
        <v>2</v>
      </c>
      <c r="BA35" s="93"/>
      <c r="BB35" s="70">
        <v>0</v>
      </c>
      <c r="BC35" s="71"/>
      <c r="BD35" s="4"/>
      <c r="BE35" s="4"/>
      <c r="BF35" s="4"/>
      <c r="BG35" s="4"/>
      <c r="BH35" s="142">
        <v>3</v>
      </c>
      <c r="BI35" s="143"/>
      <c r="BJ35" s="144">
        <v>3</v>
      </c>
      <c r="BK35" s="143"/>
      <c r="BL35" s="144">
        <v>0</v>
      </c>
      <c r="BM35" s="145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3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131</v>
      </c>
      <c r="K42" s="25"/>
      <c r="L42" s="26"/>
      <c r="M42" s="38" t="s">
        <v>110</v>
      </c>
      <c r="N42" s="39"/>
      <c r="O42" s="40"/>
      <c r="P42" s="4"/>
      <c r="Q42" s="4"/>
      <c r="R42" s="4"/>
      <c r="S42" s="4"/>
      <c r="T42" s="24" t="s">
        <v>19</v>
      </c>
      <c r="U42" s="25"/>
      <c r="V42" s="26"/>
      <c r="W42" s="38">
        <v>233</v>
      </c>
      <c r="X42" s="102"/>
      <c r="Y42" s="103"/>
      <c r="Z42" s="4"/>
      <c r="AA42" s="4"/>
      <c r="AB42" s="4"/>
      <c r="AC42" s="4"/>
      <c r="AD42" s="24" t="s">
        <v>19</v>
      </c>
      <c r="AE42" s="25"/>
      <c r="AF42" s="26"/>
      <c r="AG42" s="38">
        <v>261</v>
      </c>
      <c r="AH42" s="102"/>
      <c r="AI42" s="103"/>
      <c r="AJ42" s="4"/>
      <c r="AK42" s="4"/>
      <c r="AL42" s="4"/>
      <c r="AM42" s="4"/>
      <c r="AN42" s="24" t="s">
        <v>48</v>
      </c>
      <c r="AO42" s="25"/>
      <c r="AP42" s="26"/>
      <c r="AQ42" s="38">
        <v>231</v>
      </c>
      <c r="AR42" s="39"/>
      <c r="AS42" s="40"/>
      <c r="AT42" s="4"/>
      <c r="AU42" s="4"/>
      <c r="AV42" s="4"/>
      <c r="AW42" s="4"/>
      <c r="AX42" s="24" t="s">
        <v>19</v>
      </c>
      <c r="AY42" s="25"/>
      <c r="AZ42" s="26"/>
      <c r="BA42" s="38">
        <v>271</v>
      </c>
      <c r="BB42" s="102"/>
      <c r="BC42" s="103"/>
      <c r="BD42" s="4"/>
      <c r="BE42" s="4"/>
      <c r="BF42" s="4"/>
      <c r="BG42" s="4"/>
      <c r="BH42" s="24" t="s">
        <v>19</v>
      </c>
      <c r="BI42" s="25"/>
      <c r="BJ42" s="26"/>
      <c r="BK42" s="38">
        <v>211</v>
      </c>
      <c r="BL42" s="102"/>
      <c r="BM42" s="103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945</v>
      </c>
      <c r="H43" s="2"/>
      <c r="I43" s="2"/>
      <c r="J43" s="114" t="s">
        <v>20</v>
      </c>
      <c r="K43" s="115"/>
      <c r="L43" s="115"/>
      <c r="M43" s="115"/>
      <c r="N43" s="116"/>
      <c r="O43" s="117"/>
      <c r="P43" s="4"/>
      <c r="Q43" s="4"/>
      <c r="R43" s="4"/>
      <c r="S43" s="4"/>
      <c r="T43" s="53" t="s">
        <v>40</v>
      </c>
      <c r="U43" s="54"/>
      <c r="V43" s="54"/>
      <c r="W43" s="54"/>
      <c r="X43" s="55"/>
      <c r="Y43" s="56"/>
      <c r="Z43" s="4"/>
      <c r="AA43" s="4"/>
      <c r="AB43" s="4"/>
      <c r="AC43" s="4"/>
      <c r="AD43" s="53" t="s">
        <v>41</v>
      </c>
      <c r="AE43" s="54"/>
      <c r="AF43" s="54"/>
      <c r="AG43" s="54"/>
      <c r="AH43" s="55"/>
      <c r="AI43" s="56"/>
      <c r="AJ43" s="4"/>
      <c r="AK43" s="4"/>
      <c r="AL43" s="4"/>
      <c r="AM43" s="4"/>
      <c r="AN43" s="146" t="s">
        <v>50</v>
      </c>
      <c r="AO43" s="147"/>
      <c r="AP43" s="147"/>
      <c r="AQ43" s="147"/>
      <c r="AR43" s="148"/>
      <c r="AS43" s="149"/>
      <c r="AT43" s="4"/>
      <c r="AU43" s="4"/>
      <c r="AV43" s="4"/>
      <c r="AW43" s="4"/>
      <c r="AX43" s="94" t="s">
        <v>82</v>
      </c>
      <c r="AY43" s="95"/>
      <c r="AZ43" s="95"/>
      <c r="BA43" s="95"/>
      <c r="BB43" s="96"/>
      <c r="BC43" s="97"/>
      <c r="BD43" s="4"/>
      <c r="BE43" s="4"/>
      <c r="BF43" s="4"/>
      <c r="BG43" s="4"/>
      <c r="BH43" s="94" t="s">
        <v>66</v>
      </c>
      <c r="BI43" s="95"/>
      <c r="BJ43" s="95"/>
      <c r="BK43" s="95"/>
      <c r="BL43" s="96"/>
      <c r="BM43" s="97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110">
        <v>2</v>
      </c>
      <c r="K44" s="111"/>
      <c r="L44" s="108">
        <v>2</v>
      </c>
      <c r="M44" s="111"/>
      <c r="N44" s="108">
        <v>90</v>
      </c>
      <c r="O44" s="109"/>
      <c r="P44" s="4"/>
      <c r="Q44" s="4"/>
      <c r="R44" s="4"/>
      <c r="S44" s="4"/>
      <c r="T44" s="57">
        <v>3</v>
      </c>
      <c r="U44" s="58"/>
      <c r="V44" s="59">
        <v>5</v>
      </c>
      <c r="W44" s="58"/>
      <c r="X44" s="59">
        <v>165</v>
      </c>
      <c r="Y44" s="91"/>
      <c r="Z44" s="4"/>
      <c r="AA44" s="4"/>
      <c r="AB44" s="4"/>
      <c r="AC44" s="4"/>
      <c r="AD44" s="57">
        <v>3</v>
      </c>
      <c r="AE44" s="58"/>
      <c r="AF44" s="59">
        <v>5</v>
      </c>
      <c r="AG44" s="58"/>
      <c r="AH44" s="59">
        <v>165</v>
      </c>
      <c r="AI44" s="91"/>
      <c r="AJ44" s="4"/>
      <c r="AK44" s="4"/>
      <c r="AL44" s="4"/>
      <c r="AM44" s="4"/>
      <c r="AN44" s="138">
        <v>3</v>
      </c>
      <c r="AO44" s="139"/>
      <c r="AP44" s="140">
        <v>6</v>
      </c>
      <c r="AQ44" s="139"/>
      <c r="AR44" s="140">
        <v>180</v>
      </c>
      <c r="AS44" s="141"/>
      <c r="AT44" s="4"/>
      <c r="AU44" s="4"/>
      <c r="AV44" s="4"/>
      <c r="AW44" s="4"/>
      <c r="AX44" s="98">
        <v>3</v>
      </c>
      <c r="AY44" s="99"/>
      <c r="AZ44" s="100">
        <v>6</v>
      </c>
      <c r="BA44" s="99"/>
      <c r="BB44" s="100">
        <v>180</v>
      </c>
      <c r="BC44" s="101"/>
      <c r="BD44" s="4"/>
      <c r="BE44" s="4"/>
      <c r="BF44" s="4"/>
      <c r="BG44" s="4"/>
      <c r="BH44" s="98">
        <v>3</v>
      </c>
      <c r="BI44" s="99"/>
      <c r="BJ44" s="100">
        <v>5</v>
      </c>
      <c r="BK44" s="99"/>
      <c r="BL44" s="100">
        <v>165</v>
      </c>
      <c r="BM44" s="101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17</v>
      </c>
      <c r="F45" s="11">
        <f>SUM(J45:BM45)</f>
        <v>29</v>
      </c>
      <c r="G45" s="105"/>
      <c r="H45" s="2"/>
      <c r="I45" s="2"/>
      <c r="J45" s="112">
        <v>2</v>
      </c>
      <c r="K45" s="113"/>
      <c r="L45" s="106">
        <v>0</v>
      </c>
      <c r="M45" s="113"/>
      <c r="N45" s="106">
        <v>0</v>
      </c>
      <c r="O45" s="107"/>
      <c r="P45" s="4"/>
      <c r="Q45" s="4"/>
      <c r="R45" s="4"/>
      <c r="S45" s="4"/>
      <c r="T45" s="92">
        <v>3</v>
      </c>
      <c r="U45" s="93"/>
      <c r="V45" s="70">
        <v>2</v>
      </c>
      <c r="W45" s="93"/>
      <c r="X45" s="70">
        <v>0</v>
      </c>
      <c r="Y45" s="71"/>
      <c r="Z45" s="4"/>
      <c r="AA45" s="4"/>
      <c r="AB45" s="4"/>
      <c r="AC45" s="4"/>
      <c r="AD45" s="92">
        <v>3</v>
      </c>
      <c r="AE45" s="93"/>
      <c r="AF45" s="70">
        <v>2</v>
      </c>
      <c r="AG45" s="93"/>
      <c r="AH45" s="70">
        <v>0</v>
      </c>
      <c r="AI45" s="71"/>
      <c r="AJ45" s="4"/>
      <c r="AK45" s="4"/>
      <c r="AL45" s="4"/>
      <c r="AM45" s="4"/>
      <c r="AN45" s="142">
        <v>3</v>
      </c>
      <c r="AO45" s="143"/>
      <c r="AP45" s="144">
        <v>3</v>
      </c>
      <c r="AQ45" s="143"/>
      <c r="AR45" s="144">
        <v>0</v>
      </c>
      <c r="AS45" s="145"/>
      <c r="AT45" s="4"/>
      <c r="AU45" s="4"/>
      <c r="AV45" s="4"/>
      <c r="AW45" s="4"/>
      <c r="AX45" s="72">
        <v>3</v>
      </c>
      <c r="AY45" s="73"/>
      <c r="AZ45" s="68">
        <v>3</v>
      </c>
      <c r="BA45" s="73"/>
      <c r="BB45" s="68">
        <v>0</v>
      </c>
      <c r="BC45" s="69"/>
      <c r="BD45" s="4"/>
      <c r="BE45" s="4"/>
      <c r="BF45" s="4"/>
      <c r="BG45" s="4"/>
      <c r="BH45" s="72">
        <v>3</v>
      </c>
      <c r="BI45" s="73"/>
      <c r="BJ45" s="68">
        <v>2</v>
      </c>
      <c r="BK45" s="73"/>
      <c r="BL45" s="68">
        <v>0</v>
      </c>
      <c r="BM45" s="69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133</v>
      </c>
      <c r="K50" s="25"/>
      <c r="L50" s="26"/>
      <c r="M50" s="38" t="s">
        <v>110</v>
      </c>
      <c r="N50" s="39"/>
      <c r="O50" s="40"/>
      <c r="P50" s="4"/>
      <c r="Q50" s="4"/>
      <c r="R50" s="4"/>
      <c r="S50" s="4"/>
      <c r="T50" s="24" t="s">
        <v>19</v>
      </c>
      <c r="U50" s="25"/>
      <c r="V50" s="26"/>
      <c r="W50" s="38">
        <v>221</v>
      </c>
      <c r="X50" s="102"/>
      <c r="Y50" s="103"/>
      <c r="Z50" s="4"/>
      <c r="AA50" s="4"/>
      <c r="AB50" s="4"/>
      <c r="AC50" s="4"/>
      <c r="AD50" s="24" t="s">
        <v>19</v>
      </c>
      <c r="AE50" s="25"/>
      <c r="AF50" s="26"/>
      <c r="AG50" s="38">
        <v>251</v>
      </c>
      <c r="AH50" s="102"/>
      <c r="AI50" s="103"/>
      <c r="AJ50" s="4"/>
      <c r="AK50" s="4"/>
      <c r="AL50" s="4"/>
      <c r="AM50" s="4"/>
      <c r="AN50" s="24" t="s">
        <v>19</v>
      </c>
      <c r="AO50" s="25"/>
      <c r="AP50" s="26"/>
      <c r="AQ50" s="38">
        <v>272</v>
      </c>
      <c r="AR50" s="102"/>
      <c r="AS50" s="103"/>
      <c r="AT50" s="4"/>
      <c r="AU50" s="4"/>
      <c r="AV50" s="4"/>
      <c r="AW50" s="4"/>
      <c r="AX50" s="24" t="s">
        <v>19</v>
      </c>
      <c r="AY50" s="25"/>
      <c r="AZ50" s="26"/>
      <c r="BA50" s="38">
        <v>273</v>
      </c>
      <c r="BB50" s="102"/>
      <c r="BC50" s="103"/>
      <c r="BD50" s="4"/>
      <c r="BE50" s="4"/>
      <c r="BF50" s="4"/>
      <c r="BG50" s="4"/>
      <c r="BH50" s="24" t="s">
        <v>19</v>
      </c>
      <c r="BI50" s="25"/>
      <c r="BJ50" s="26"/>
      <c r="BK50" s="38">
        <v>212</v>
      </c>
      <c r="BL50" s="102"/>
      <c r="BM50" s="103"/>
      <c r="BN50" s="4"/>
      <c r="BO50" s="4"/>
      <c r="BP50" s="4"/>
      <c r="BQ50" s="4"/>
      <c r="BR50" s="4"/>
      <c r="BS50" s="24" t="s">
        <v>19</v>
      </c>
      <c r="BT50" s="25"/>
      <c r="BU50" s="26"/>
      <c r="BV50" s="38">
        <v>291</v>
      </c>
      <c r="BW50" s="39"/>
      <c r="BX50" s="40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SUM(N52,X52,AH52,AR52,BB52,BL52,BW52)</f>
        <v>990</v>
      </c>
      <c r="H51" s="2"/>
      <c r="I51" s="2"/>
      <c r="J51" s="114" t="s">
        <v>132</v>
      </c>
      <c r="K51" s="115"/>
      <c r="L51" s="115"/>
      <c r="M51" s="115"/>
      <c r="N51" s="116"/>
      <c r="O51" s="117"/>
      <c r="P51" s="4"/>
      <c r="Q51" s="4"/>
      <c r="R51" s="4"/>
      <c r="S51" s="4"/>
      <c r="T51" s="53" t="s">
        <v>43</v>
      </c>
      <c r="U51" s="54"/>
      <c r="V51" s="54"/>
      <c r="W51" s="54"/>
      <c r="X51" s="55"/>
      <c r="Y51" s="56"/>
      <c r="Z51" s="4"/>
      <c r="AA51" s="4"/>
      <c r="AB51" s="4"/>
      <c r="AC51" s="4"/>
      <c r="AD51" s="53" t="s">
        <v>67</v>
      </c>
      <c r="AE51" s="54"/>
      <c r="AF51" s="54"/>
      <c r="AG51" s="54"/>
      <c r="AH51" s="55"/>
      <c r="AI51" s="56"/>
      <c r="AJ51" s="4"/>
      <c r="AK51" s="4"/>
      <c r="AL51" s="4"/>
      <c r="AM51" s="4"/>
      <c r="AN51" s="53" t="s">
        <v>45</v>
      </c>
      <c r="AO51" s="54"/>
      <c r="AP51" s="54"/>
      <c r="AQ51" s="54"/>
      <c r="AR51" s="55"/>
      <c r="AS51" s="56"/>
      <c r="AT51" s="4"/>
      <c r="AU51" s="4"/>
      <c r="AV51" s="4"/>
      <c r="AW51" s="4"/>
      <c r="AX51" s="94" t="s">
        <v>68</v>
      </c>
      <c r="AY51" s="95"/>
      <c r="AZ51" s="95"/>
      <c r="BA51" s="95"/>
      <c r="BB51" s="96"/>
      <c r="BC51" s="97"/>
      <c r="BD51" s="4"/>
      <c r="BE51" s="4"/>
      <c r="BF51" s="4"/>
      <c r="BG51" s="4"/>
      <c r="BH51" s="94" t="s">
        <v>86</v>
      </c>
      <c r="BI51" s="95"/>
      <c r="BJ51" s="95"/>
      <c r="BK51" s="95"/>
      <c r="BL51" s="96"/>
      <c r="BM51" s="97"/>
      <c r="BN51" s="4"/>
      <c r="BO51" s="4"/>
      <c r="BP51" s="4"/>
      <c r="BQ51" s="4"/>
      <c r="BR51" s="4"/>
      <c r="BS51" s="41" t="s">
        <v>152</v>
      </c>
      <c r="BT51" s="42"/>
      <c r="BU51" s="42"/>
      <c r="BV51" s="42"/>
      <c r="BW51" s="43"/>
      <c r="BX51" s="4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110">
        <v>2</v>
      </c>
      <c r="K52" s="111"/>
      <c r="L52" s="108">
        <v>2</v>
      </c>
      <c r="M52" s="111"/>
      <c r="N52" s="108">
        <v>90</v>
      </c>
      <c r="O52" s="109"/>
      <c r="P52" s="4"/>
      <c r="Q52" s="4"/>
      <c r="R52" s="4"/>
      <c r="S52" s="4"/>
      <c r="T52" s="57">
        <v>3</v>
      </c>
      <c r="U52" s="58"/>
      <c r="V52" s="59">
        <v>6</v>
      </c>
      <c r="W52" s="58"/>
      <c r="X52" s="59">
        <v>180</v>
      </c>
      <c r="Y52" s="91"/>
      <c r="Z52" s="4"/>
      <c r="AA52" s="4"/>
      <c r="AB52" s="4"/>
      <c r="AC52" s="4"/>
      <c r="AD52" s="57">
        <v>3</v>
      </c>
      <c r="AE52" s="58"/>
      <c r="AF52" s="59">
        <v>6</v>
      </c>
      <c r="AG52" s="58"/>
      <c r="AH52" s="59">
        <v>180</v>
      </c>
      <c r="AI52" s="91"/>
      <c r="AJ52" s="4"/>
      <c r="AK52" s="4"/>
      <c r="AL52" s="4"/>
      <c r="AM52" s="4"/>
      <c r="AN52" s="57">
        <v>3</v>
      </c>
      <c r="AO52" s="58"/>
      <c r="AP52" s="59">
        <v>6</v>
      </c>
      <c r="AQ52" s="58"/>
      <c r="AR52" s="59">
        <v>180</v>
      </c>
      <c r="AS52" s="91"/>
      <c r="AT52" s="4"/>
      <c r="AU52" s="4"/>
      <c r="AV52" s="4"/>
      <c r="AW52" s="4"/>
      <c r="AX52" s="98">
        <v>3</v>
      </c>
      <c r="AY52" s="99"/>
      <c r="AZ52" s="100">
        <v>4</v>
      </c>
      <c r="BA52" s="99"/>
      <c r="BB52" s="100">
        <v>150</v>
      </c>
      <c r="BC52" s="101"/>
      <c r="BD52" s="4"/>
      <c r="BE52" s="4"/>
      <c r="BF52" s="4"/>
      <c r="BG52" s="4"/>
      <c r="BH52" s="98">
        <v>3</v>
      </c>
      <c r="BI52" s="99"/>
      <c r="BJ52" s="100">
        <v>6</v>
      </c>
      <c r="BK52" s="99"/>
      <c r="BL52" s="100">
        <v>180</v>
      </c>
      <c r="BM52" s="101"/>
      <c r="BN52" s="4"/>
      <c r="BO52" s="4"/>
      <c r="BP52" s="4"/>
      <c r="BQ52" s="4"/>
      <c r="BR52" s="4"/>
      <c r="BS52" s="45">
        <v>1</v>
      </c>
      <c r="BT52" s="46"/>
      <c r="BU52" s="47">
        <v>2</v>
      </c>
      <c r="BV52" s="46"/>
      <c r="BW52" s="47">
        <v>30</v>
      </c>
      <c r="BX52" s="48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J52+T52+AD52+AN52+AX52+BH52+BS52</f>
        <v>18</v>
      </c>
      <c r="F53" s="11">
        <f>L52+V52+AF52+AP52+AZ52+BJ52+BU52</f>
        <v>32</v>
      </c>
      <c r="G53" s="105"/>
      <c r="H53" s="2"/>
      <c r="I53" s="2"/>
      <c r="J53" s="112">
        <v>2</v>
      </c>
      <c r="K53" s="113"/>
      <c r="L53" s="106">
        <v>0</v>
      </c>
      <c r="M53" s="113"/>
      <c r="N53" s="106">
        <v>0</v>
      </c>
      <c r="O53" s="107"/>
      <c r="P53" s="4"/>
      <c r="Q53" s="4"/>
      <c r="R53" s="4"/>
      <c r="S53" s="4"/>
      <c r="T53" s="92">
        <v>3</v>
      </c>
      <c r="U53" s="93"/>
      <c r="V53" s="70">
        <v>3</v>
      </c>
      <c r="W53" s="93"/>
      <c r="X53" s="70">
        <v>0</v>
      </c>
      <c r="Y53" s="71"/>
      <c r="Z53" s="4"/>
      <c r="AA53" s="4"/>
      <c r="AB53" s="4"/>
      <c r="AC53" s="4"/>
      <c r="AD53" s="92">
        <v>3</v>
      </c>
      <c r="AE53" s="93"/>
      <c r="AF53" s="70">
        <v>3</v>
      </c>
      <c r="AG53" s="93"/>
      <c r="AH53" s="70">
        <v>0</v>
      </c>
      <c r="AI53" s="71"/>
      <c r="AJ53" s="4"/>
      <c r="AK53" s="4"/>
      <c r="AL53" s="4"/>
      <c r="AM53" s="4"/>
      <c r="AN53" s="92">
        <v>3</v>
      </c>
      <c r="AO53" s="93"/>
      <c r="AP53" s="70">
        <v>3</v>
      </c>
      <c r="AQ53" s="93"/>
      <c r="AR53" s="70">
        <v>0</v>
      </c>
      <c r="AS53" s="71"/>
      <c r="AT53" s="4"/>
      <c r="AU53" s="4"/>
      <c r="AV53" s="4"/>
      <c r="AW53" s="4"/>
      <c r="AX53" s="72">
        <v>2</v>
      </c>
      <c r="AY53" s="73"/>
      <c r="AZ53" s="68">
        <v>1</v>
      </c>
      <c r="BA53" s="73"/>
      <c r="BB53" s="68">
        <v>1</v>
      </c>
      <c r="BC53" s="69"/>
      <c r="BD53" s="4"/>
      <c r="BE53" s="4"/>
      <c r="BF53" s="4"/>
      <c r="BG53" s="4"/>
      <c r="BH53" s="72">
        <v>3</v>
      </c>
      <c r="BI53" s="73"/>
      <c r="BJ53" s="68">
        <v>3</v>
      </c>
      <c r="BK53" s="73"/>
      <c r="BL53" s="68">
        <v>0</v>
      </c>
      <c r="BM53" s="69"/>
      <c r="BN53" s="4"/>
      <c r="BO53" s="4"/>
      <c r="BP53" s="4"/>
      <c r="BQ53" s="4"/>
      <c r="BR53" s="4"/>
      <c r="BS53" s="49">
        <v>2</v>
      </c>
      <c r="BT53" s="50"/>
      <c r="BU53" s="51">
        <v>0</v>
      </c>
      <c r="BV53" s="50"/>
      <c r="BW53" s="51">
        <v>0</v>
      </c>
      <c r="BX53" s="52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2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135</v>
      </c>
      <c r="K60" s="25"/>
      <c r="L60" s="26"/>
      <c r="M60" s="38" t="s">
        <v>111</v>
      </c>
      <c r="N60" s="39"/>
      <c r="O60" s="40"/>
      <c r="P60" s="4"/>
      <c r="Q60" s="4"/>
      <c r="R60" s="4"/>
      <c r="S60" s="4"/>
      <c r="T60" s="24" t="s">
        <v>136</v>
      </c>
      <c r="U60" s="25"/>
      <c r="V60" s="26"/>
      <c r="W60" s="38" t="s">
        <v>110</v>
      </c>
      <c r="X60" s="39"/>
      <c r="Y60" s="40"/>
      <c r="Z60" s="4"/>
      <c r="AA60" s="4"/>
      <c r="AB60" s="4"/>
      <c r="AC60" s="4"/>
      <c r="AD60" s="24" t="s">
        <v>19</v>
      </c>
      <c r="AE60" s="25"/>
      <c r="AF60" s="26"/>
      <c r="AG60" s="38">
        <v>374</v>
      </c>
      <c r="AH60" s="102"/>
      <c r="AI60" s="103"/>
      <c r="AJ60" s="4"/>
      <c r="AK60" s="4"/>
      <c r="AL60" s="4"/>
      <c r="AM60" s="4"/>
      <c r="AN60" s="24" t="s">
        <v>137</v>
      </c>
      <c r="AO60" s="25"/>
      <c r="AP60" s="26"/>
      <c r="AQ60" s="38" t="s">
        <v>111</v>
      </c>
      <c r="AR60" s="39"/>
      <c r="AS60" s="40"/>
      <c r="AT60" s="4"/>
      <c r="AU60" s="4"/>
      <c r="AV60" s="4"/>
      <c r="AW60" s="4"/>
      <c r="AX60" s="24" t="s">
        <v>137</v>
      </c>
      <c r="AY60" s="25"/>
      <c r="AZ60" s="26"/>
      <c r="BA60" s="38" t="s">
        <v>111</v>
      </c>
      <c r="BB60" s="39"/>
      <c r="BC60" s="40"/>
      <c r="BD60" s="4"/>
      <c r="BE60" s="4"/>
      <c r="BF60" s="4"/>
      <c r="BG60" s="4"/>
      <c r="BH60" s="24" t="s">
        <v>167</v>
      </c>
      <c r="BI60" s="25"/>
      <c r="BJ60" s="26"/>
      <c r="BK60" s="38">
        <v>215</v>
      </c>
      <c r="BL60" s="39"/>
      <c r="BM60" s="40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900</v>
      </c>
      <c r="H61" s="2"/>
      <c r="I61" s="2"/>
      <c r="J61" s="114" t="s">
        <v>134</v>
      </c>
      <c r="K61" s="115"/>
      <c r="L61" s="115"/>
      <c r="M61" s="115"/>
      <c r="N61" s="116"/>
      <c r="O61" s="117"/>
      <c r="P61" s="4"/>
      <c r="Q61" s="4"/>
      <c r="R61" s="4"/>
      <c r="S61" s="4"/>
      <c r="T61" s="30" t="s">
        <v>28</v>
      </c>
      <c r="U61" s="31"/>
      <c r="V61" s="31"/>
      <c r="W61" s="31"/>
      <c r="X61" s="32"/>
      <c r="Y61" s="33"/>
      <c r="Z61" s="4"/>
      <c r="AA61" s="4"/>
      <c r="AB61" s="4"/>
      <c r="AC61" s="4"/>
      <c r="AD61" s="94" t="s">
        <v>87</v>
      </c>
      <c r="AE61" s="95"/>
      <c r="AF61" s="95"/>
      <c r="AG61" s="95"/>
      <c r="AH61" s="96"/>
      <c r="AI61" s="97"/>
      <c r="AJ61" s="4"/>
      <c r="AK61" s="4"/>
      <c r="AL61" s="4"/>
      <c r="AM61" s="4"/>
      <c r="AN61" s="76" t="s">
        <v>138</v>
      </c>
      <c r="AO61" s="77"/>
      <c r="AP61" s="77"/>
      <c r="AQ61" s="77"/>
      <c r="AR61" s="77"/>
      <c r="AS61" s="78"/>
      <c r="AT61" s="4"/>
      <c r="AU61" s="4"/>
      <c r="AV61" s="4"/>
      <c r="AW61" s="4"/>
      <c r="AX61" s="76" t="s">
        <v>139</v>
      </c>
      <c r="AY61" s="77"/>
      <c r="AZ61" s="77"/>
      <c r="BA61" s="77"/>
      <c r="BB61" s="77"/>
      <c r="BC61" s="78"/>
      <c r="BD61" s="4"/>
      <c r="BE61" s="4"/>
      <c r="BF61" s="4"/>
      <c r="BG61" s="4"/>
      <c r="BH61" s="30" t="s">
        <v>168</v>
      </c>
      <c r="BI61" s="31"/>
      <c r="BJ61" s="31"/>
      <c r="BK61" s="31"/>
      <c r="BL61" s="32"/>
      <c r="BM61" s="33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110">
        <v>2</v>
      </c>
      <c r="K62" s="111"/>
      <c r="L62" s="108">
        <v>2</v>
      </c>
      <c r="M62" s="111"/>
      <c r="N62" s="108">
        <v>90</v>
      </c>
      <c r="O62" s="109"/>
      <c r="P62" s="4"/>
      <c r="Q62" s="4"/>
      <c r="R62" s="4"/>
      <c r="S62" s="4"/>
      <c r="T62" s="34">
        <v>3</v>
      </c>
      <c r="U62" s="35"/>
      <c r="V62" s="36">
        <v>4</v>
      </c>
      <c r="W62" s="35"/>
      <c r="X62" s="36">
        <v>150</v>
      </c>
      <c r="Y62" s="37"/>
      <c r="Z62" s="4"/>
      <c r="AA62" s="4"/>
      <c r="AB62" s="4"/>
      <c r="AC62" s="4"/>
      <c r="AD62" s="98">
        <v>3</v>
      </c>
      <c r="AE62" s="99"/>
      <c r="AF62" s="100">
        <v>5</v>
      </c>
      <c r="AG62" s="99"/>
      <c r="AH62" s="100">
        <v>165</v>
      </c>
      <c r="AI62" s="101"/>
      <c r="AJ62" s="4"/>
      <c r="AK62" s="4"/>
      <c r="AL62" s="4"/>
      <c r="AM62" s="4"/>
      <c r="AN62" s="79">
        <v>3</v>
      </c>
      <c r="AO62" s="80"/>
      <c r="AP62" s="81">
        <v>7</v>
      </c>
      <c r="AQ62" s="80"/>
      <c r="AR62" s="81">
        <v>195</v>
      </c>
      <c r="AS62" s="82"/>
      <c r="AT62" s="4"/>
      <c r="AU62" s="4"/>
      <c r="AV62" s="4"/>
      <c r="AW62" s="4"/>
      <c r="AX62" s="79">
        <v>3</v>
      </c>
      <c r="AY62" s="80"/>
      <c r="AZ62" s="81">
        <v>7</v>
      </c>
      <c r="BA62" s="80"/>
      <c r="BB62" s="81">
        <v>195</v>
      </c>
      <c r="BC62" s="82"/>
      <c r="BD62" s="4"/>
      <c r="BE62" s="4"/>
      <c r="BF62" s="4"/>
      <c r="BG62" s="4"/>
      <c r="BH62" s="34">
        <v>2</v>
      </c>
      <c r="BI62" s="35"/>
      <c r="BJ62" s="36">
        <v>4</v>
      </c>
      <c r="BK62" s="35"/>
      <c r="BL62" s="36">
        <v>105</v>
      </c>
      <c r="BM62" s="37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16</v>
      </c>
      <c r="F63" s="11">
        <f>SUM(J63:BM63)</f>
        <v>29</v>
      </c>
      <c r="G63" s="105"/>
      <c r="H63" s="2"/>
      <c r="I63" s="2"/>
      <c r="J63" s="112">
        <v>2</v>
      </c>
      <c r="K63" s="113"/>
      <c r="L63" s="106">
        <v>0</v>
      </c>
      <c r="M63" s="113"/>
      <c r="N63" s="106">
        <v>0</v>
      </c>
      <c r="O63" s="107"/>
      <c r="P63" s="4"/>
      <c r="Q63" s="4"/>
      <c r="R63" s="4"/>
      <c r="S63" s="4"/>
      <c r="T63" s="20">
        <v>2</v>
      </c>
      <c r="U63" s="21"/>
      <c r="V63" s="22">
        <v>2</v>
      </c>
      <c r="W63" s="21"/>
      <c r="X63" s="22">
        <v>0</v>
      </c>
      <c r="Y63" s="23"/>
      <c r="Z63" s="4"/>
      <c r="AA63" s="4"/>
      <c r="AB63" s="4"/>
      <c r="AC63" s="4"/>
      <c r="AD63" s="72">
        <v>3</v>
      </c>
      <c r="AE63" s="73"/>
      <c r="AF63" s="68">
        <v>2</v>
      </c>
      <c r="AG63" s="73"/>
      <c r="AH63" s="68">
        <v>0</v>
      </c>
      <c r="AI63" s="69"/>
      <c r="AJ63" s="4"/>
      <c r="AK63" s="4"/>
      <c r="AL63" s="4"/>
      <c r="AM63" s="4"/>
      <c r="AN63" s="83">
        <v>3</v>
      </c>
      <c r="AO63" s="84"/>
      <c r="AP63" s="85">
        <v>2</v>
      </c>
      <c r="AQ63" s="84"/>
      <c r="AR63" s="85">
        <v>2</v>
      </c>
      <c r="AS63" s="86"/>
      <c r="AT63" s="4"/>
      <c r="AU63" s="4"/>
      <c r="AV63" s="4"/>
      <c r="AW63" s="4"/>
      <c r="AX63" s="83">
        <v>3</v>
      </c>
      <c r="AY63" s="84"/>
      <c r="AZ63" s="85">
        <v>2</v>
      </c>
      <c r="BA63" s="84"/>
      <c r="BB63" s="85">
        <v>2</v>
      </c>
      <c r="BC63" s="86"/>
      <c r="BD63" s="4"/>
      <c r="BE63" s="4"/>
      <c r="BF63" s="4"/>
      <c r="BG63" s="4"/>
      <c r="BH63" s="20">
        <v>2</v>
      </c>
      <c r="BI63" s="21"/>
      <c r="BJ63" s="22">
        <v>1</v>
      </c>
      <c r="BK63" s="21"/>
      <c r="BL63" s="22">
        <v>1</v>
      </c>
      <c r="BM63" s="23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136</v>
      </c>
      <c r="K68" s="25"/>
      <c r="L68" s="26"/>
      <c r="M68" s="38" t="s">
        <v>110</v>
      </c>
      <c r="N68" s="39"/>
      <c r="O68" s="40"/>
      <c r="P68" s="4"/>
      <c r="Q68" s="4"/>
      <c r="R68" s="4"/>
      <c r="S68" s="4"/>
      <c r="T68" s="24" t="s">
        <v>19</v>
      </c>
      <c r="U68" s="25"/>
      <c r="V68" s="26"/>
      <c r="W68" s="38">
        <v>363</v>
      </c>
      <c r="X68" s="102"/>
      <c r="Y68" s="103"/>
      <c r="Z68" s="4"/>
      <c r="AA68" s="4"/>
      <c r="AB68" s="4"/>
      <c r="AC68" s="4"/>
      <c r="AD68" s="24" t="s">
        <v>19</v>
      </c>
      <c r="AE68" s="25"/>
      <c r="AF68" s="26"/>
      <c r="AG68" s="38">
        <v>322</v>
      </c>
      <c r="AH68" s="102"/>
      <c r="AI68" s="103"/>
      <c r="AJ68" s="4"/>
      <c r="AK68" s="4"/>
      <c r="AL68" s="4"/>
      <c r="AM68" s="4"/>
      <c r="AN68" s="24" t="s">
        <v>137</v>
      </c>
      <c r="AO68" s="25"/>
      <c r="AP68" s="26"/>
      <c r="AQ68" s="38" t="s">
        <v>111</v>
      </c>
      <c r="AR68" s="39"/>
      <c r="AS68" s="40"/>
      <c r="AT68" s="4"/>
      <c r="AU68" s="4"/>
      <c r="AV68" s="4"/>
      <c r="AW68" s="4"/>
      <c r="AX68" s="24" t="s">
        <v>137</v>
      </c>
      <c r="AY68" s="25"/>
      <c r="AZ68" s="26"/>
      <c r="BA68" s="38" t="s">
        <v>112</v>
      </c>
      <c r="BB68" s="39"/>
      <c r="BC68" s="40"/>
      <c r="BD68" s="4"/>
      <c r="BE68" s="4"/>
      <c r="BF68" s="4"/>
      <c r="BG68" s="4"/>
      <c r="BH68" s="24" t="s">
        <v>19</v>
      </c>
      <c r="BI68" s="25"/>
      <c r="BJ68" s="26"/>
      <c r="BK68" s="38">
        <v>392</v>
      </c>
      <c r="BL68" s="39"/>
      <c r="BM68" s="40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930</v>
      </c>
      <c r="H69" s="2"/>
      <c r="I69" s="2"/>
      <c r="J69" s="30" t="s">
        <v>29</v>
      </c>
      <c r="K69" s="31"/>
      <c r="L69" s="31"/>
      <c r="M69" s="31"/>
      <c r="N69" s="32"/>
      <c r="O69" s="33"/>
      <c r="P69" s="4"/>
      <c r="Q69" s="4"/>
      <c r="R69" s="4"/>
      <c r="S69" s="4"/>
      <c r="T69" s="53" t="s">
        <v>72</v>
      </c>
      <c r="U69" s="54"/>
      <c r="V69" s="54"/>
      <c r="W69" s="54"/>
      <c r="X69" s="55"/>
      <c r="Y69" s="56"/>
      <c r="Z69" s="4"/>
      <c r="AA69" s="4"/>
      <c r="AB69" s="4"/>
      <c r="AC69" s="4"/>
      <c r="AD69" s="94" t="s">
        <v>73</v>
      </c>
      <c r="AE69" s="95"/>
      <c r="AF69" s="95"/>
      <c r="AG69" s="95"/>
      <c r="AH69" s="96"/>
      <c r="AI69" s="97"/>
      <c r="AJ69" s="4"/>
      <c r="AK69" s="4"/>
      <c r="AL69" s="4"/>
      <c r="AM69" s="4"/>
      <c r="AN69" s="76" t="s">
        <v>140</v>
      </c>
      <c r="AO69" s="77"/>
      <c r="AP69" s="77"/>
      <c r="AQ69" s="77"/>
      <c r="AR69" s="77"/>
      <c r="AS69" s="78"/>
      <c r="AT69" s="4"/>
      <c r="AU69" s="4"/>
      <c r="AV69" s="4"/>
      <c r="AW69" s="4"/>
      <c r="AX69" s="76" t="s">
        <v>143</v>
      </c>
      <c r="AY69" s="77"/>
      <c r="AZ69" s="77"/>
      <c r="BA69" s="77"/>
      <c r="BB69" s="77"/>
      <c r="BC69" s="78"/>
      <c r="BD69" s="4"/>
      <c r="BE69" s="4"/>
      <c r="BF69" s="4"/>
      <c r="BG69" s="4"/>
      <c r="BH69" s="41" t="s">
        <v>153</v>
      </c>
      <c r="BI69" s="42"/>
      <c r="BJ69" s="42"/>
      <c r="BK69" s="42"/>
      <c r="BL69" s="43"/>
      <c r="BM69" s="4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34">
        <v>3</v>
      </c>
      <c r="K70" s="35"/>
      <c r="L70" s="36">
        <v>4</v>
      </c>
      <c r="M70" s="35"/>
      <c r="N70" s="36">
        <v>150</v>
      </c>
      <c r="O70" s="37"/>
      <c r="P70" s="4"/>
      <c r="Q70" s="4"/>
      <c r="R70" s="4"/>
      <c r="S70" s="4"/>
      <c r="T70" s="57">
        <v>3</v>
      </c>
      <c r="U70" s="58"/>
      <c r="V70" s="59">
        <v>6</v>
      </c>
      <c r="W70" s="58"/>
      <c r="X70" s="59">
        <v>180</v>
      </c>
      <c r="Y70" s="91"/>
      <c r="Z70" s="4"/>
      <c r="AA70" s="4"/>
      <c r="AB70" s="4"/>
      <c r="AC70" s="4"/>
      <c r="AD70" s="98">
        <v>3</v>
      </c>
      <c r="AE70" s="99"/>
      <c r="AF70" s="100">
        <v>6</v>
      </c>
      <c r="AG70" s="99"/>
      <c r="AH70" s="100">
        <v>180</v>
      </c>
      <c r="AI70" s="101"/>
      <c r="AJ70" s="4"/>
      <c r="AK70" s="4"/>
      <c r="AL70" s="4"/>
      <c r="AM70" s="4"/>
      <c r="AN70" s="79">
        <v>3</v>
      </c>
      <c r="AO70" s="80"/>
      <c r="AP70" s="81">
        <v>7</v>
      </c>
      <c r="AQ70" s="80"/>
      <c r="AR70" s="81">
        <v>195</v>
      </c>
      <c r="AS70" s="82"/>
      <c r="AT70" s="4"/>
      <c r="AU70" s="4"/>
      <c r="AV70" s="4"/>
      <c r="AW70" s="4"/>
      <c r="AX70" s="79">
        <v>3</v>
      </c>
      <c r="AY70" s="80"/>
      <c r="AZ70" s="81">
        <v>7</v>
      </c>
      <c r="BA70" s="80"/>
      <c r="BB70" s="81">
        <v>195</v>
      </c>
      <c r="BC70" s="82"/>
      <c r="BD70" s="4"/>
      <c r="BE70" s="4"/>
      <c r="BF70" s="4"/>
      <c r="BG70" s="4"/>
      <c r="BH70" s="45">
        <v>1</v>
      </c>
      <c r="BI70" s="46"/>
      <c r="BJ70" s="47">
        <v>2</v>
      </c>
      <c r="BK70" s="46"/>
      <c r="BL70" s="47">
        <v>30</v>
      </c>
      <c r="BM70" s="48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SUM(J70,T70,AD70,AN70,AX70,BH70)</f>
        <v>16</v>
      </c>
      <c r="F71" s="11">
        <f>L70+V70+AF70+AP70+AZ70+BJ70</f>
        <v>32</v>
      </c>
      <c r="G71" s="105"/>
      <c r="H71" s="2"/>
      <c r="I71" s="2"/>
      <c r="J71" s="20">
        <v>2</v>
      </c>
      <c r="K71" s="21"/>
      <c r="L71" s="22">
        <v>2</v>
      </c>
      <c r="M71" s="21"/>
      <c r="N71" s="22">
        <v>0</v>
      </c>
      <c r="O71" s="23"/>
      <c r="P71" s="4"/>
      <c r="Q71" s="4"/>
      <c r="R71" s="4"/>
      <c r="S71" s="4"/>
      <c r="T71" s="92">
        <v>3</v>
      </c>
      <c r="U71" s="93"/>
      <c r="V71" s="70">
        <v>3</v>
      </c>
      <c r="W71" s="93"/>
      <c r="X71" s="70">
        <v>0</v>
      </c>
      <c r="Y71" s="71"/>
      <c r="Z71" s="4"/>
      <c r="AA71" s="4"/>
      <c r="AB71" s="4"/>
      <c r="AC71" s="4"/>
      <c r="AD71" s="72">
        <v>3</v>
      </c>
      <c r="AE71" s="73"/>
      <c r="AF71" s="68">
        <v>3</v>
      </c>
      <c r="AG71" s="73"/>
      <c r="AH71" s="68">
        <v>0</v>
      </c>
      <c r="AI71" s="69"/>
      <c r="AJ71" s="4"/>
      <c r="AK71" s="4"/>
      <c r="AL71" s="4"/>
      <c r="AM71" s="4"/>
      <c r="AN71" s="83">
        <v>3</v>
      </c>
      <c r="AO71" s="84"/>
      <c r="AP71" s="85">
        <v>2</v>
      </c>
      <c r="AQ71" s="84"/>
      <c r="AR71" s="85">
        <v>2</v>
      </c>
      <c r="AS71" s="86"/>
      <c r="AT71" s="4"/>
      <c r="AU71" s="4"/>
      <c r="AV71" s="4"/>
      <c r="AW71" s="4"/>
      <c r="AX71" s="83">
        <v>3</v>
      </c>
      <c r="AY71" s="84"/>
      <c r="AZ71" s="85">
        <v>2</v>
      </c>
      <c r="BA71" s="84"/>
      <c r="BB71" s="85">
        <v>2</v>
      </c>
      <c r="BC71" s="86"/>
      <c r="BD71" s="4"/>
      <c r="BE71" s="4"/>
      <c r="BF71" s="4"/>
      <c r="BG71" s="4"/>
      <c r="BH71" s="49">
        <v>2</v>
      </c>
      <c r="BI71" s="50"/>
      <c r="BJ71" s="51">
        <v>0</v>
      </c>
      <c r="BK71" s="50"/>
      <c r="BL71" s="51">
        <v>0</v>
      </c>
      <c r="BM71" s="52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thickBot="1" x14ac:dyDescent="0.35"/>
    <row r="77" spans="2:135" ht="10.050000000000001" customHeight="1" thickTop="1" thickBot="1" x14ac:dyDescent="0.35">
      <c r="B77" s="118" t="s">
        <v>1</v>
      </c>
      <c r="C77" s="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I77" s="63" t="s">
        <v>15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6"/>
    </row>
    <row r="78" spans="2:135" ht="15" customHeight="1" x14ac:dyDescent="0.3">
      <c r="B78" s="118"/>
      <c r="C78" s="1"/>
      <c r="D78" s="119" t="s">
        <v>5</v>
      </c>
      <c r="E78" s="11"/>
      <c r="F78" s="11"/>
      <c r="G78" s="2"/>
      <c r="H78" s="2"/>
      <c r="I78" s="2"/>
      <c r="J78" s="24" t="s">
        <v>141</v>
      </c>
      <c r="K78" s="25"/>
      <c r="L78" s="26"/>
      <c r="M78" s="38" t="s">
        <v>111</v>
      </c>
      <c r="N78" s="39"/>
      <c r="O78" s="40"/>
      <c r="P78" s="4"/>
      <c r="Q78" s="4"/>
      <c r="R78" s="4"/>
      <c r="S78" s="4"/>
      <c r="T78" s="24" t="s">
        <v>19</v>
      </c>
      <c r="U78" s="25"/>
      <c r="V78" s="26"/>
      <c r="W78" s="38">
        <v>464</v>
      </c>
      <c r="X78" s="102"/>
      <c r="Y78" s="103"/>
      <c r="Z78" s="4"/>
      <c r="AA78" s="4"/>
      <c r="AB78" s="4"/>
      <c r="AC78" s="4"/>
      <c r="AD78" s="24" t="s">
        <v>19</v>
      </c>
      <c r="AE78" s="25"/>
      <c r="AF78" s="26"/>
      <c r="AG78" s="38">
        <v>478</v>
      </c>
      <c r="AH78" s="102"/>
      <c r="AI78" s="103"/>
      <c r="AJ78" s="4"/>
      <c r="AK78" s="4"/>
      <c r="AL78" s="4"/>
      <c r="AM78" s="4"/>
      <c r="AN78" s="24" t="s">
        <v>19</v>
      </c>
      <c r="AO78" s="25"/>
      <c r="AP78" s="26"/>
      <c r="AQ78" s="38">
        <v>427</v>
      </c>
      <c r="AR78" s="102"/>
      <c r="AS78" s="103"/>
      <c r="AT78" s="4"/>
      <c r="AU78" s="4"/>
      <c r="AV78" s="4"/>
      <c r="AW78" s="4"/>
      <c r="AX78" s="24" t="s">
        <v>19</v>
      </c>
      <c r="AY78" s="25"/>
      <c r="AZ78" s="26"/>
      <c r="BA78" s="38">
        <v>493</v>
      </c>
      <c r="BB78" s="39"/>
      <c r="BC78" s="40"/>
      <c r="BD78" s="4"/>
      <c r="BE78" s="4"/>
      <c r="BF78" s="4"/>
      <c r="BG78" s="4"/>
      <c r="BI78" s="64"/>
      <c r="BJ78" s="137" t="s">
        <v>65</v>
      </c>
      <c r="BK78" s="17"/>
      <c r="BL78" s="16"/>
      <c r="BR78" s="123" t="s">
        <v>7</v>
      </c>
      <c r="BS78" s="124"/>
      <c r="BT78" s="124"/>
      <c r="BU78" s="124"/>
      <c r="BV78" s="125"/>
      <c r="BW78" s="126"/>
      <c r="CA78" s="8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79" s="118"/>
      <c r="C79" s="1"/>
      <c r="D79" s="119"/>
      <c r="E79" s="120" t="s">
        <v>16</v>
      </c>
      <c r="F79" s="120" t="s">
        <v>17</v>
      </c>
      <c r="G79" s="13">
        <f>SUM(N80,X80,AH80,AR80,BB80,BL80)</f>
        <v>750</v>
      </c>
      <c r="H79" s="2"/>
      <c r="I79" s="2"/>
      <c r="J79" s="114" t="s">
        <v>142</v>
      </c>
      <c r="K79" s="115"/>
      <c r="L79" s="115"/>
      <c r="M79" s="115"/>
      <c r="N79" s="116"/>
      <c r="O79" s="117"/>
      <c r="P79" s="4"/>
      <c r="Q79" s="4"/>
      <c r="R79" s="4"/>
      <c r="S79" s="4"/>
      <c r="T79" s="53" t="s">
        <v>74</v>
      </c>
      <c r="U79" s="54"/>
      <c r="V79" s="54"/>
      <c r="W79" s="54"/>
      <c r="X79" s="55"/>
      <c r="Y79" s="56"/>
      <c r="Z79" s="4"/>
      <c r="AA79" s="4"/>
      <c r="AB79" s="4"/>
      <c r="AC79" s="4"/>
      <c r="AD79" s="94" t="s">
        <v>88</v>
      </c>
      <c r="AE79" s="95"/>
      <c r="AF79" s="95"/>
      <c r="AG79" s="95"/>
      <c r="AH79" s="96"/>
      <c r="AI79" s="97"/>
      <c r="AJ79" s="4"/>
      <c r="AK79" s="4"/>
      <c r="AL79" s="4"/>
      <c r="AM79" s="4"/>
      <c r="AN79" s="94" t="s">
        <v>84</v>
      </c>
      <c r="AO79" s="95"/>
      <c r="AP79" s="95"/>
      <c r="AQ79" s="95"/>
      <c r="AR79" s="96"/>
      <c r="AS79" s="97"/>
      <c r="AT79" s="4"/>
      <c r="AU79" s="4"/>
      <c r="AV79" s="4"/>
      <c r="AW79" s="4"/>
      <c r="AX79" s="41" t="s">
        <v>63</v>
      </c>
      <c r="AY79" s="42"/>
      <c r="AZ79" s="42"/>
      <c r="BA79" s="42"/>
      <c r="BB79" s="43"/>
      <c r="BC79" s="44"/>
      <c r="BD79" s="4"/>
      <c r="BE79" s="4"/>
      <c r="BF79" s="4"/>
      <c r="BG79" s="4"/>
      <c r="BI79" s="64"/>
      <c r="BJ79" s="137"/>
      <c r="BK79" s="17"/>
      <c r="BL79" s="16"/>
      <c r="BR79" s="127" t="s">
        <v>8</v>
      </c>
      <c r="BS79" s="128"/>
      <c r="BT79" s="128"/>
      <c r="BU79" s="128"/>
      <c r="BV79" s="129"/>
      <c r="BW79" s="130"/>
      <c r="CA79" s="8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80" s="118"/>
      <c r="C80" s="1"/>
      <c r="D80" s="119"/>
      <c r="E80" s="120"/>
      <c r="F80" s="120"/>
      <c r="G80" s="105"/>
      <c r="H80" s="121"/>
      <c r="I80" s="122"/>
      <c r="J80" s="110">
        <v>2</v>
      </c>
      <c r="K80" s="111"/>
      <c r="L80" s="108">
        <v>2</v>
      </c>
      <c r="M80" s="111"/>
      <c r="N80" s="108">
        <v>90</v>
      </c>
      <c r="O80" s="109"/>
      <c r="P80" s="4"/>
      <c r="Q80" s="4"/>
      <c r="R80" s="4"/>
      <c r="S80" s="4"/>
      <c r="T80" s="57">
        <v>3</v>
      </c>
      <c r="U80" s="58"/>
      <c r="V80" s="59">
        <v>6</v>
      </c>
      <c r="W80" s="58"/>
      <c r="X80" s="59">
        <v>180</v>
      </c>
      <c r="Y80" s="91"/>
      <c r="Z80" s="4"/>
      <c r="AA80" s="4"/>
      <c r="AB80" s="4"/>
      <c r="AC80" s="4"/>
      <c r="AD80" s="98">
        <v>3</v>
      </c>
      <c r="AE80" s="99"/>
      <c r="AF80" s="100">
        <v>6</v>
      </c>
      <c r="AG80" s="99"/>
      <c r="AH80" s="100">
        <v>180</v>
      </c>
      <c r="AI80" s="101"/>
      <c r="AJ80" s="4"/>
      <c r="AK80" s="4"/>
      <c r="AL80" s="4"/>
      <c r="AM80" s="4"/>
      <c r="AN80" s="98">
        <v>3</v>
      </c>
      <c r="AO80" s="99"/>
      <c r="AP80" s="100">
        <v>6</v>
      </c>
      <c r="AQ80" s="99"/>
      <c r="AR80" s="100">
        <v>180</v>
      </c>
      <c r="AS80" s="101"/>
      <c r="AT80" s="4"/>
      <c r="AU80" s="4"/>
      <c r="AV80" s="4"/>
      <c r="AW80" s="4"/>
      <c r="AX80" s="45">
        <v>3</v>
      </c>
      <c r="AY80" s="46"/>
      <c r="AZ80" s="47">
        <v>2</v>
      </c>
      <c r="BA80" s="46"/>
      <c r="BB80" s="47">
        <v>120</v>
      </c>
      <c r="BC80" s="48"/>
      <c r="BD80" s="4"/>
      <c r="BE80" s="4"/>
      <c r="BF80" s="4"/>
      <c r="BG80" s="4"/>
      <c r="BI80" s="64"/>
      <c r="BJ80" s="137"/>
      <c r="BK80" s="17"/>
      <c r="BL80" s="16"/>
      <c r="BR80" s="66" t="s">
        <v>9</v>
      </c>
      <c r="BS80" s="67"/>
      <c r="BT80" s="131" t="s">
        <v>18</v>
      </c>
      <c r="BU80" s="67"/>
      <c r="BV80" s="131" t="s">
        <v>10</v>
      </c>
      <c r="BW80" s="132"/>
      <c r="CA80" s="8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2:135" ht="15" thickBot="1" x14ac:dyDescent="0.35">
      <c r="B81" s="118"/>
      <c r="C81" s="1"/>
      <c r="D81" s="119"/>
      <c r="E81" s="11">
        <f>SUM(J80,T80,AD80,AN80,AX80)</f>
        <v>14</v>
      </c>
      <c r="F81" s="11">
        <f>SUM(J81:BC81)</f>
        <v>22</v>
      </c>
      <c r="G81" s="105"/>
      <c r="H81" s="2"/>
      <c r="I81" s="2"/>
      <c r="J81" s="112">
        <v>2</v>
      </c>
      <c r="K81" s="113"/>
      <c r="L81" s="106">
        <v>0</v>
      </c>
      <c r="M81" s="113"/>
      <c r="N81" s="106">
        <v>0</v>
      </c>
      <c r="O81" s="107"/>
      <c r="P81" s="4"/>
      <c r="Q81" s="4"/>
      <c r="R81" s="4"/>
      <c r="S81" s="4"/>
      <c r="T81" s="92">
        <v>3</v>
      </c>
      <c r="U81" s="93"/>
      <c r="V81" s="70">
        <v>3</v>
      </c>
      <c r="W81" s="93"/>
      <c r="X81" s="70">
        <v>0</v>
      </c>
      <c r="Y81" s="71"/>
      <c r="Z81" s="4"/>
      <c r="AA81" s="4"/>
      <c r="AB81" s="4"/>
      <c r="AC81" s="4"/>
      <c r="AD81" s="72">
        <v>3</v>
      </c>
      <c r="AE81" s="73"/>
      <c r="AF81" s="68">
        <v>3</v>
      </c>
      <c r="AG81" s="73"/>
      <c r="AH81" s="68">
        <v>0</v>
      </c>
      <c r="AI81" s="69"/>
      <c r="AJ81" s="4"/>
      <c r="AK81" s="4"/>
      <c r="AL81" s="4"/>
      <c r="AM81" s="4"/>
      <c r="AN81" s="72">
        <v>3</v>
      </c>
      <c r="AO81" s="73"/>
      <c r="AP81" s="68">
        <v>3</v>
      </c>
      <c r="AQ81" s="73"/>
      <c r="AR81" s="68">
        <v>0</v>
      </c>
      <c r="AS81" s="69"/>
      <c r="AT81" s="4"/>
      <c r="AU81" s="4"/>
      <c r="AV81" s="4"/>
      <c r="AW81" s="4"/>
      <c r="AX81" s="49">
        <v>2</v>
      </c>
      <c r="AY81" s="50"/>
      <c r="AZ81" s="51">
        <v>0</v>
      </c>
      <c r="BA81" s="50"/>
      <c r="BB81" s="51">
        <v>0</v>
      </c>
      <c r="BC81" s="52"/>
      <c r="BD81" s="4"/>
      <c r="BE81" s="4"/>
      <c r="BF81" s="4"/>
      <c r="BG81" s="4"/>
      <c r="BI81" s="64"/>
      <c r="BJ81" s="137"/>
      <c r="BK81" s="17"/>
      <c r="BL81" s="16"/>
      <c r="BR81" s="133" t="s">
        <v>11</v>
      </c>
      <c r="BS81" s="134"/>
      <c r="BT81" s="135" t="s">
        <v>12</v>
      </c>
      <c r="BU81" s="134"/>
      <c r="BV81" s="135" t="s">
        <v>13</v>
      </c>
      <c r="BW81" s="136"/>
      <c r="CA81" s="8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2:135" ht="10.050000000000001" customHeight="1" x14ac:dyDescent="0.3">
      <c r="B82" s="118"/>
      <c r="C82" s="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I82" s="64"/>
      <c r="BL82" s="16"/>
      <c r="CA82" s="8"/>
    </row>
    <row r="83" spans="2:135" ht="10.050000000000001" customHeight="1" x14ac:dyDescent="0.3">
      <c r="B83" s="118"/>
      <c r="C83" s="3"/>
      <c r="BI83" s="64"/>
      <c r="BL83" s="16"/>
      <c r="CA83" s="8"/>
    </row>
    <row r="84" spans="2:135" ht="10.050000000000001" customHeight="1" x14ac:dyDescent="0.3">
      <c r="B84" s="118"/>
      <c r="C84" s="3"/>
      <c r="BI84" s="64"/>
      <c r="BJ84" s="90"/>
      <c r="BL84" s="15"/>
      <c r="BN84" s="18"/>
      <c r="BO84" s="62"/>
      <c r="BP84" s="62"/>
      <c r="BQ84" s="62"/>
      <c r="BS84" s="60"/>
      <c r="BU84" s="75" t="s">
        <v>30</v>
      </c>
      <c r="BW84" s="61"/>
      <c r="CA84" s="8"/>
    </row>
    <row r="85" spans="2:135" ht="10.050000000000001" customHeight="1" thickBot="1" x14ac:dyDescent="0.35">
      <c r="B85" s="118"/>
      <c r="C85" s="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I85" s="64"/>
      <c r="BJ85" s="90"/>
      <c r="BL85" s="74" t="s">
        <v>22</v>
      </c>
      <c r="BN85" s="18"/>
      <c r="BO85" s="62"/>
      <c r="BP85" s="62"/>
      <c r="BQ85" s="62"/>
      <c r="BS85" s="60"/>
      <c r="BU85" s="75"/>
      <c r="BW85" s="61"/>
      <c r="CA85" s="8"/>
    </row>
    <row r="86" spans="2:135" ht="15" customHeight="1" x14ac:dyDescent="0.3">
      <c r="B86" s="118"/>
      <c r="C86" s="1"/>
      <c r="D86" s="119" t="s">
        <v>6</v>
      </c>
      <c r="E86" s="11"/>
      <c r="F86" s="11"/>
      <c r="G86" s="2"/>
      <c r="H86" s="2"/>
      <c r="I86" s="2"/>
      <c r="J86" s="24" t="s">
        <v>210</v>
      </c>
      <c r="K86" s="25"/>
      <c r="L86" s="26"/>
      <c r="M86" s="38" t="s">
        <v>111</v>
      </c>
      <c r="N86" s="39"/>
      <c r="O86" s="40"/>
      <c r="P86" s="4"/>
      <c r="Q86" s="4"/>
      <c r="R86" s="4"/>
      <c r="S86" s="14"/>
      <c r="T86" s="24" t="s">
        <v>19</v>
      </c>
      <c r="U86" s="25"/>
      <c r="V86" s="26"/>
      <c r="W86" s="38">
        <v>446</v>
      </c>
      <c r="X86" s="102"/>
      <c r="Y86" s="103"/>
      <c r="Z86" s="4"/>
      <c r="AA86" s="4"/>
      <c r="AB86" s="4"/>
      <c r="AC86" s="4"/>
      <c r="AD86" s="24" t="s">
        <v>19</v>
      </c>
      <c r="AE86" s="25"/>
      <c r="AF86" s="26"/>
      <c r="AG86" s="38">
        <v>479</v>
      </c>
      <c r="AH86" s="102"/>
      <c r="AI86" s="103"/>
      <c r="AJ86" s="4"/>
      <c r="AK86" s="4"/>
      <c r="AL86" s="4"/>
      <c r="AM86" s="4"/>
      <c r="AN86" s="24" t="s">
        <v>137</v>
      </c>
      <c r="AO86" s="25"/>
      <c r="AP86" s="26"/>
      <c r="AQ86" s="38" t="s">
        <v>112</v>
      </c>
      <c r="AR86" s="39"/>
      <c r="AS86" s="40"/>
      <c r="AT86" s="4"/>
      <c r="AU86" s="4"/>
      <c r="AV86" s="4"/>
      <c r="AW86" s="4"/>
      <c r="AX86" s="24" t="s">
        <v>19</v>
      </c>
      <c r="AY86" s="25"/>
      <c r="AZ86" s="26"/>
      <c r="BA86" s="38">
        <v>494</v>
      </c>
      <c r="BB86" s="39"/>
      <c r="BC86" s="40"/>
      <c r="BD86" s="4"/>
      <c r="BE86" s="4"/>
      <c r="BF86" s="4"/>
      <c r="BG86" s="4"/>
      <c r="BI86" s="64"/>
      <c r="BJ86" s="90" t="s">
        <v>31</v>
      </c>
      <c r="BK86" s="7"/>
      <c r="BL86" s="74"/>
      <c r="BM86" s="7"/>
      <c r="BN86" s="62" t="s">
        <v>14</v>
      </c>
      <c r="BO86" s="62"/>
      <c r="BP86" s="62"/>
      <c r="BQ86" s="62"/>
      <c r="BR86" s="7"/>
      <c r="BS86" s="60" t="s">
        <v>46</v>
      </c>
      <c r="BT86" s="7"/>
      <c r="BU86" s="75"/>
      <c r="BV86" s="7"/>
      <c r="BW86" s="61" t="s">
        <v>62</v>
      </c>
      <c r="CA86" s="8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2:135" ht="48.75" customHeight="1" x14ac:dyDescent="0.3">
      <c r="B87" s="118"/>
      <c r="C87" s="1"/>
      <c r="D87" s="119"/>
      <c r="E87" s="120" t="s">
        <v>16</v>
      </c>
      <c r="F87" s="120" t="s">
        <v>17</v>
      </c>
      <c r="G87" s="13">
        <f>SUM(N88,X88,AH88,AR88,BB88,BL88)</f>
        <v>765</v>
      </c>
      <c r="H87" s="2"/>
      <c r="I87" s="2"/>
      <c r="J87" s="114" t="s">
        <v>106</v>
      </c>
      <c r="K87" s="115"/>
      <c r="L87" s="115"/>
      <c r="M87" s="115"/>
      <c r="N87" s="116"/>
      <c r="O87" s="117"/>
      <c r="P87" s="4"/>
      <c r="Q87" s="4"/>
      <c r="R87" s="4"/>
      <c r="S87" s="4"/>
      <c r="T87" s="94" t="s">
        <v>76</v>
      </c>
      <c r="U87" s="95"/>
      <c r="V87" s="95"/>
      <c r="W87" s="95"/>
      <c r="X87" s="96"/>
      <c r="Y87" s="97"/>
      <c r="Z87" s="4"/>
      <c r="AA87" s="4"/>
      <c r="AB87" s="4"/>
      <c r="AC87" s="4"/>
      <c r="AD87" s="94" t="s">
        <v>89</v>
      </c>
      <c r="AE87" s="95"/>
      <c r="AF87" s="95"/>
      <c r="AG87" s="95"/>
      <c r="AH87" s="96"/>
      <c r="AI87" s="97"/>
      <c r="AJ87" s="4"/>
      <c r="AK87" s="4"/>
      <c r="AL87" s="4"/>
      <c r="AM87" s="4"/>
      <c r="AN87" s="76" t="s">
        <v>145</v>
      </c>
      <c r="AO87" s="77"/>
      <c r="AP87" s="77"/>
      <c r="AQ87" s="77"/>
      <c r="AR87" s="77"/>
      <c r="AS87" s="78"/>
      <c r="AT87" s="4"/>
      <c r="AU87" s="4"/>
      <c r="AV87" s="4"/>
      <c r="AW87" s="4"/>
      <c r="AX87" s="41" t="s">
        <v>64</v>
      </c>
      <c r="AY87" s="42"/>
      <c r="AZ87" s="42"/>
      <c r="BA87" s="42"/>
      <c r="BB87" s="43"/>
      <c r="BC87" s="44"/>
      <c r="BD87" s="4"/>
      <c r="BE87" s="4"/>
      <c r="BF87" s="4"/>
      <c r="BG87" s="4"/>
      <c r="BI87" s="64"/>
      <c r="BJ87" s="90"/>
      <c r="BK87" s="7"/>
      <c r="BL87" s="74"/>
      <c r="BM87" s="7"/>
      <c r="BN87" s="62"/>
      <c r="BO87" s="62"/>
      <c r="BP87" s="62"/>
      <c r="BQ87" s="62"/>
      <c r="BR87" s="7"/>
      <c r="BS87" s="60"/>
      <c r="BT87" s="7"/>
      <c r="BU87" s="75"/>
      <c r="BV87" s="7"/>
      <c r="BW87" s="61"/>
      <c r="CA87" s="8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2:135" x14ac:dyDescent="0.3">
      <c r="B88" s="118"/>
      <c r="C88" s="1"/>
      <c r="D88" s="119"/>
      <c r="E88" s="120"/>
      <c r="F88" s="120"/>
      <c r="G88" s="105"/>
      <c r="H88" s="121"/>
      <c r="I88" s="122"/>
      <c r="J88" s="110">
        <v>2</v>
      </c>
      <c r="K88" s="111"/>
      <c r="L88" s="108">
        <v>2</v>
      </c>
      <c r="M88" s="111"/>
      <c r="N88" s="108">
        <v>90</v>
      </c>
      <c r="O88" s="109"/>
      <c r="P88" s="4"/>
      <c r="Q88" s="4"/>
      <c r="R88" s="4"/>
      <c r="S88" s="4"/>
      <c r="T88" s="98">
        <v>3</v>
      </c>
      <c r="U88" s="99"/>
      <c r="V88" s="100">
        <v>6</v>
      </c>
      <c r="W88" s="99"/>
      <c r="X88" s="100">
        <v>180</v>
      </c>
      <c r="Y88" s="101"/>
      <c r="Z88" s="4"/>
      <c r="AA88" s="4"/>
      <c r="AB88" s="4"/>
      <c r="AC88" s="4"/>
      <c r="AD88" s="98">
        <v>3</v>
      </c>
      <c r="AE88" s="99"/>
      <c r="AF88" s="100">
        <v>6</v>
      </c>
      <c r="AG88" s="99"/>
      <c r="AH88" s="100">
        <v>180</v>
      </c>
      <c r="AI88" s="101"/>
      <c r="AJ88" s="4"/>
      <c r="AK88" s="4"/>
      <c r="AL88" s="4"/>
      <c r="AM88" s="4"/>
      <c r="AN88" s="79">
        <v>3</v>
      </c>
      <c r="AO88" s="80"/>
      <c r="AP88" s="81">
        <v>7</v>
      </c>
      <c r="AQ88" s="80"/>
      <c r="AR88" s="81">
        <v>195</v>
      </c>
      <c r="AS88" s="82"/>
      <c r="AT88" s="4"/>
      <c r="AU88" s="4"/>
      <c r="AV88" s="4"/>
      <c r="AW88" s="4"/>
      <c r="AX88" s="45">
        <v>3</v>
      </c>
      <c r="AY88" s="46"/>
      <c r="AZ88" s="47">
        <v>2</v>
      </c>
      <c r="BA88" s="46"/>
      <c r="BB88" s="47">
        <v>120</v>
      </c>
      <c r="BC88" s="48"/>
      <c r="BD88" s="4"/>
      <c r="BE88" s="4"/>
      <c r="BF88" s="4"/>
      <c r="BG88" s="4"/>
      <c r="BI88" s="64"/>
      <c r="BJ88" s="90"/>
      <c r="BK88" s="7"/>
      <c r="BL88" s="74"/>
      <c r="BM88" s="7"/>
      <c r="BN88" s="62"/>
      <c r="BO88" s="62"/>
      <c r="BP88" s="62"/>
      <c r="BQ88" s="62"/>
      <c r="BR88" s="7"/>
      <c r="BS88" s="60"/>
      <c r="BT88" s="7"/>
      <c r="BU88" s="75"/>
      <c r="BV88" s="7"/>
      <c r="BW88" s="61"/>
      <c r="CA88" s="8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2:135" ht="15" thickBot="1" x14ac:dyDescent="0.35">
      <c r="B89" s="118"/>
      <c r="C89" s="1"/>
      <c r="D89" s="119"/>
      <c r="E89" s="11">
        <f>SUM(J88,T88,AD88,AN88,AX88)</f>
        <v>14</v>
      </c>
      <c r="F89" s="11">
        <f>SUM(J89:BC89)</f>
        <v>23</v>
      </c>
      <c r="G89" s="105"/>
      <c r="H89" s="2"/>
      <c r="I89" s="2"/>
      <c r="J89" s="112">
        <v>2</v>
      </c>
      <c r="K89" s="113"/>
      <c r="L89" s="106">
        <v>0</v>
      </c>
      <c r="M89" s="113"/>
      <c r="N89" s="106">
        <v>0</v>
      </c>
      <c r="O89" s="107"/>
      <c r="P89" s="4"/>
      <c r="Q89" s="4"/>
      <c r="R89" s="4"/>
      <c r="S89" s="4"/>
      <c r="T89" s="72">
        <v>3</v>
      </c>
      <c r="U89" s="73"/>
      <c r="V89" s="68">
        <v>3</v>
      </c>
      <c r="W89" s="73"/>
      <c r="X89" s="68">
        <v>0</v>
      </c>
      <c r="Y89" s="69"/>
      <c r="Z89" s="4"/>
      <c r="AA89" s="4"/>
      <c r="AB89" s="4"/>
      <c r="AC89" s="4"/>
      <c r="AD89" s="72">
        <v>3</v>
      </c>
      <c r="AE89" s="73"/>
      <c r="AF89" s="68">
        <v>3</v>
      </c>
      <c r="AG89" s="73"/>
      <c r="AH89" s="68">
        <v>0</v>
      </c>
      <c r="AI89" s="69"/>
      <c r="AJ89" s="4"/>
      <c r="AK89" s="4"/>
      <c r="AL89" s="4"/>
      <c r="AM89" s="4"/>
      <c r="AN89" s="83">
        <v>3</v>
      </c>
      <c r="AO89" s="84"/>
      <c r="AP89" s="85">
        <v>2</v>
      </c>
      <c r="AQ89" s="84"/>
      <c r="AR89" s="85">
        <v>2</v>
      </c>
      <c r="AS89" s="86"/>
      <c r="AT89" s="4"/>
      <c r="AU89" s="4"/>
      <c r="AV89" s="4"/>
      <c r="AW89" s="4"/>
      <c r="AX89" s="49">
        <v>2</v>
      </c>
      <c r="AY89" s="50"/>
      <c r="AZ89" s="51">
        <v>0</v>
      </c>
      <c r="BA89" s="50"/>
      <c r="BB89" s="51">
        <v>0</v>
      </c>
      <c r="BC89" s="52"/>
      <c r="BD89" s="4"/>
      <c r="BE89" s="4"/>
      <c r="BF89" s="4"/>
      <c r="BG89" s="4"/>
      <c r="BI89" s="64"/>
      <c r="BJ89" s="90"/>
      <c r="BK89" s="7"/>
      <c r="BL89" s="74"/>
      <c r="BM89" s="7"/>
      <c r="BN89" s="62"/>
      <c r="BO89" s="62"/>
      <c r="BP89" s="62"/>
      <c r="BQ89" s="62"/>
      <c r="BR89" s="7"/>
      <c r="BS89" s="60"/>
      <c r="BT89" s="7"/>
      <c r="BU89" s="75"/>
      <c r="BV89" s="7"/>
      <c r="BW89" s="61"/>
      <c r="CA89" s="8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2:135" ht="10.050000000000001" customHeight="1" thickBot="1" x14ac:dyDescent="0.35">
      <c r="B90" s="118"/>
      <c r="C90" s="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I90" s="65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10"/>
    </row>
    <row r="91" spans="2:135" ht="10.050000000000001" customHeight="1" thickTop="1" x14ac:dyDescent="0.3"/>
    <row r="92" spans="2:135" ht="10.050000000000001" customHeight="1" x14ac:dyDescent="0.3"/>
    <row r="93" spans="2:135" ht="10.050000000000001" customHeight="1" x14ac:dyDescent="0.3"/>
    <row r="100" ht="48.75" customHeight="1" x14ac:dyDescent="0.3"/>
  </sheetData>
  <mergeCells count="776"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N8:O8"/>
    <mergeCell ref="AN8:AO8"/>
    <mergeCell ref="AP8:AQ8"/>
    <mergeCell ref="AR8:AS8"/>
    <mergeCell ref="AX8:AY8"/>
    <mergeCell ref="AZ8:BA8"/>
    <mergeCell ref="BB8:BC8"/>
    <mergeCell ref="E7:E8"/>
    <mergeCell ref="F7:F8"/>
    <mergeCell ref="J7:O7"/>
    <mergeCell ref="T7:Y7"/>
    <mergeCell ref="AD7:AI7"/>
    <mergeCell ref="G8:G9"/>
    <mergeCell ref="H8:I8"/>
    <mergeCell ref="BS51:BX51"/>
    <mergeCell ref="BS52:BT52"/>
    <mergeCell ref="BU52:BV52"/>
    <mergeCell ref="BW52:BX52"/>
    <mergeCell ref="AN7:AS7"/>
    <mergeCell ref="AX7:BC7"/>
    <mergeCell ref="AQ6:AS6"/>
    <mergeCell ref="AX6:AZ6"/>
    <mergeCell ref="BA6:BC6"/>
    <mergeCell ref="BA32:BC32"/>
    <mergeCell ref="BH32:BJ32"/>
    <mergeCell ref="BK32:BM32"/>
    <mergeCell ref="BH33:BM33"/>
    <mergeCell ref="BH34:BI34"/>
    <mergeCell ref="BJ34:BK34"/>
    <mergeCell ref="BL34:BM34"/>
    <mergeCell ref="AR44:AS44"/>
    <mergeCell ref="AR35:AS35"/>
    <mergeCell ref="BR9:BS9"/>
    <mergeCell ref="BT9:BU9"/>
    <mergeCell ref="BV9:BW9"/>
    <mergeCell ref="J8:K8"/>
    <mergeCell ref="L8:M8"/>
    <mergeCell ref="AR9:AS9"/>
    <mergeCell ref="J9:K9"/>
    <mergeCell ref="L9:M9"/>
    <mergeCell ref="N9:O9"/>
    <mergeCell ref="T9:U9"/>
    <mergeCell ref="V9:W9"/>
    <mergeCell ref="X9:Y9"/>
    <mergeCell ref="T8:U8"/>
    <mergeCell ref="V8:W8"/>
    <mergeCell ref="X8:Y8"/>
    <mergeCell ref="AD8:AE8"/>
    <mergeCell ref="AF8:AG8"/>
    <mergeCell ref="AH8:AI8"/>
    <mergeCell ref="DT8:DU8"/>
    <mergeCell ref="DZ8:EA8"/>
    <mergeCell ref="EB8:EC8"/>
    <mergeCell ref="ED8:EE8"/>
    <mergeCell ref="BH8:BI8"/>
    <mergeCell ref="BJ8:BK8"/>
    <mergeCell ref="BL8:BM8"/>
    <mergeCell ref="DP6:DU6"/>
    <mergeCell ref="DZ6:EE6"/>
    <mergeCell ref="BH6:BJ6"/>
    <mergeCell ref="BK6:BM6"/>
    <mergeCell ref="BH7:BM7"/>
    <mergeCell ref="DP7:DU7"/>
    <mergeCell ref="DZ7:EE7"/>
    <mergeCell ref="DP8:DQ8"/>
    <mergeCell ref="DR8:DS8"/>
    <mergeCell ref="BR6:BT6"/>
    <mergeCell ref="BU6:BW6"/>
    <mergeCell ref="BR7:BW7"/>
    <mergeCell ref="BR8:BS8"/>
    <mergeCell ref="BT8:BU8"/>
    <mergeCell ref="BV8:BW8"/>
    <mergeCell ref="DZ9:EA9"/>
    <mergeCell ref="EB9:EC9"/>
    <mergeCell ref="ED9:EE9"/>
    <mergeCell ref="D14:D17"/>
    <mergeCell ref="J14:L14"/>
    <mergeCell ref="M14:O14"/>
    <mergeCell ref="T14:V14"/>
    <mergeCell ref="W14:Y14"/>
    <mergeCell ref="AD14:AF14"/>
    <mergeCell ref="AG14:AI14"/>
    <mergeCell ref="DP9:DQ9"/>
    <mergeCell ref="DR9:DS9"/>
    <mergeCell ref="DT9:DU9"/>
    <mergeCell ref="AX9:AY9"/>
    <mergeCell ref="AZ9:BA9"/>
    <mergeCell ref="BB9:BC9"/>
    <mergeCell ref="BH9:BI9"/>
    <mergeCell ref="BJ9:BK9"/>
    <mergeCell ref="BL9:BM9"/>
    <mergeCell ref="AD9:AE9"/>
    <mergeCell ref="AF9:AG9"/>
    <mergeCell ref="AH9:AI9"/>
    <mergeCell ref="AN9:AO9"/>
    <mergeCell ref="AP9:AQ9"/>
    <mergeCell ref="E15:E16"/>
    <mergeCell ref="F15:F16"/>
    <mergeCell ref="J15:O15"/>
    <mergeCell ref="T15:Y15"/>
    <mergeCell ref="AD15:AI15"/>
    <mergeCell ref="AN15:AS15"/>
    <mergeCell ref="AN14:AP14"/>
    <mergeCell ref="AQ14:AS14"/>
    <mergeCell ref="AX14:AZ14"/>
    <mergeCell ref="G16:G17"/>
    <mergeCell ref="H16:I16"/>
    <mergeCell ref="J16:K16"/>
    <mergeCell ref="L16:M16"/>
    <mergeCell ref="AN17:AO17"/>
    <mergeCell ref="AP17:AQ17"/>
    <mergeCell ref="AR17:AS17"/>
    <mergeCell ref="AX17:AY17"/>
    <mergeCell ref="AZ17:BA17"/>
    <mergeCell ref="J17:K17"/>
    <mergeCell ref="L17:M17"/>
    <mergeCell ref="N17:O17"/>
    <mergeCell ref="T17:U17"/>
    <mergeCell ref="V17:W17"/>
    <mergeCell ref="X17:Y17"/>
    <mergeCell ref="DP14:DU14"/>
    <mergeCell ref="DZ14:EE14"/>
    <mergeCell ref="BA14:BC14"/>
    <mergeCell ref="BH14:BJ14"/>
    <mergeCell ref="BK14:BM14"/>
    <mergeCell ref="N16:O16"/>
    <mergeCell ref="T16:U16"/>
    <mergeCell ref="V16:W16"/>
    <mergeCell ref="X16:Y16"/>
    <mergeCell ref="AD16:AE16"/>
    <mergeCell ref="AF16:AG16"/>
    <mergeCell ref="AX15:BC15"/>
    <mergeCell ref="BH15:BM15"/>
    <mergeCell ref="BJ16:BK16"/>
    <mergeCell ref="AH16:AI16"/>
    <mergeCell ref="AN16:AO16"/>
    <mergeCell ref="AP16:AQ16"/>
    <mergeCell ref="AR16:AS16"/>
    <mergeCell ref="AX16:AY16"/>
    <mergeCell ref="AZ16:BA16"/>
    <mergeCell ref="DP15:DU15"/>
    <mergeCell ref="DZ15:EE15"/>
    <mergeCell ref="ED16:EE16"/>
    <mergeCell ref="AD17:AE17"/>
    <mergeCell ref="AF17:AG17"/>
    <mergeCell ref="AH17:AI17"/>
    <mergeCell ref="DP16:DQ16"/>
    <mergeCell ref="DR16:DS16"/>
    <mergeCell ref="DT16:DU16"/>
    <mergeCell ref="DZ16:EA16"/>
    <mergeCell ref="EB16:EC16"/>
    <mergeCell ref="BB16:BC16"/>
    <mergeCell ref="BH16:BI16"/>
    <mergeCell ref="BL16:BM16"/>
    <mergeCell ref="DP17:DQ17"/>
    <mergeCell ref="DR17:DS17"/>
    <mergeCell ref="DT17:DU17"/>
    <mergeCell ref="DZ17:EA17"/>
    <mergeCell ref="EB17:EC17"/>
    <mergeCell ref="B23:B36"/>
    <mergeCell ref="D24:D27"/>
    <mergeCell ref="J24:L24"/>
    <mergeCell ref="M24:O24"/>
    <mergeCell ref="T24:V24"/>
    <mergeCell ref="W24:Y24"/>
    <mergeCell ref="E25:E26"/>
    <mergeCell ref="F25:F26"/>
    <mergeCell ref="J25:O25"/>
    <mergeCell ref="T25:Y25"/>
    <mergeCell ref="G26:G27"/>
    <mergeCell ref="H26:I26"/>
    <mergeCell ref="J26:K26"/>
    <mergeCell ref="L26:M26"/>
    <mergeCell ref="N26:O26"/>
    <mergeCell ref="T26:U26"/>
    <mergeCell ref="V26:W26"/>
    <mergeCell ref="X26:Y26"/>
    <mergeCell ref="L34:M34"/>
    <mergeCell ref="J27:K27"/>
    <mergeCell ref="L27:M27"/>
    <mergeCell ref="N27:O27"/>
    <mergeCell ref="T27:U27"/>
    <mergeCell ref="V27:W27"/>
    <mergeCell ref="DZ32:EE32"/>
    <mergeCell ref="AD33:AI33"/>
    <mergeCell ref="AN33:AS33"/>
    <mergeCell ref="AX33:BC33"/>
    <mergeCell ref="AQ32:AS32"/>
    <mergeCell ref="AX32:AZ32"/>
    <mergeCell ref="ED17:EE17"/>
    <mergeCell ref="BH17:BI17"/>
    <mergeCell ref="BJ17:BK17"/>
    <mergeCell ref="BL17:BM17"/>
    <mergeCell ref="BB17:BC17"/>
    <mergeCell ref="DZ25:EE25"/>
    <mergeCell ref="AD25:AI25"/>
    <mergeCell ref="AN25:AS25"/>
    <mergeCell ref="AX25:BC25"/>
    <mergeCell ref="BH25:BM25"/>
    <mergeCell ref="DP25:DU25"/>
    <mergeCell ref="AX27:AY27"/>
    <mergeCell ref="DZ26:EA26"/>
    <mergeCell ref="EB26:EC26"/>
    <mergeCell ref="ED26:EE26"/>
    <mergeCell ref="DT26:DU26"/>
    <mergeCell ref="EB27:EC27"/>
    <mergeCell ref="ED27:EE27"/>
    <mergeCell ref="DT27:DU27"/>
    <mergeCell ref="DZ27:EA27"/>
    <mergeCell ref="BH24:BJ24"/>
    <mergeCell ref="BK24:BM24"/>
    <mergeCell ref="DP24:DU24"/>
    <mergeCell ref="DZ24:EE24"/>
    <mergeCell ref="AD24:AF24"/>
    <mergeCell ref="AG24:AI24"/>
    <mergeCell ref="AN24:AP24"/>
    <mergeCell ref="AQ24:AS24"/>
    <mergeCell ref="AX24:AZ24"/>
    <mergeCell ref="BA24:BC24"/>
    <mergeCell ref="X27:Y27"/>
    <mergeCell ref="AD27:AE27"/>
    <mergeCell ref="DP26:DQ26"/>
    <mergeCell ref="DR26:DS26"/>
    <mergeCell ref="AX26:AY26"/>
    <mergeCell ref="AZ26:BA26"/>
    <mergeCell ref="BB26:BC26"/>
    <mergeCell ref="BH26:BI26"/>
    <mergeCell ref="BJ26:BK26"/>
    <mergeCell ref="BL26:BM26"/>
    <mergeCell ref="AD26:AE26"/>
    <mergeCell ref="AF26:AG26"/>
    <mergeCell ref="AH26:AI26"/>
    <mergeCell ref="AN26:AO26"/>
    <mergeCell ref="DR27:DS27"/>
    <mergeCell ref="AP26:AQ26"/>
    <mergeCell ref="AR26:AS26"/>
    <mergeCell ref="D32:D35"/>
    <mergeCell ref="J32:L32"/>
    <mergeCell ref="M32:O32"/>
    <mergeCell ref="T32:V32"/>
    <mergeCell ref="W32:Y32"/>
    <mergeCell ref="AD32:AF32"/>
    <mergeCell ref="AG32:AI32"/>
    <mergeCell ref="AN32:AP32"/>
    <mergeCell ref="DP27:DQ27"/>
    <mergeCell ref="AZ27:BA27"/>
    <mergeCell ref="BB27:BC27"/>
    <mergeCell ref="BH27:BI27"/>
    <mergeCell ref="BJ27:BK27"/>
    <mergeCell ref="BL27:BM27"/>
    <mergeCell ref="AF27:AG27"/>
    <mergeCell ref="AH27:AI27"/>
    <mergeCell ref="AN27:AO27"/>
    <mergeCell ref="AP27:AQ27"/>
    <mergeCell ref="AR27:AS27"/>
    <mergeCell ref="DP32:DU32"/>
    <mergeCell ref="E33:E34"/>
    <mergeCell ref="F33:F34"/>
    <mergeCell ref="J33:O33"/>
    <mergeCell ref="T33:Y33"/>
    <mergeCell ref="DP33:DU33"/>
    <mergeCell ref="DZ33:EE33"/>
    <mergeCell ref="G34:G35"/>
    <mergeCell ref="H34:I34"/>
    <mergeCell ref="J34:K34"/>
    <mergeCell ref="AN34:AO34"/>
    <mergeCell ref="AP34:AQ34"/>
    <mergeCell ref="AR34:AS34"/>
    <mergeCell ref="AX34:AY34"/>
    <mergeCell ref="AZ34:BA34"/>
    <mergeCell ref="BB34:BC34"/>
    <mergeCell ref="T34:U34"/>
    <mergeCell ref="V34:W34"/>
    <mergeCell ref="X34:Y34"/>
    <mergeCell ref="AD34:AE34"/>
    <mergeCell ref="AF34:AG34"/>
    <mergeCell ref="AH34:AI34"/>
    <mergeCell ref="DP34:DQ34"/>
    <mergeCell ref="DR34:DS34"/>
    <mergeCell ref="N34:O34"/>
    <mergeCell ref="DT34:DU34"/>
    <mergeCell ref="DZ34:EA34"/>
    <mergeCell ref="EB34:EC34"/>
    <mergeCell ref="ED34:EE34"/>
    <mergeCell ref="ED35:EE35"/>
    <mergeCell ref="B41:B54"/>
    <mergeCell ref="D42:D45"/>
    <mergeCell ref="J42:L42"/>
    <mergeCell ref="M42:O42"/>
    <mergeCell ref="T42:V42"/>
    <mergeCell ref="W42:Y42"/>
    <mergeCell ref="AD42:AF42"/>
    <mergeCell ref="DP35:DQ35"/>
    <mergeCell ref="DR35:DS35"/>
    <mergeCell ref="DT35:DU35"/>
    <mergeCell ref="AX35:AY35"/>
    <mergeCell ref="AZ35:BA35"/>
    <mergeCell ref="BB35:BC35"/>
    <mergeCell ref="BH35:BI35"/>
    <mergeCell ref="BJ35:BK35"/>
    <mergeCell ref="BL35:BM35"/>
    <mergeCell ref="J35:K35"/>
    <mergeCell ref="N44:O44"/>
    <mergeCell ref="J45:K45"/>
    <mergeCell ref="L45:M45"/>
    <mergeCell ref="N45:O45"/>
    <mergeCell ref="AN44:AO44"/>
    <mergeCell ref="AP44:AQ44"/>
    <mergeCell ref="AF44:AG44"/>
    <mergeCell ref="AH44:AI44"/>
    <mergeCell ref="AN45:AO45"/>
    <mergeCell ref="AP45:AQ45"/>
    <mergeCell ref="AR45:AS45"/>
    <mergeCell ref="DZ35:EA35"/>
    <mergeCell ref="EB35:EC35"/>
    <mergeCell ref="L35:M35"/>
    <mergeCell ref="N35:O35"/>
    <mergeCell ref="T35:U35"/>
    <mergeCell ref="V35:W35"/>
    <mergeCell ref="X35:Y35"/>
    <mergeCell ref="BH43:BM43"/>
    <mergeCell ref="DP43:DU43"/>
    <mergeCell ref="DZ43:EE43"/>
    <mergeCell ref="BK42:BM42"/>
    <mergeCell ref="DP42:DU42"/>
    <mergeCell ref="DZ42:EE42"/>
    <mergeCell ref="BH42:BJ42"/>
    <mergeCell ref="AD35:AE35"/>
    <mergeCell ref="AF35:AG35"/>
    <mergeCell ref="AH35:AI35"/>
    <mergeCell ref="AN35:AO35"/>
    <mergeCell ref="AP35:AQ35"/>
    <mergeCell ref="E43:E44"/>
    <mergeCell ref="F43:F44"/>
    <mergeCell ref="J43:O43"/>
    <mergeCell ref="T43:Y43"/>
    <mergeCell ref="AD43:AI43"/>
    <mergeCell ref="AG42:AI42"/>
    <mergeCell ref="AN42:AP42"/>
    <mergeCell ref="AQ42:AS42"/>
    <mergeCell ref="AX42:AZ42"/>
    <mergeCell ref="AN43:AS43"/>
    <mergeCell ref="AX43:BC43"/>
    <mergeCell ref="BA42:BC42"/>
    <mergeCell ref="G44:G45"/>
    <mergeCell ref="H44:I44"/>
    <mergeCell ref="J44:K44"/>
    <mergeCell ref="L44:M44"/>
    <mergeCell ref="AX44:AY44"/>
    <mergeCell ref="AZ44:BA44"/>
    <mergeCell ref="BB44:BC44"/>
    <mergeCell ref="T44:U44"/>
    <mergeCell ref="V44:W44"/>
    <mergeCell ref="X44:Y44"/>
    <mergeCell ref="AD44:AE44"/>
    <mergeCell ref="AX45:AY45"/>
    <mergeCell ref="DP44:DQ44"/>
    <mergeCell ref="DR44:DS44"/>
    <mergeCell ref="DT44:DU44"/>
    <mergeCell ref="DZ44:EA44"/>
    <mergeCell ref="EB44:EC44"/>
    <mergeCell ref="ED44:EE44"/>
    <mergeCell ref="BH44:BI44"/>
    <mergeCell ref="BJ44:BK44"/>
    <mergeCell ref="BL44:BM44"/>
    <mergeCell ref="DR45:DS45"/>
    <mergeCell ref="DT45:DU45"/>
    <mergeCell ref="DZ45:EA45"/>
    <mergeCell ref="EB45:EC45"/>
    <mergeCell ref="ED45:EE45"/>
    <mergeCell ref="BH45:BI45"/>
    <mergeCell ref="BJ45:BK45"/>
    <mergeCell ref="BL45:BM45"/>
    <mergeCell ref="J50:L50"/>
    <mergeCell ref="M50:O50"/>
    <mergeCell ref="T50:V50"/>
    <mergeCell ref="W50:Y50"/>
    <mergeCell ref="AD50:AF50"/>
    <mergeCell ref="AZ45:BA45"/>
    <mergeCell ref="BB45:BC45"/>
    <mergeCell ref="T45:U45"/>
    <mergeCell ref="V45:W45"/>
    <mergeCell ref="X45:Y45"/>
    <mergeCell ref="AD45:AE45"/>
    <mergeCell ref="AF45:AG45"/>
    <mergeCell ref="AH45:AI45"/>
    <mergeCell ref="DP45:DQ45"/>
    <mergeCell ref="BS50:BU50"/>
    <mergeCell ref="BV50:BX50"/>
    <mergeCell ref="E51:E52"/>
    <mergeCell ref="F51:F52"/>
    <mergeCell ref="J51:O51"/>
    <mergeCell ref="T51:Y51"/>
    <mergeCell ref="T52:U52"/>
    <mergeCell ref="V52:W52"/>
    <mergeCell ref="X52:Y52"/>
    <mergeCell ref="AD52:AE52"/>
    <mergeCell ref="AF52:AG52"/>
    <mergeCell ref="AN53:AO53"/>
    <mergeCell ref="AP53:AQ53"/>
    <mergeCell ref="DZ50:EE50"/>
    <mergeCell ref="DZ51:EE51"/>
    <mergeCell ref="DP52:DQ52"/>
    <mergeCell ref="DR52:DS52"/>
    <mergeCell ref="DT52:DU52"/>
    <mergeCell ref="AG50:AI50"/>
    <mergeCell ref="AN50:AP50"/>
    <mergeCell ref="AQ50:AS50"/>
    <mergeCell ref="AX50:AZ50"/>
    <mergeCell ref="BA50:BC50"/>
    <mergeCell ref="BH50:BJ50"/>
    <mergeCell ref="AD51:AI51"/>
    <mergeCell ref="AN51:AS51"/>
    <mergeCell ref="AX51:BC51"/>
    <mergeCell ref="BH51:BM51"/>
    <mergeCell ref="DP51:DU51"/>
    <mergeCell ref="BK50:BM50"/>
    <mergeCell ref="DP50:DU50"/>
    <mergeCell ref="AZ52:BA52"/>
    <mergeCell ref="BB52:BC52"/>
    <mergeCell ref="AR53:AS53"/>
    <mergeCell ref="AX53:AY53"/>
    <mergeCell ref="DZ52:EA52"/>
    <mergeCell ref="EB52:EC52"/>
    <mergeCell ref="ED52:EE52"/>
    <mergeCell ref="J53:K53"/>
    <mergeCell ref="L53:M53"/>
    <mergeCell ref="N53:O53"/>
    <mergeCell ref="T53:U53"/>
    <mergeCell ref="V53:W53"/>
    <mergeCell ref="X53:Y53"/>
    <mergeCell ref="AD53:AE53"/>
    <mergeCell ref="BH52:BI52"/>
    <mergeCell ref="BJ52:BK52"/>
    <mergeCell ref="BL52:BM52"/>
    <mergeCell ref="AN52:AO52"/>
    <mergeCell ref="AP52:AQ52"/>
    <mergeCell ref="AR52:AS52"/>
    <mergeCell ref="AX52:AY52"/>
    <mergeCell ref="EB53:EC53"/>
    <mergeCell ref="ED53:EE53"/>
    <mergeCell ref="AH52:AI52"/>
    <mergeCell ref="J52:K52"/>
    <mergeCell ref="L52:M52"/>
    <mergeCell ref="DP53:DQ53"/>
    <mergeCell ref="DR53:DS53"/>
    <mergeCell ref="B59:B72"/>
    <mergeCell ref="D60:D63"/>
    <mergeCell ref="J60:L60"/>
    <mergeCell ref="M60:O60"/>
    <mergeCell ref="T60:V60"/>
    <mergeCell ref="W60:Y60"/>
    <mergeCell ref="AD60:AF60"/>
    <mergeCell ref="AG60:AI60"/>
    <mergeCell ref="AF53:AG53"/>
    <mergeCell ref="AH53:AI53"/>
    <mergeCell ref="H62:I62"/>
    <mergeCell ref="J62:K62"/>
    <mergeCell ref="L62:M62"/>
    <mergeCell ref="N62:O62"/>
    <mergeCell ref="T62:U62"/>
    <mergeCell ref="V62:W62"/>
    <mergeCell ref="L70:M70"/>
    <mergeCell ref="N70:O70"/>
    <mergeCell ref="T70:U70"/>
    <mergeCell ref="V70:W70"/>
    <mergeCell ref="G52:G53"/>
    <mergeCell ref="H52:I52"/>
    <mergeCell ref="N52:O52"/>
    <mergeCell ref="D50:D53"/>
    <mergeCell ref="DT53:DU53"/>
    <mergeCell ref="DZ53:EA53"/>
    <mergeCell ref="AZ53:BA53"/>
    <mergeCell ref="BB53:BC53"/>
    <mergeCell ref="BH53:BI53"/>
    <mergeCell ref="BJ53:BK53"/>
    <mergeCell ref="BL53:BM53"/>
    <mergeCell ref="DP60:DU60"/>
    <mergeCell ref="DZ60:EE60"/>
    <mergeCell ref="BS53:BT53"/>
    <mergeCell ref="BU53:BV53"/>
    <mergeCell ref="BW53:BX53"/>
    <mergeCell ref="BH60:BJ60"/>
    <mergeCell ref="BK60:BM60"/>
    <mergeCell ref="E61:E62"/>
    <mergeCell ref="F61:F62"/>
    <mergeCell ref="J61:O61"/>
    <mergeCell ref="T61:Y61"/>
    <mergeCell ref="AD61:AI61"/>
    <mergeCell ref="AN61:AS61"/>
    <mergeCell ref="AX61:BC61"/>
    <mergeCell ref="AN60:AP60"/>
    <mergeCell ref="AQ60:AS60"/>
    <mergeCell ref="AX60:AZ60"/>
    <mergeCell ref="BA60:BC60"/>
    <mergeCell ref="AF62:AG62"/>
    <mergeCell ref="AH62:AI62"/>
    <mergeCell ref="AN62:AO62"/>
    <mergeCell ref="AP62:AQ62"/>
    <mergeCell ref="AD62:AE62"/>
    <mergeCell ref="DP61:DU61"/>
    <mergeCell ref="DZ61:EE61"/>
    <mergeCell ref="G62:G63"/>
    <mergeCell ref="ED62:EE62"/>
    <mergeCell ref="J63:K63"/>
    <mergeCell ref="L63:M63"/>
    <mergeCell ref="N63:O63"/>
    <mergeCell ref="T63:U63"/>
    <mergeCell ref="V63:W63"/>
    <mergeCell ref="X63:Y63"/>
    <mergeCell ref="AD63:AE63"/>
    <mergeCell ref="AF63:AG63"/>
    <mergeCell ref="AH63:AI63"/>
    <mergeCell ref="DP62:DQ62"/>
    <mergeCell ref="DR62:DS62"/>
    <mergeCell ref="DT62:DU62"/>
    <mergeCell ref="DZ62:EA62"/>
    <mergeCell ref="EB62:EC62"/>
    <mergeCell ref="AR62:AS62"/>
    <mergeCell ref="AX62:AY62"/>
    <mergeCell ref="AZ62:BA62"/>
    <mergeCell ref="BB62:BC62"/>
    <mergeCell ref="X62:Y62"/>
    <mergeCell ref="DZ63:EA63"/>
    <mergeCell ref="EB63:EC63"/>
    <mergeCell ref="ED63:EE63"/>
    <mergeCell ref="D68:D71"/>
    <mergeCell ref="J68:L68"/>
    <mergeCell ref="M68:O68"/>
    <mergeCell ref="T68:V68"/>
    <mergeCell ref="W68:Y68"/>
    <mergeCell ref="AD68:AF68"/>
    <mergeCell ref="AG68:AI68"/>
    <mergeCell ref="DP63:DQ63"/>
    <mergeCell ref="DR63:DS63"/>
    <mergeCell ref="DT63:DU63"/>
    <mergeCell ref="AN63:AO63"/>
    <mergeCell ref="AP63:AQ63"/>
    <mergeCell ref="AR63:AS63"/>
    <mergeCell ref="AX63:AY63"/>
    <mergeCell ref="AZ63:BA63"/>
    <mergeCell ref="BB63:BC63"/>
    <mergeCell ref="DP68:DU68"/>
    <mergeCell ref="AR71:AS71"/>
    <mergeCell ref="AX71:AY71"/>
    <mergeCell ref="AZ71:BA71"/>
    <mergeCell ref="DZ68:EE68"/>
    <mergeCell ref="E69:E70"/>
    <mergeCell ref="F69:F70"/>
    <mergeCell ref="J69:O69"/>
    <mergeCell ref="T69:Y69"/>
    <mergeCell ref="AD69:AI69"/>
    <mergeCell ref="AN69:AS69"/>
    <mergeCell ref="AX69:BC69"/>
    <mergeCell ref="AN68:AP68"/>
    <mergeCell ref="AQ68:AS68"/>
    <mergeCell ref="AX68:AZ68"/>
    <mergeCell ref="BA68:BC68"/>
    <mergeCell ref="AR70:AS70"/>
    <mergeCell ref="AX70:AY70"/>
    <mergeCell ref="AZ70:BA70"/>
    <mergeCell ref="AP70:AQ70"/>
    <mergeCell ref="DZ69:EE69"/>
    <mergeCell ref="G70:G71"/>
    <mergeCell ref="H70:I70"/>
    <mergeCell ref="J70:K70"/>
    <mergeCell ref="J71:K71"/>
    <mergeCell ref="L71:M71"/>
    <mergeCell ref="N71:O71"/>
    <mergeCell ref="T71:U71"/>
    <mergeCell ref="V71:W71"/>
    <mergeCell ref="X71:Y71"/>
    <mergeCell ref="BB70:BC70"/>
    <mergeCell ref="AD71:AE71"/>
    <mergeCell ref="AF71:AG71"/>
    <mergeCell ref="AH71:AI71"/>
    <mergeCell ref="AN71:AO71"/>
    <mergeCell ref="AP71:AQ71"/>
    <mergeCell ref="BB71:BC71"/>
    <mergeCell ref="X70:Y70"/>
    <mergeCell ref="AD70:AE70"/>
    <mergeCell ref="AF70:AG70"/>
    <mergeCell ref="AH70:AI70"/>
    <mergeCell ref="AN70:AO70"/>
    <mergeCell ref="DT70:DU70"/>
    <mergeCell ref="DZ70:EA70"/>
    <mergeCell ref="EB70:EC70"/>
    <mergeCell ref="DP71:DQ71"/>
    <mergeCell ref="DR71:DS71"/>
    <mergeCell ref="DT71:DU71"/>
    <mergeCell ref="DZ71:EA71"/>
    <mergeCell ref="EB71:EC71"/>
    <mergeCell ref="ED71:EE71"/>
    <mergeCell ref="ED70:EE70"/>
    <mergeCell ref="DP70:DQ70"/>
    <mergeCell ref="DR70:DS70"/>
    <mergeCell ref="B77:B90"/>
    <mergeCell ref="BI77:BI90"/>
    <mergeCell ref="D78:D81"/>
    <mergeCell ref="J78:L78"/>
    <mergeCell ref="M78:O78"/>
    <mergeCell ref="T78:V78"/>
    <mergeCell ref="W78:Y78"/>
    <mergeCell ref="AD78:AF78"/>
    <mergeCell ref="AG78:AI78"/>
    <mergeCell ref="AN78:AP78"/>
    <mergeCell ref="J80:K80"/>
    <mergeCell ref="L80:M80"/>
    <mergeCell ref="N80:O80"/>
    <mergeCell ref="T80:U80"/>
    <mergeCell ref="V80:W80"/>
    <mergeCell ref="X80:Y80"/>
    <mergeCell ref="D86:D89"/>
    <mergeCell ref="J86:L86"/>
    <mergeCell ref="J81:K81"/>
    <mergeCell ref="L81:M81"/>
    <mergeCell ref="N81:O81"/>
    <mergeCell ref="T81:U81"/>
    <mergeCell ref="V81:W81"/>
    <mergeCell ref="X81:Y81"/>
    <mergeCell ref="DZ78:EE78"/>
    <mergeCell ref="E79:E80"/>
    <mergeCell ref="F79:F80"/>
    <mergeCell ref="J79:O79"/>
    <mergeCell ref="T79:Y79"/>
    <mergeCell ref="AD79:AI79"/>
    <mergeCell ref="AN79:AS79"/>
    <mergeCell ref="AX79:BC79"/>
    <mergeCell ref="BR79:BW79"/>
    <mergeCell ref="DP79:DU79"/>
    <mergeCell ref="AQ78:AS78"/>
    <mergeCell ref="AX78:AZ78"/>
    <mergeCell ref="BA78:BC78"/>
    <mergeCell ref="BJ78:BJ81"/>
    <mergeCell ref="BR78:BW78"/>
    <mergeCell ref="DP78:DU78"/>
    <mergeCell ref="AX80:AY80"/>
    <mergeCell ref="AZ80:BA80"/>
    <mergeCell ref="BB80:BC80"/>
    <mergeCell ref="BR80:BS80"/>
    <mergeCell ref="DZ79:EE79"/>
    <mergeCell ref="G80:G81"/>
    <mergeCell ref="H80:I80"/>
    <mergeCell ref="AD81:AE81"/>
    <mergeCell ref="AF81:AG81"/>
    <mergeCell ref="BT80:BU80"/>
    <mergeCell ref="AD80:AE80"/>
    <mergeCell ref="AF80:AG80"/>
    <mergeCell ref="AH80:AI80"/>
    <mergeCell ref="AN80:AO80"/>
    <mergeCell ref="AP80:AQ80"/>
    <mergeCell ref="AR80:AS80"/>
    <mergeCell ref="BB81:BC81"/>
    <mergeCell ref="BR81:BS81"/>
    <mergeCell ref="AH81:AI81"/>
    <mergeCell ref="AN81:AO81"/>
    <mergeCell ref="AP81:AQ81"/>
    <mergeCell ref="AR81:AS81"/>
    <mergeCell ref="AX81:AY81"/>
    <mergeCell ref="AZ81:BA81"/>
    <mergeCell ref="BT81:BU81"/>
    <mergeCell ref="EB80:EC80"/>
    <mergeCell ref="ED80:EE80"/>
    <mergeCell ref="BV80:BW80"/>
    <mergeCell ref="DP80:DQ80"/>
    <mergeCell ref="DR80:DS80"/>
    <mergeCell ref="DT80:DU80"/>
    <mergeCell ref="DZ80:EA80"/>
    <mergeCell ref="DZ81:EA81"/>
    <mergeCell ref="EB81:EC81"/>
    <mergeCell ref="ED81:EE81"/>
    <mergeCell ref="BV81:BW81"/>
    <mergeCell ref="DZ87:EE87"/>
    <mergeCell ref="BJ86:BJ89"/>
    <mergeCell ref="AF88:AG88"/>
    <mergeCell ref="AH88:AI88"/>
    <mergeCell ref="AN88:AO88"/>
    <mergeCell ref="AP88:AQ88"/>
    <mergeCell ref="ED88:EE88"/>
    <mergeCell ref="M86:O86"/>
    <mergeCell ref="T86:V86"/>
    <mergeCell ref="W86:Y86"/>
    <mergeCell ref="AD86:AF86"/>
    <mergeCell ref="DZ86:EE86"/>
    <mergeCell ref="AG86:AI86"/>
    <mergeCell ref="DT88:DU88"/>
    <mergeCell ref="DZ88:EA88"/>
    <mergeCell ref="EB88:EC88"/>
    <mergeCell ref="ED89:EE89"/>
    <mergeCell ref="DP88:DQ88"/>
    <mergeCell ref="DR88:DS88"/>
    <mergeCell ref="DZ89:EA89"/>
    <mergeCell ref="EB89:EC89"/>
    <mergeCell ref="DP89:DQ89"/>
    <mergeCell ref="DR89:DS89"/>
    <mergeCell ref="DT89:DU89"/>
    <mergeCell ref="AN86:AP86"/>
    <mergeCell ref="AQ86:AS86"/>
    <mergeCell ref="AX86:AZ86"/>
    <mergeCell ref="BA86:BC86"/>
    <mergeCell ref="BB88:BC88"/>
    <mergeCell ref="AF89:AG89"/>
    <mergeCell ref="AH89:AI89"/>
    <mergeCell ref="AN89:AO89"/>
    <mergeCell ref="AP89:AQ89"/>
    <mergeCell ref="AR89:AS89"/>
    <mergeCell ref="AX89:AY89"/>
    <mergeCell ref="AZ89:BA89"/>
    <mergeCell ref="BB89:BC89"/>
    <mergeCell ref="AR88:AS88"/>
    <mergeCell ref="AX88:AY88"/>
    <mergeCell ref="AZ88:BA88"/>
    <mergeCell ref="E87:E88"/>
    <mergeCell ref="F87:F88"/>
    <mergeCell ref="J87:O87"/>
    <mergeCell ref="T87:Y87"/>
    <mergeCell ref="AD87:AI87"/>
    <mergeCell ref="AN87:AS87"/>
    <mergeCell ref="AX87:BC87"/>
    <mergeCell ref="G88:G89"/>
    <mergeCell ref="H88:I88"/>
    <mergeCell ref="J89:K89"/>
    <mergeCell ref="L89:M89"/>
    <mergeCell ref="N89:O89"/>
    <mergeCell ref="T89:U89"/>
    <mergeCell ref="V89:W89"/>
    <mergeCell ref="X89:Y89"/>
    <mergeCell ref="J88:K88"/>
    <mergeCell ref="L88:M88"/>
    <mergeCell ref="N88:O88"/>
    <mergeCell ref="T88:U88"/>
    <mergeCell ref="V88:W88"/>
    <mergeCell ref="X88:Y88"/>
    <mergeCell ref="AD88:AE88"/>
    <mergeCell ref="AD89:AE89"/>
    <mergeCell ref="BW86:BW89"/>
    <mergeCell ref="DP86:DU86"/>
    <mergeCell ref="BJ84:BJ85"/>
    <mergeCell ref="BO84:BQ85"/>
    <mergeCell ref="BH68:BJ68"/>
    <mergeCell ref="BK68:BM68"/>
    <mergeCell ref="BH69:BM69"/>
    <mergeCell ref="BH70:BI70"/>
    <mergeCell ref="BJ70:BK70"/>
    <mergeCell ref="BL70:BM70"/>
    <mergeCell ref="BH71:BI71"/>
    <mergeCell ref="BJ71:BK71"/>
    <mergeCell ref="BL71:BM71"/>
    <mergeCell ref="BS84:BS85"/>
    <mergeCell ref="BW84:BW85"/>
    <mergeCell ref="DP87:DU87"/>
    <mergeCell ref="DP81:DQ81"/>
    <mergeCell ref="DR81:DS81"/>
    <mergeCell ref="DT81:DU81"/>
    <mergeCell ref="DP69:DU69"/>
    <mergeCell ref="BH61:BM61"/>
    <mergeCell ref="BH62:BI62"/>
    <mergeCell ref="BJ62:BK62"/>
    <mergeCell ref="BL62:BM62"/>
    <mergeCell ref="BH63:BI63"/>
    <mergeCell ref="BJ63:BK63"/>
    <mergeCell ref="BL63:BM63"/>
    <mergeCell ref="BU84:BU89"/>
    <mergeCell ref="BL85:BL89"/>
    <mergeCell ref="BN86:BQ89"/>
    <mergeCell ref="BS86:BS89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B2:EE109"/>
  <sheetViews>
    <sheetView zoomScale="80" zoomScaleNormal="80" workbookViewId="0">
      <selection activeCell="AF16" sqref="AF16:AG16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243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5" spans="2:135" ht="10.050000000000001" customHeight="1" thickBot="1" x14ac:dyDescent="0.35">
      <c r="B5" s="118" t="s">
        <v>0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114</v>
      </c>
      <c r="K6" s="25"/>
      <c r="L6" s="26"/>
      <c r="M6" s="38">
        <v>111</v>
      </c>
      <c r="N6" s="39"/>
      <c r="O6" s="40"/>
      <c r="P6" s="4"/>
      <c r="Q6" s="4"/>
      <c r="R6" s="4"/>
      <c r="S6" s="4"/>
      <c r="T6" s="24" t="s">
        <v>162</v>
      </c>
      <c r="U6" s="25"/>
      <c r="V6" s="26"/>
      <c r="W6" s="27" t="s">
        <v>169</v>
      </c>
      <c r="X6" s="28"/>
      <c r="Y6" s="29"/>
      <c r="Z6" s="4"/>
      <c r="AA6" s="4"/>
      <c r="AB6" s="4"/>
      <c r="AC6" s="4"/>
      <c r="AD6" s="24" t="s">
        <v>90</v>
      </c>
      <c r="AE6" s="25"/>
      <c r="AF6" s="26"/>
      <c r="AG6" s="27" t="s">
        <v>116</v>
      </c>
      <c r="AH6" s="28"/>
      <c r="AI6" s="29"/>
      <c r="AJ6" s="4"/>
      <c r="AK6" s="4"/>
      <c r="AL6" s="4"/>
      <c r="AM6" s="4"/>
      <c r="AN6" s="24" t="s">
        <v>19</v>
      </c>
      <c r="AO6" s="25"/>
      <c r="AP6" s="26"/>
      <c r="AQ6" s="27" t="s">
        <v>33</v>
      </c>
      <c r="AR6" s="28"/>
      <c r="AS6" s="29"/>
      <c r="AT6" s="4"/>
      <c r="AU6" s="4"/>
      <c r="AV6" s="4"/>
      <c r="AW6" s="4"/>
      <c r="AX6" s="24" t="s">
        <v>119</v>
      </c>
      <c r="AY6" s="25"/>
      <c r="AZ6" s="26"/>
      <c r="BA6" s="38" t="s">
        <v>109</v>
      </c>
      <c r="BB6" s="39"/>
      <c r="BC6" s="40"/>
      <c r="BD6" s="4"/>
      <c r="BE6" s="4"/>
      <c r="BF6" s="4"/>
      <c r="BG6" s="4"/>
      <c r="BH6" s="24" t="s">
        <v>114</v>
      </c>
      <c r="BI6" s="25"/>
      <c r="BJ6" s="26"/>
      <c r="BK6" s="38">
        <v>123</v>
      </c>
      <c r="BL6" s="39"/>
      <c r="BM6" s="40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SUM(N8,X8,AH8,AR8,BB8,BL8)</f>
        <v>855</v>
      </c>
      <c r="H7" s="2"/>
      <c r="I7" s="2"/>
      <c r="J7" s="30" t="s">
        <v>161</v>
      </c>
      <c r="K7" s="31"/>
      <c r="L7" s="31"/>
      <c r="M7" s="31"/>
      <c r="N7" s="32"/>
      <c r="O7" s="33"/>
      <c r="P7" s="4"/>
      <c r="Q7" s="4"/>
      <c r="R7" s="4"/>
      <c r="S7" s="4"/>
      <c r="T7" s="30" t="s">
        <v>163</v>
      </c>
      <c r="U7" s="31"/>
      <c r="V7" s="31"/>
      <c r="W7" s="31"/>
      <c r="X7" s="32"/>
      <c r="Y7" s="33"/>
      <c r="Z7" s="4"/>
      <c r="AA7" s="4"/>
      <c r="AB7" s="4"/>
      <c r="AC7" s="4"/>
      <c r="AD7" s="30" t="s">
        <v>118</v>
      </c>
      <c r="AE7" s="31"/>
      <c r="AF7" s="31"/>
      <c r="AG7" s="31"/>
      <c r="AH7" s="32"/>
      <c r="AI7" s="33"/>
      <c r="AJ7" s="4"/>
      <c r="AK7" s="4"/>
      <c r="AL7" s="4"/>
      <c r="AM7" s="4"/>
      <c r="AN7" s="53" t="s">
        <v>32</v>
      </c>
      <c r="AO7" s="54"/>
      <c r="AP7" s="54"/>
      <c r="AQ7" s="54"/>
      <c r="AR7" s="55"/>
      <c r="AS7" s="56"/>
      <c r="AT7" s="4"/>
      <c r="AU7" s="4"/>
      <c r="AV7" s="4"/>
      <c r="AW7" s="4"/>
      <c r="AX7" s="114" t="s">
        <v>120</v>
      </c>
      <c r="AY7" s="115"/>
      <c r="AZ7" s="115"/>
      <c r="BA7" s="115"/>
      <c r="BB7" s="116"/>
      <c r="BC7" s="117"/>
      <c r="BD7" s="4"/>
      <c r="BE7" s="4"/>
      <c r="BF7" s="4"/>
      <c r="BG7" s="4"/>
      <c r="BH7" s="30" t="s">
        <v>23</v>
      </c>
      <c r="BI7" s="31"/>
      <c r="BJ7" s="31"/>
      <c r="BK7" s="31"/>
      <c r="BL7" s="32"/>
      <c r="BM7" s="33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34">
        <v>3</v>
      </c>
      <c r="K8" s="35"/>
      <c r="L8" s="36">
        <v>4</v>
      </c>
      <c r="M8" s="35"/>
      <c r="N8" s="36">
        <v>150</v>
      </c>
      <c r="O8" s="37"/>
      <c r="P8" s="4"/>
      <c r="Q8" s="4"/>
      <c r="R8" s="4"/>
      <c r="S8" s="4"/>
      <c r="T8" s="34">
        <v>3</v>
      </c>
      <c r="U8" s="35"/>
      <c r="V8" s="36">
        <v>5</v>
      </c>
      <c r="W8" s="35"/>
      <c r="X8" s="36">
        <v>135</v>
      </c>
      <c r="Y8" s="37"/>
      <c r="Z8" s="4"/>
      <c r="AA8" s="4"/>
      <c r="AB8" s="4"/>
      <c r="AC8" s="4"/>
      <c r="AD8" s="34">
        <v>3</v>
      </c>
      <c r="AE8" s="35"/>
      <c r="AF8" s="36">
        <v>4</v>
      </c>
      <c r="AG8" s="35"/>
      <c r="AH8" s="36">
        <v>150</v>
      </c>
      <c r="AI8" s="37"/>
      <c r="AJ8" s="4"/>
      <c r="AK8" s="4"/>
      <c r="AL8" s="4"/>
      <c r="AM8" s="4"/>
      <c r="AN8" s="57">
        <v>3</v>
      </c>
      <c r="AO8" s="58"/>
      <c r="AP8" s="59">
        <v>5</v>
      </c>
      <c r="AQ8" s="58"/>
      <c r="AR8" s="59">
        <v>180</v>
      </c>
      <c r="AS8" s="91"/>
      <c r="AT8" s="4"/>
      <c r="AU8" s="4"/>
      <c r="AV8" s="4"/>
      <c r="AW8" s="4"/>
      <c r="AX8" s="110">
        <v>2</v>
      </c>
      <c r="AY8" s="111"/>
      <c r="AZ8" s="108">
        <v>2</v>
      </c>
      <c r="BA8" s="111"/>
      <c r="BB8" s="108">
        <v>90</v>
      </c>
      <c r="BC8" s="109"/>
      <c r="BD8" s="4"/>
      <c r="BE8" s="4"/>
      <c r="BF8" s="4"/>
      <c r="BG8" s="4"/>
      <c r="BH8" s="34">
        <v>3</v>
      </c>
      <c r="BI8" s="35"/>
      <c r="BJ8" s="36">
        <v>4</v>
      </c>
      <c r="BK8" s="35"/>
      <c r="BL8" s="36">
        <v>150</v>
      </c>
      <c r="BM8" s="37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SUM(J8,T8,AD8,AN8,AX8,BH8)</f>
        <v>17</v>
      </c>
      <c r="F9" s="11">
        <f>SUM(J9:BM9)</f>
        <v>24</v>
      </c>
      <c r="G9" s="105"/>
      <c r="H9" s="2"/>
      <c r="I9" s="2"/>
      <c r="J9" s="20">
        <v>3</v>
      </c>
      <c r="K9" s="21"/>
      <c r="L9" s="22">
        <v>1</v>
      </c>
      <c r="M9" s="21"/>
      <c r="N9" s="22">
        <v>0</v>
      </c>
      <c r="O9" s="23"/>
      <c r="P9" s="4"/>
      <c r="Q9" s="4"/>
      <c r="R9" s="4"/>
      <c r="S9" s="4"/>
      <c r="T9" s="20">
        <v>2</v>
      </c>
      <c r="U9" s="21"/>
      <c r="V9" s="22">
        <v>3</v>
      </c>
      <c r="W9" s="21"/>
      <c r="X9" s="22">
        <v>0</v>
      </c>
      <c r="Y9" s="23"/>
      <c r="Z9" s="4"/>
      <c r="AA9" s="4"/>
      <c r="AB9" s="4"/>
      <c r="AC9" s="4"/>
      <c r="AD9" s="20">
        <v>2</v>
      </c>
      <c r="AE9" s="21"/>
      <c r="AF9" s="22">
        <v>0</v>
      </c>
      <c r="AG9" s="21"/>
      <c r="AH9" s="22">
        <v>2</v>
      </c>
      <c r="AI9" s="23"/>
      <c r="AJ9" s="4"/>
      <c r="AK9" s="4"/>
      <c r="AL9" s="4"/>
      <c r="AM9" s="4"/>
      <c r="AN9" s="92">
        <v>2</v>
      </c>
      <c r="AO9" s="93"/>
      <c r="AP9" s="70">
        <v>0</v>
      </c>
      <c r="AQ9" s="93"/>
      <c r="AR9" s="70">
        <v>3</v>
      </c>
      <c r="AS9" s="71"/>
      <c r="AT9" s="4"/>
      <c r="AU9" s="4"/>
      <c r="AV9" s="4"/>
      <c r="AW9" s="4"/>
      <c r="AX9" s="112">
        <v>2</v>
      </c>
      <c r="AY9" s="113"/>
      <c r="AZ9" s="106">
        <v>0</v>
      </c>
      <c r="BA9" s="113"/>
      <c r="BB9" s="106">
        <v>0</v>
      </c>
      <c r="BC9" s="107"/>
      <c r="BD9" s="4"/>
      <c r="BE9" s="4"/>
      <c r="BF9" s="4"/>
      <c r="BG9" s="4"/>
      <c r="BH9" s="20">
        <v>2</v>
      </c>
      <c r="BI9" s="21"/>
      <c r="BJ9" s="22">
        <v>0</v>
      </c>
      <c r="BK9" s="21"/>
      <c r="BL9" s="22">
        <v>2</v>
      </c>
      <c r="BM9" s="23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114</v>
      </c>
      <c r="K14" s="25"/>
      <c r="L14" s="26"/>
      <c r="M14" s="38">
        <v>112</v>
      </c>
      <c r="N14" s="39"/>
      <c r="O14" s="40"/>
      <c r="P14" s="4"/>
      <c r="Q14" s="4"/>
      <c r="R14" s="4"/>
      <c r="S14" s="4"/>
      <c r="T14" s="24" t="s">
        <v>114</v>
      </c>
      <c r="U14" s="25"/>
      <c r="V14" s="26"/>
      <c r="W14" s="38">
        <v>131</v>
      </c>
      <c r="X14" s="39"/>
      <c r="Y14" s="40"/>
      <c r="Z14" s="4"/>
      <c r="AA14" s="4"/>
      <c r="AB14" s="4"/>
      <c r="AC14" s="4"/>
      <c r="AD14" s="24" t="s">
        <v>19</v>
      </c>
      <c r="AE14" s="25"/>
      <c r="AF14" s="26"/>
      <c r="AG14" s="38">
        <v>315</v>
      </c>
      <c r="AH14" s="39"/>
      <c r="AI14" s="40"/>
      <c r="AJ14" s="4"/>
      <c r="AK14" s="4"/>
      <c r="AL14" s="4"/>
      <c r="AM14" s="4"/>
      <c r="AN14" s="24" t="s">
        <v>19</v>
      </c>
      <c r="AO14" s="25"/>
      <c r="AP14" s="26"/>
      <c r="AQ14" s="27" t="s">
        <v>35</v>
      </c>
      <c r="AR14" s="28"/>
      <c r="AS14" s="29"/>
      <c r="AT14" s="4"/>
      <c r="AU14" s="4"/>
      <c r="AV14" s="4"/>
      <c r="AW14" s="4"/>
      <c r="AX14" s="24" t="s">
        <v>122</v>
      </c>
      <c r="AY14" s="25"/>
      <c r="AZ14" s="26"/>
      <c r="BA14" s="38" t="s">
        <v>109</v>
      </c>
      <c r="BB14" s="39"/>
      <c r="BC14" s="40"/>
      <c r="BD14" s="4"/>
      <c r="BE14" s="4"/>
      <c r="BF14" s="4"/>
      <c r="BG14" s="4"/>
      <c r="BH14" s="24" t="s">
        <v>127</v>
      </c>
      <c r="BI14" s="25"/>
      <c r="BJ14" s="26"/>
      <c r="BK14" s="38" t="s">
        <v>110</v>
      </c>
      <c r="BL14" s="39"/>
      <c r="BM14" s="40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855</v>
      </c>
      <c r="H15" s="2"/>
      <c r="I15" s="2"/>
      <c r="J15" s="30" t="s">
        <v>126</v>
      </c>
      <c r="K15" s="31"/>
      <c r="L15" s="31"/>
      <c r="M15" s="31"/>
      <c r="N15" s="32"/>
      <c r="O15" s="33"/>
      <c r="P15" s="4"/>
      <c r="Q15" s="4"/>
      <c r="R15" s="4"/>
      <c r="S15" s="4"/>
      <c r="T15" s="30" t="s">
        <v>189</v>
      </c>
      <c r="U15" s="31"/>
      <c r="V15" s="31"/>
      <c r="W15" s="31"/>
      <c r="X15" s="32"/>
      <c r="Y15" s="33"/>
      <c r="Z15" s="4"/>
      <c r="AA15" s="4"/>
      <c r="AB15" s="4"/>
      <c r="AC15" s="4"/>
      <c r="AD15" s="30" t="s">
        <v>26</v>
      </c>
      <c r="AE15" s="31"/>
      <c r="AF15" s="31"/>
      <c r="AG15" s="31"/>
      <c r="AH15" s="32"/>
      <c r="AI15" s="33"/>
      <c r="AJ15" s="4"/>
      <c r="AK15" s="4"/>
      <c r="AL15" s="4"/>
      <c r="AM15" s="4"/>
      <c r="AN15" s="53" t="s">
        <v>34</v>
      </c>
      <c r="AO15" s="54"/>
      <c r="AP15" s="54"/>
      <c r="AQ15" s="54"/>
      <c r="AR15" s="55"/>
      <c r="AS15" s="56"/>
      <c r="AT15" s="4"/>
      <c r="AU15" s="4"/>
      <c r="AV15" s="4"/>
      <c r="AW15" s="4"/>
      <c r="AX15" s="114" t="s">
        <v>123</v>
      </c>
      <c r="AY15" s="115"/>
      <c r="AZ15" s="115"/>
      <c r="BA15" s="115"/>
      <c r="BB15" s="116"/>
      <c r="BC15" s="117"/>
      <c r="BD15" s="4"/>
      <c r="BE15" s="4"/>
      <c r="BF15" s="4"/>
      <c r="BG15" s="4"/>
      <c r="BH15" s="114" t="s">
        <v>128</v>
      </c>
      <c r="BI15" s="115"/>
      <c r="BJ15" s="115"/>
      <c r="BK15" s="115"/>
      <c r="BL15" s="116"/>
      <c r="BM15" s="117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34">
        <v>3</v>
      </c>
      <c r="K16" s="35"/>
      <c r="L16" s="36">
        <v>4</v>
      </c>
      <c r="M16" s="35"/>
      <c r="N16" s="36">
        <v>150</v>
      </c>
      <c r="O16" s="37"/>
      <c r="P16" s="4"/>
      <c r="Q16" s="4"/>
      <c r="R16" s="4"/>
      <c r="S16" s="4"/>
      <c r="T16" s="34">
        <v>3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3</v>
      </c>
      <c r="AE16" s="35"/>
      <c r="AF16" s="36">
        <v>4</v>
      </c>
      <c r="AG16" s="35"/>
      <c r="AH16" s="36">
        <v>150</v>
      </c>
      <c r="AI16" s="37"/>
      <c r="AJ16" s="4"/>
      <c r="AK16" s="4"/>
      <c r="AL16" s="4"/>
      <c r="AM16" s="4"/>
      <c r="AN16" s="57">
        <v>3</v>
      </c>
      <c r="AO16" s="58"/>
      <c r="AP16" s="59">
        <v>5</v>
      </c>
      <c r="AQ16" s="58"/>
      <c r="AR16" s="59">
        <v>180</v>
      </c>
      <c r="AS16" s="91"/>
      <c r="AT16" s="4"/>
      <c r="AU16" s="4"/>
      <c r="AV16" s="4"/>
      <c r="AW16" s="4"/>
      <c r="AX16" s="110">
        <v>2</v>
      </c>
      <c r="AY16" s="111"/>
      <c r="AZ16" s="108">
        <v>2</v>
      </c>
      <c r="BA16" s="111"/>
      <c r="BB16" s="108">
        <v>90</v>
      </c>
      <c r="BC16" s="109"/>
      <c r="BD16" s="4"/>
      <c r="BE16" s="4"/>
      <c r="BF16" s="4"/>
      <c r="BG16" s="4"/>
      <c r="BH16" s="110">
        <v>2</v>
      </c>
      <c r="BI16" s="111"/>
      <c r="BJ16" s="108">
        <v>2</v>
      </c>
      <c r="BK16" s="111"/>
      <c r="BL16" s="108">
        <v>90</v>
      </c>
      <c r="BM16" s="109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SUM(J16,T16,AD16,AN16,AX16,BH16)</f>
        <v>16</v>
      </c>
      <c r="F17" s="11">
        <f>SUM(J17:BM17)</f>
        <v>22</v>
      </c>
      <c r="G17" s="105"/>
      <c r="H17" s="2"/>
      <c r="I17" s="2"/>
      <c r="J17" s="20">
        <v>3</v>
      </c>
      <c r="K17" s="21"/>
      <c r="L17" s="22">
        <v>1</v>
      </c>
      <c r="M17" s="21"/>
      <c r="N17" s="22">
        <v>0</v>
      </c>
      <c r="O17" s="23"/>
      <c r="P17" s="4"/>
      <c r="Q17" s="4"/>
      <c r="R17" s="4"/>
      <c r="S17" s="4"/>
      <c r="T17" s="20">
        <v>2</v>
      </c>
      <c r="U17" s="21"/>
      <c r="V17" s="22">
        <v>2</v>
      </c>
      <c r="W17" s="21"/>
      <c r="X17" s="22">
        <v>1</v>
      </c>
      <c r="Y17" s="23"/>
      <c r="Z17" s="4"/>
      <c r="AA17" s="4"/>
      <c r="AB17" s="4"/>
      <c r="AC17" s="4"/>
      <c r="AD17" s="20">
        <v>2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92">
        <v>2</v>
      </c>
      <c r="AO17" s="93"/>
      <c r="AP17" s="70">
        <v>0</v>
      </c>
      <c r="AQ17" s="93"/>
      <c r="AR17" s="70">
        <v>3</v>
      </c>
      <c r="AS17" s="71"/>
      <c r="AT17" s="4"/>
      <c r="AU17" s="4"/>
      <c r="AV17" s="4"/>
      <c r="AW17" s="4"/>
      <c r="AX17" s="112">
        <v>2</v>
      </c>
      <c r="AY17" s="113"/>
      <c r="AZ17" s="106">
        <v>0</v>
      </c>
      <c r="BA17" s="113"/>
      <c r="BB17" s="106">
        <v>0</v>
      </c>
      <c r="BC17" s="107"/>
      <c r="BD17" s="4"/>
      <c r="BE17" s="4"/>
      <c r="BF17" s="4"/>
      <c r="BG17" s="4"/>
      <c r="BH17" s="112">
        <v>2</v>
      </c>
      <c r="BI17" s="113"/>
      <c r="BJ17" s="106">
        <v>0</v>
      </c>
      <c r="BK17" s="113"/>
      <c r="BL17" s="106">
        <v>0</v>
      </c>
      <c r="BM17" s="107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4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114</v>
      </c>
      <c r="K24" s="25"/>
      <c r="L24" s="26"/>
      <c r="M24" s="38">
        <v>212</v>
      </c>
      <c r="N24" s="39"/>
      <c r="O24" s="40"/>
      <c r="P24" s="4"/>
      <c r="Q24" s="4"/>
      <c r="R24" s="4"/>
      <c r="S24" s="4"/>
      <c r="T24" s="24" t="s">
        <v>19</v>
      </c>
      <c r="U24" s="25"/>
      <c r="V24" s="26"/>
      <c r="W24" s="38">
        <v>111</v>
      </c>
      <c r="X24" s="102"/>
      <c r="Y24" s="103"/>
      <c r="Z24" s="4"/>
      <c r="AA24" s="4"/>
      <c r="AB24" s="4"/>
      <c r="AC24" s="4"/>
      <c r="AD24" s="24" t="s">
        <v>19</v>
      </c>
      <c r="AE24" s="25"/>
      <c r="AF24" s="26"/>
      <c r="AG24" s="38">
        <v>113</v>
      </c>
      <c r="AH24" s="39"/>
      <c r="AI24" s="40"/>
      <c r="AJ24" s="4"/>
      <c r="AK24" s="4"/>
      <c r="AL24" s="4"/>
      <c r="AM24" s="4"/>
      <c r="AN24" s="24" t="s">
        <v>19</v>
      </c>
      <c r="AO24" s="25"/>
      <c r="AP24" s="26"/>
      <c r="AQ24" s="38">
        <v>131</v>
      </c>
      <c r="AR24" s="102"/>
      <c r="AS24" s="103"/>
      <c r="AT24" s="4"/>
      <c r="AU24" s="4"/>
      <c r="AV24" s="4"/>
      <c r="AW24" s="4"/>
      <c r="AX24" s="24" t="s">
        <v>129</v>
      </c>
      <c r="AY24" s="25"/>
      <c r="AZ24" s="26"/>
      <c r="BA24" s="38" t="s">
        <v>110</v>
      </c>
      <c r="BB24" s="39"/>
      <c r="BC24" s="40"/>
      <c r="BD24" s="4"/>
      <c r="BE24" s="4"/>
      <c r="BF24" s="4"/>
      <c r="BG24" s="4"/>
      <c r="BH24" s="24" t="s">
        <v>133</v>
      </c>
      <c r="BI24" s="25"/>
      <c r="BJ24" s="26"/>
      <c r="BK24" s="38" t="s">
        <v>110</v>
      </c>
      <c r="BL24" s="39"/>
      <c r="BM24" s="40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54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SUM(N26,X26,AH26,AR26,BB26,BL26)</f>
        <v>885</v>
      </c>
      <c r="H25" s="2"/>
      <c r="I25" s="2"/>
      <c r="J25" s="30" t="s">
        <v>182</v>
      </c>
      <c r="K25" s="31"/>
      <c r="L25" s="31"/>
      <c r="M25" s="31"/>
      <c r="N25" s="32"/>
      <c r="O25" s="33"/>
      <c r="P25" s="4"/>
      <c r="Q25" s="4"/>
      <c r="R25" s="4"/>
      <c r="S25" s="4"/>
      <c r="T25" s="53" t="s">
        <v>36</v>
      </c>
      <c r="U25" s="54"/>
      <c r="V25" s="54"/>
      <c r="W25" s="54"/>
      <c r="X25" s="55"/>
      <c r="Y25" s="56"/>
      <c r="Z25" s="4"/>
      <c r="AA25" s="4"/>
      <c r="AB25" s="4"/>
      <c r="AC25" s="4"/>
      <c r="AD25" s="53" t="s">
        <v>196</v>
      </c>
      <c r="AE25" s="54"/>
      <c r="AF25" s="54"/>
      <c r="AG25" s="54"/>
      <c r="AH25" s="55"/>
      <c r="AI25" s="56"/>
      <c r="AJ25" s="4"/>
      <c r="AK25" s="4"/>
      <c r="AL25" s="4"/>
      <c r="AM25" s="4"/>
      <c r="AN25" s="53" t="s">
        <v>197</v>
      </c>
      <c r="AO25" s="54"/>
      <c r="AP25" s="54"/>
      <c r="AQ25" s="54"/>
      <c r="AR25" s="55"/>
      <c r="AS25" s="56"/>
      <c r="AT25" s="4"/>
      <c r="AU25" s="4"/>
      <c r="AV25" s="4"/>
      <c r="AW25" s="4"/>
      <c r="AX25" s="114" t="s">
        <v>130</v>
      </c>
      <c r="AY25" s="115"/>
      <c r="AZ25" s="115"/>
      <c r="BA25" s="115"/>
      <c r="BB25" s="116"/>
      <c r="BC25" s="117"/>
      <c r="BD25" s="4"/>
      <c r="BE25" s="4"/>
      <c r="BF25" s="4"/>
      <c r="BG25" s="4"/>
      <c r="BH25" s="114" t="s">
        <v>132</v>
      </c>
      <c r="BI25" s="115"/>
      <c r="BJ25" s="115"/>
      <c r="BK25" s="115"/>
      <c r="BL25" s="116"/>
      <c r="BM25" s="117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34">
        <v>3</v>
      </c>
      <c r="K26" s="35"/>
      <c r="L26" s="36">
        <v>4</v>
      </c>
      <c r="M26" s="35"/>
      <c r="N26" s="36">
        <v>150</v>
      </c>
      <c r="O26" s="37"/>
      <c r="P26" s="4"/>
      <c r="Q26" s="4"/>
      <c r="R26" s="4"/>
      <c r="S26" s="4"/>
      <c r="T26" s="57">
        <v>3</v>
      </c>
      <c r="U26" s="58"/>
      <c r="V26" s="59">
        <v>5</v>
      </c>
      <c r="W26" s="58"/>
      <c r="X26" s="59">
        <v>180</v>
      </c>
      <c r="Y26" s="91"/>
      <c r="Z26" s="4"/>
      <c r="AA26" s="4"/>
      <c r="AB26" s="4"/>
      <c r="AC26" s="4"/>
      <c r="AD26" s="57">
        <v>3</v>
      </c>
      <c r="AE26" s="58"/>
      <c r="AF26" s="59">
        <v>6</v>
      </c>
      <c r="AG26" s="58"/>
      <c r="AH26" s="59">
        <v>180</v>
      </c>
      <c r="AI26" s="91"/>
      <c r="AJ26" s="4"/>
      <c r="AK26" s="4"/>
      <c r="AL26" s="4"/>
      <c r="AM26" s="4"/>
      <c r="AN26" s="57">
        <v>3</v>
      </c>
      <c r="AO26" s="58"/>
      <c r="AP26" s="59">
        <v>6</v>
      </c>
      <c r="AQ26" s="58"/>
      <c r="AR26" s="59">
        <v>195</v>
      </c>
      <c r="AS26" s="91"/>
      <c r="AT26" s="4"/>
      <c r="AU26" s="4"/>
      <c r="AV26" s="4"/>
      <c r="AW26" s="4"/>
      <c r="AX26" s="110">
        <v>2</v>
      </c>
      <c r="AY26" s="111"/>
      <c r="AZ26" s="108">
        <v>2</v>
      </c>
      <c r="BA26" s="111"/>
      <c r="BB26" s="108">
        <v>90</v>
      </c>
      <c r="BC26" s="109"/>
      <c r="BD26" s="4"/>
      <c r="BE26" s="4"/>
      <c r="BF26" s="4"/>
      <c r="BG26" s="4"/>
      <c r="BH26" s="110">
        <v>2</v>
      </c>
      <c r="BI26" s="111"/>
      <c r="BJ26" s="108">
        <v>2</v>
      </c>
      <c r="BK26" s="111"/>
      <c r="BL26" s="108">
        <v>90</v>
      </c>
      <c r="BM26" s="109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thickBot="1" x14ac:dyDescent="0.35">
      <c r="B27" s="118"/>
      <c r="C27" s="1"/>
      <c r="D27" s="119"/>
      <c r="E27" s="11">
        <f>SUM(J26,T26,AD26,AN26,AX26,BH26,BR26)</f>
        <v>16</v>
      </c>
      <c r="F27" s="11">
        <f>SUM(J27:BW27)</f>
        <v>25</v>
      </c>
      <c r="G27" s="105"/>
      <c r="H27" s="2"/>
      <c r="I27" s="2"/>
      <c r="J27" s="20">
        <v>2</v>
      </c>
      <c r="K27" s="21"/>
      <c r="L27" s="22">
        <v>0</v>
      </c>
      <c r="M27" s="21"/>
      <c r="N27" s="22">
        <v>2</v>
      </c>
      <c r="O27" s="23"/>
      <c r="P27" s="4"/>
      <c r="Q27" s="4"/>
      <c r="R27" s="4"/>
      <c r="S27" s="4"/>
      <c r="T27" s="92">
        <v>2</v>
      </c>
      <c r="U27" s="93"/>
      <c r="V27" s="70">
        <v>0</v>
      </c>
      <c r="W27" s="93"/>
      <c r="X27" s="70">
        <v>3</v>
      </c>
      <c r="Y27" s="71"/>
      <c r="Z27" s="4"/>
      <c r="AA27" s="4"/>
      <c r="AB27" s="4"/>
      <c r="AC27" s="4"/>
      <c r="AD27" s="92">
        <v>1</v>
      </c>
      <c r="AE27" s="93"/>
      <c r="AF27" s="70">
        <v>2</v>
      </c>
      <c r="AG27" s="93"/>
      <c r="AH27" s="70">
        <v>3</v>
      </c>
      <c r="AI27" s="71"/>
      <c r="AJ27" s="4"/>
      <c r="AK27" s="4"/>
      <c r="AL27" s="4"/>
      <c r="AM27" s="4"/>
      <c r="AN27" s="92">
        <v>2</v>
      </c>
      <c r="AO27" s="93"/>
      <c r="AP27" s="70">
        <v>2</v>
      </c>
      <c r="AQ27" s="93"/>
      <c r="AR27" s="70">
        <v>2</v>
      </c>
      <c r="AS27" s="71"/>
      <c r="AT27" s="4"/>
      <c r="AU27" s="4"/>
      <c r="AV27" s="4"/>
      <c r="AW27" s="4"/>
      <c r="AX27" s="112">
        <v>2</v>
      </c>
      <c r="AY27" s="113"/>
      <c r="AZ27" s="106">
        <v>0</v>
      </c>
      <c r="BA27" s="113"/>
      <c r="BB27" s="106">
        <v>0</v>
      </c>
      <c r="BC27" s="107"/>
      <c r="BD27" s="4"/>
      <c r="BE27" s="4"/>
      <c r="BF27" s="4"/>
      <c r="BG27" s="4"/>
      <c r="BH27" s="112">
        <v>2</v>
      </c>
      <c r="BI27" s="113"/>
      <c r="BJ27" s="106">
        <v>0</v>
      </c>
      <c r="BK27" s="113"/>
      <c r="BL27" s="106">
        <v>0</v>
      </c>
      <c r="BM27" s="107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114</v>
      </c>
      <c r="K32" s="25"/>
      <c r="L32" s="26"/>
      <c r="M32" s="38">
        <v>231</v>
      </c>
      <c r="N32" s="102"/>
      <c r="O32" s="103"/>
      <c r="P32" s="4"/>
      <c r="Q32" s="4"/>
      <c r="R32" s="4"/>
      <c r="S32" s="4"/>
      <c r="T32" s="24" t="s">
        <v>114</v>
      </c>
      <c r="U32" s="25"/>
      <c r="V32" s="26"/>
      <c r="W32" s="38">
        <v>312</v>
      </c>
      <c r="X32" s="39"/>
      <c r="Y32" s="40"/>
      <c r="Z32" s="4"/>
      <c r="AA32" s="4"/>
      <c r="AB32" s="4"/>
      <c r="AC32" s="4"/>
      <c r="AD32" s="24" t="s">
        <v>19</v>
      </c>
      <c r="AE32" s="25"/>
      <c r="AF32" s="26"/>
      <c r="AG32" s="38">
        <v>132</v>
      </c>
      <c r="AH32" s="39"/>
      <c r="AI32" s="40"/>
      <c r="AJ32" s="4"/>
      <c r="AK32" s="4"/>
      <c r="AL32" s="4"/>
      <c r="AM32" s="4"/>
      <c r="AN32" s="24" t="s">
        <v>48</v>
      </c>
      <c r="AO32" s="25"/>
      <c r="AP32" s="26"/>
      <c r="AQ32" s="38">
        <v>111</v>
      </c>
      <c r="AR32" s="39"/>
      <c r="AS32" s="40"/>
      <c r="AT32" s="4"/>
      <c r="AU32" s="4"/>
      <c r="AV32" s="4"/>
      <c r="AW32" s="4"/>
      <c r="AX32" s="24" t="s">
        <v>136</v>
      </c>
      <c r="AY32" s="25"/>
      <c r="AZ32" s="26"/>
      <c r="BA32" s="38" t="s">
        <v>110</v>
      </c>
      <c r="BB32" s="39"/>
      <c r="BC32" s="40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870</v>
      </c>
      <c r="H33" s="2"/>
      <c r="I33" s="2"/>
      <c r="J33" s="30" t="s">
        <v>199</v>
      </c>
      <c r="K33" s="31"/>
      <c r="L33" s="31"/>
      <c r="M33" s="31"/>
      <c r="N33" s="32"/>
      <c r="O33" s="33"/>
      <c r="P33" s="4"/>
      <c r="Q33" s="4"/>
      <c r="R33" s="4"/>
      <c r="S33" s="4"/>
      <c r="T33" s="30" t="s">
        <v>250</v>
      </c>
      <c r="U33" s="31"/>
      <c r="V33" s="31"/>
      <c r="W33" s="31"/>
      <c r="X33" s="32"/>
      <c r="Y33" s="33"/>
      <c r="Z33" s="4"/>
      <c r="AA33" s="4"/>
      <c r="AB33" s="4"/>
      <c r="AC33" s="4"/>
      <c r="AD33" s="53" t="s">
        <v>198</v>
      </c>
      <c r="AE33" s="54"/>
      <c r="AF33" s="54"/>
      <c r="AG33" s="54"/>
      <c r="AH33" s="55"/>
      <c r="AI33" s="56"/>
      <c r="AJ33" s="4"/>
      <c r="AK33" s="4"/>
      <c r="AL33" s="4"/>
      <c r="AM33" s="4"/>
      <c r="AN33" s="146" t="s">
        <v>47</v>
      </c>
      <c r="AO33" s="147"/>
      <c r="AP33" s="147"/>
      <c r="AQ33" s="147"/>
      <c r="AR33" s="148"/>
      <c r="AS33" s="149"/>
      <c r="AT33" s="4"/>
      <c r="AU33" s="4"/>
      <c r="AV33" s="4"/>
      <c r="AW33" s="4"/>
      <c r="AX33" s="30" t="s">
        <v>28</v>
      </c>
      <c r="AY33" s="31"/>
      <c r="AZ33" s="31"/>
      <c r="BA33" s="31"/>
      <c r="BB33" s="32"/>
      <c r="BC33" s="33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34">
        <v>3</v>
      </c>
      <c r="K34" s="35"/>
      <c r="L34" s="36">
        <v>5</v>
      </c>
      <c r="M34" s="35"/>
      <c r="N34" s="36">
        <v>195</v>
      </c>
      <c r="O34" s="37"/>
      <c r="P34" s="4"/>
      <c r="Q34" s="4"/>
      <c r="R34" s="4"/>
      <c r="S34" s="4"/>
      <c r="T34" s="34">
        <v>3</v>
      </c>
      <c r="U34" s="35"/>
      <c r="V34" s="36">
        <v>4</v>
      </c>
      <c r="W34" s="35"/>
      <c r="X34" s="36">
        <v>150</v>
      </c>
      <c r="Y34" s="37"/>
      <c r="Z34" s="4"/>
      <c r="AA34" s="4"/>
      <c r="AB34" s="4"/>
      <c r="AC34" s="4"/>
      <c r="AD34" s="57">
        <v>3</v>
      </c>
      <c r="AE34" s="58"/>
      <c r="AF34" s="59">
        <v>5</v>
      </c>
      <c r="AG34" s="58"/>
      <c r="AH34" s="59">
        <v>165</v>
      </c>
      <c r="AI34" s="91"/>
      <c r="AJ34" s="4"/>
      <c r="AK34" s="4"/>
      <c r="AL34" s="4"/>
      <c r="AM34" s="4"/>
      <c r="AN34" s="138">
        <v>3</v>
      </c>
      <c r="AO34" s="139"/>
      <c r="AP34" s="140">
        <v>5</v>
      </c>
      <c r="AQ34" s="139"/>
      <c r="AR34" s="140">
        <v>180</v>
      </c>
      <c r="AS34" s="141"/>
      <c r="AT34" s="4"/>
      <c r="AU34" s="4"/>
      <c r="AV34" s="4"/>
      <c r="AW34" s="4"/>
      <c r="AX34" s="34">
        <v>3</v>
      </c>
      <c r="AY34" s="35"/>
      <c r="AZ34" s="36">
        <v>5</v>
      </c>
      <c r="BA34" s="35"/>
      <c r="BB34" s="36">
        <v>180</v>
      </c>
      <c r="BC34" s="37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SUM(J34,T34,AD34,AN34,AX34,BH34,BR34)</f>
        <v>15</v>
      </c>
      <c r="F35" s="11">
        <f>SUM(J35:BM35)</f>
        <v>24</v>
      </c>
      <c r="G35" s="105"/>
      <c r="H35" s="2"/>
      <c r="I35" s="2"/>
      <c r="J35" s="20">
        <v>2</v>
      </c>
      <c r="K35" s="21"/>
      <c r="L35" s="22">
        <v>1</v>
      </c>
      <c r="M35" s="21"/>
      <c r="N35" s="22">
        <v>2</v>
      </c>
      <c r="O35" s="23"/>
      <c r="P35" s="4"/>
      <c r="Q35" s="4"/>
      <c r="R35" s="4"/>
      <c r="S35" s="4"/>
      <c r="T35" s="20">
        <v>2</v>
      </c>
      <c r="U35" s="21"/>
      <c r="V35" s="22">
        <v>2</v>
      </c>
      <c r="W35" s="21"/>
      <c r="X35" s="22">
        <v>0</v>
      </c>
      <c r="Y35" s="23"/>
      <c r="Z35" s="4"/>
      <c r="AA35" s="4"/>
      <c r="AB35" s="4"/>
      <c r="AC35" s="4"/>
      <c r="AD35" s="92">
        <v>2</v>
      </c>
      <c r="AE35" s="93"/>
      <c r="AF35" s="70">
        <v>1</v>
      </c>
      <c r="AG35" s="93"/>
      <c r="AH35" s="70">
        <v>2</v>
      </c>
      <c r="AI35" s="71"/>
      <c r="AJ35" s="4"/>
      <c r="AK35" s="4"/>
      <c r="AL35" s="4"/>
      <c r="AM35" s="4"/>
      <c r="AN35" s="142">
        <v>2</v>
      </c>
      <c r="AO35" s="143"/>
      <c r="AP35" s="144">
        <v>1</v>
      </c>
      <c r="AQ35" s="143"/>
      <c r="AR35" s="144">
        <v>2</v>
      </c>
      <c r="AS35" s="145"/>
      <c r="AT35" s="4"/>
      <c r="AU35" s="4"/>
      <c r="AV35" s="4"/>
      <c r="AW35" s="4"/>
      <c r="AX35" s="20">
        <v>2</v>
      </c>
      <c r="AY35" s="21"/>
      <c r="AZ35" s="22">
        <v>1</v>
      </c>
      <c r="BA35" s="21"/>
      <c r="BB35" s="22">
        <v>2</v>
      </c>
      <c r="BC35" s="23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3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137</v>
      </c>
      <c r="K42" s="25"/>
      <c r="L42" s="26"/>
      <c r="M42" s="38" t="s">
        <v>110</v>
      </c>
      <c r="N42" s="39"/>
      <c r="O42" s="40"/>
      <c r="P42" s="4"/>
      <c r="Q42" s="4"/>
      <c r="R42" s="4"/>
      <c r="S42" s="4"/>
      <c r="T42" s="24" t="s">
        <v>19</v>
      </c>
      <c r="U42" s="25"/>
      <c r="V42" s="26"/>
      <c r="W42" s="38">
        <v>221</v>
      </c>
      <c r="X42" s="102"/>
      <c r="Y42" s="103"/>
      <c r="Z42" s="4"/>
      <c r="AA42" s="4"/>
      <c r="AB42" s="4"/>
      <c r="AC42" s="4"/>
      <c r="AD42" s="24" t="s">
        <v>121</v>
      </c>
      <c r="AE42" s="25"/>
      <c r="AF42" s="26"/>
      <c r="AG42" s="38" t="s">
        <v>109</v>
      </c>
      <c r="AH42" s="39"/>
      <c r="AI42" s="40"/>
      <c r="AJ42" s="4"/>
      <c r="AK42" s="4"/>
      <c r="AL42" s="4"/>
      <c r="AM42" s="4"/>
      <c r="AN42" s="24" t="s">
        <v>19</v>
      </c>
      <c r="AO42" s="25"/>
      <c r="AP42" s="26"/>
      <c r="AQ42" s="38">
        <v>233</v>
      </c>
      <c r="AR42" s="39"/>
      <c r="AS42" s="40"/>
      <c r="AT42" s="4"/>
      <c r="AU42" s="4"/>
      <c r="AV42" s="4"/>
      <c r="AW42" s="4"/>
      <c r="AX42" s="24" t="s">
        <v>48</v>
      </c>
      <c r="AY42" s="25"/>
      <c r="AZ42" s="26"/>
      <c r="BA42" s="38">
        <v>121</v>
      </c>
      <c r="BB42" s="39"/>
      <c r="BC42" s="40"/>
      <c r="BD42" s="4"/>
      <c r="BE42" s="4"/>
      <c r="BF42" s="4"/>
      <c r="BG42" s="4"/>
      <c r="BH42" s="24" t="s">
        <v>19</v>
      </c>
      <c r="BI42" s="25"/>
      <c r="BJ42" s="26"/>
      <c r="BK42" s="38">
        <v>291</v>
      </c>
      <c r="BL42" s="102"/>
      <c r="BM42" s="103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855</v>
      </c>
      <c r="H43" s="2"/>
      <c r="I43" s="2"/>
      <c r="J43" s="30" t="s">
        <v>29</v>
      </c>
      <c r="K43" s="31"/>
      <c r="L43" s="31"/>
      <c r="M43" s="31"/>
      <c r="N43" s="32"/>
      <c r="O43" s="33"/>
      <c r="P43" s="4"/>
      <c r="Q43" s="4"/>
      <c r="R43" s="4"/>
      <c r="S43" s="4"/>
      <c r="T43" s="53" t="s">
        <v>43</v>
      </c>
      <c r="U43" s="54"/>
      <c r="V43" s="54"/>
      <c r="W43" s="54"/>
      <c r="X43" s="55"/>
      <c r="Y43" s="56"/>
      <c r="Z43" s="4"/>
      <c r="AA43" s="4"/>
      <c r="AB43" s="4"/>
      <c r="AC43" s="4"/>
      <c r="AD43" s="114" t="s">
        <v>21</v>
      </c>
      <c r="AE43" s="115"/>
      <c r="AF43" s="115"/>
      <c r="AG43" s="115"/>
      <c r="AH43" s="116"/>
      <c r="AI43" s="117"/>
      <c r="AJ43" s="4"/>
      <c r="AK43" s="4"/>
      <c r="AL43" s="4"/>
      <c r="AM43" s="4"/>
      <c r="AN43" s="53" t="s">
        <v>40</v>
      </c>
      <c r="AO43" s="54"/>
      <c r="AP43" s="54"/>
      <c r="AQ43" s="54"/>
      <c r="AR43" s="55"/>
      <c r="AS43" s="56"/>
      <c r="AT43" s="4"/>
      <c r="AU43" s="4"/>
      <c r="AV43" s="4"/>
      <c r="AW43" s="4"/>
      <c r="AX43" s="146" t="s">
        <v>49</v>
      </c>
      <c r="AY43" s="147"/>
      <c r="AZ43" s="147"/>
      <c r="BA43" s="147"/>
      <c r="BB43" s="148"/>
      <c r="BC43" s="149"/>
      <c r="BD43" s="4"/>
      <c r="BE43" s="4"/>
      <c r="BF43" s="4"/>
      <c r="BG43" s="4"/>
      <c r="BH43" s="41" t="s">
        <v>248</v>
      </c>
      <c r="BI43" s="42"/>
      <c r="BJ43" s="42"/>
      <c r="BK43" s="42"/>
      <c r="BL43" s="43"/>
      <c r="BM43" s="4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34">
        <v>3</v>
      </c>
      <c r="K44" s="35"/>
      <c r="L44" s="36">
        <v>5</v>
      </c>
      <c r="M44" s="35"/>
      <c r="N44" s="36">
        <v>180</v>
      </c>
      <c r="O44" s="37"/>
      <c r="P44" s="4"/>
      <c r="Q44" s="4"/>
      <c r="R44" s="4"/>
      <c r="S44" s="4"/>
      <c r="T44" s="57">
        <v>3</v>
      </c>
      <c r="U44" s="58"/>
      <c r="V44" s="59">
        <v>5</v>
      </c>
      <c r="W44" s="58"/>
      <c r="X44" s="59">
        <v>180</v>
      </c>
      <c r="Y44" s="91"/>
      <c r="Z44" s="4"/>
      <c r="AA44" s="4"/>
      <c r="AB44" s="4"/>
      <c r="AC44" s="4"/>
      <c r="AD44" s="110">
        <v>2</v>
      </c>
      <c r="AE44" s="111"/>
      <c r="AF44" s="108">
        <v>2</v>
      </c>
      <c r="AG44" s="111"/>
      <c r="AH44" s="108">
        <v>90</v>
      </c>
      <c r="AI44" s="109"/>
      <c r="AJ44" s="4"/>
      <c r="AK44" s="4"/>
      <c r="AL44" s="4"/>
      <c r="AM44" s="4"/>
      <c r="AN44" s="57">
        <v>3</v>
      </c>
      <c r="AO44" s="58"/>
      <c r="AP44" s="59">
        <v>5</v>
      </c>
      <c r="AQ44" s="58"/>
      <c r="AR44" s="59">
        <v>165</v>
      </c>
      <c r="AS44" s="91"/>
      <c r="AT44" s="4"/>
      <c r="AU44" s="4"/>
      <c r="AV44" s="4"/>
      <c r="AW44" s="4"/>
      <c r="AX44" s="138">
        <v>3</v>
      </c>
      <c r="AY44" s="139"/>
      <c r="AZ44" s="140">
        <v>5</v>
      </c>
      <c r="BA44" s="139"/>
      <c r="BB44" s="140">
        <v>180</v>
      </c>
      <c r="BC44" s="141"/>
      <c r="BD44" s="4"/>
      <c r="BE44" s="4"/>
      <c r="BF44" s="4"/>
      <c r="BG44" s="4"/>
      <c r="BH44" s="45">
        <v>2</v>
      </c>
      <c r="BI44" s="46"/>
      <c r="BJ44" s="47">
        <v>2</v>
      </c>
      <c r="BK44" s="46"/>
      <c r="BL44" s="47">
        <v>60</v>
      </c>
      <c r="BM44" s="48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16</v>
      </c>
      <c r="F45" s="11">
        <f>SUM(J45:BM45)</f>
        <v>24</v>
      </c>
      <c r="G45" s="105"/>
      <c r="H45" s="2"/>
      <c r="I45" s="2"/>
      <c r="J45" s="20">
        <v>2</v>
      </c>
      <c r="K45" s="21"/>
      <c r="L45" s="22">
        <v>2</v>
      </c>
      <c r="M45" s="21"/>
      <c r="N45" s="22">
        <v>1</v>
      </c>
      <c r="O45" s="23"/>
      <c r="P45" s="4"/>
      <c r="Q45" s="4"/>
      <c r="R45" s="4"/>
      <c r="S45" s="4"/>
      <c r="T45" s="92">
        <v>2</v>
      </c>
      <c r="U45" s="93"/>
      <c r="V45" s="70">
        <v>1</v>
      </c>
      <c r="W45" s="93"/>
      <c r="X45" s="70">
        <v>2</v>
      </c>
      <c r="Y45" s="71"/>
      <c r="Z45" s="4"/>
      <c r="AA45" s="4"/>
      <c r="AB45" s="4"/>
      <c r="AC45" s="4"/>
      <c r="AD45" s="112">
        <v>2</v>
      </c>
      <c r="AE45" s="113"/>
      <c r="AF45" s="106">
        <v>0</v>
      </c>
      <c r="AG45" s="113"/>
      <c r="AH45" s="106">
        <v>0</v>
      </c>
      <c r="AI45" s="107"/>
      <c r="AJ45" s="4"/>
      <c r="AK45" s="4"/>
      <c r="AL45" s="4"/>
      <c r="AM45" s="4"/>
      <c r="AN45" s="92">
        <v>2</v>
      </c>
      <c r="AO45" s="93"/>
      <c r="AP45" s="70">
        <v>1</v>
      </c>
      <c r="AQ45" s="93"/>
      <c r="AR45" s="70">
        <v>2</v>
      </c>
      <c r="AS45" s="71"/>
      <c r="AT45" s="4"/>
      <c r="AU45" s="4"/>
      <c r="AV45" s="4"/>
      <c r="AW45" s="4"/>
      <c r="AX45" s="142">
        <v>2</v>
      </c>
      <c r="AY45" s="143"/>
      <c r="AZ45" s="144">
        <v>1</v>
      </c>
      <c r="BA45" s="143"/>
      <c r="BB45" s="144">
        <v>2</v>
      </c>
      <c r="BC45" s="145"/>
      <c r="BD45" s="4"/>
      <c r="BE45" s="4"/>
      <c r="BF45" s="4"/>
      <c r="BG45" s="4"/>
      <c r="BH45" s="49">
        <v>2</v>
      </c>
      <c r="BI45" s="50"/>
      <c r="BJ45" s="51">
        <v>0</v>
      </c>
      <c r="BK45" s="50"/>
      <c r="BL45" s="51">
        <v>0</v>
      </c>
      <c r="BM45" s="52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19</v>
      </c>
      <c r="K50" s="25"/>
      <c r="L50" s="26"/>
      <c r="M50" s="38">
        <v>211</v>
      </c>
      <c r="N50" s="39"/>
      <c r="O50" s="40"/>
      <c r="P50" s="4"/>
      <c r="Q50" s="4"/>
      <c r="R50" s="4"/>
      <c r="S50" s="4"/>
      <c r="T50" s="24" t="s">
        <v>19</v>
      </c>
      <c r="U50" s="25"/>
      <c r="V50" s="26"/>
      <c r="W50" s="38">
        <v>251</v>
      </c>
      <c r="X50" s="102"/>
      <c r="Y50" s="103"/>
      <c r="Z50" s="4"/>
      <c r="AA50" s="4"/>
      <c r="AB50" s="4"/>
      <c r="AC50" s="4"/>
      <c r="AD50" s="24" t="s">
        <v>19</v>
      </c>
      <c r="AE50" s="25"/>
      <c r="AF50" s="26"/>
      <c r="AG50" s="38">
        <v>261</v>
      </c>
      <c r="AH50" s="102"/>
      <c r="AI50" s="103"/>
      <c r="AJ50" s="4"/>
      <c r="AK50" s="4"/>
      <c r="AL50" s="4"/>
      <c r="AM50" s="4"/>
      <c r="AN50" s="24" t="s">
        <v>19</v>
      </c>
      <c r="AO50" s="25"/>
      <c r="AP50" s="26"/>
      <c r="AQ50" s="38">
        <v>112</v>
      </c>
      <c r="AR50" s="102"/>
      <c r="AS50" s="103"/>
      <c r="AT50" s="4"/>
      <c r="AU50" s="4"/>
      <c r="AV50" s="4"/>
      <c r="AW50" s="4"/>
      <c r="AX50" s="24" t="s">
        <v>19</v>
      </c>
      <c r="AY50" s="25"/>
      <c r="AZ50" s="26"/>
      <c r="BA50" s="38">
        <v>234</v>
      </c>
      <c r="BB50" s="102"/>
      <c r="BC50" s="103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SUM(N52,X52,AH52,AR52,BB52,BL52,BW52)</f>
        <v>885</v>
      </c>
      <c r="H51" s="2"/>
      <c r="I51" s="2"/>
      <c r="J51" s="53" t="s">
        <v>201</v>
      </c>
      <c r="K51" s="54"/>
      <c r="L51" s="54"/>
      <c r="M51" s="54"/>
      <c r="N51" s="55"/>
      <c r="O51" s="56"/>
      <c r="P51" s="4"/>
      <c r="Q51" s="4"/>
      <c r="R51" s="4"/>
      <c r="S51" s="4"/>
      <c r="T51" s="53" t="s">
        <v>67</v>
      </c>
      <c r="U51" s="54"/>
      <c r="V51" s="54"/>
      <c r="W51" s="54"/>
      <c r="X51" s="55"/>
      <c r="Y51" s="56"/>
      <c r="Z51" s="4"/>
      <c r="AA51" s="4"/>
      <c r="AB51" s="4"/>
      <c r="AC51" s="4"/>
      <c r="AD51" s="53" t="s">
        <v>41</v>
      </c>
      <c r="AE51" s="54"/>
      <c r="AF51" s="54"/>
      <c r="AG51" s="54"/>
      <c r="AH51" s="55"/>
      <c r="AI51" s="56"/>
      <c r="AJ51" s="4"/>
      <c r="AK51" s="4"/>
      <c r="AL51" s="4"/>
      <c r="AM51" s="4"/>
      <c r="AN51" s="53" t="s">
        <v>38</v>
      </c>
      <c r="AO51" s="54"/>
      <c r="AP51" s="54"/>
      <c r="AQ51" s="54"/>
      <c r="AR51" s="55"/>
      <c r="AS51" s="56"/>
      <c r="AT51" s="4"/>
      <c r="AU51" s="4"/>
      <c r="AV51" s="4"/>
      <c r="AW51" s="4"/>
      <c r="AX51" s="53" t="s">
        <v>200</v>
      </c>
      <c r="AY51" s="54"/>
      <c r="AZ51" s="54"/>
      <c r="BA51" s="54"/>
      <c r="BB51" s="55"/>
      <c r="BC51" s="56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57">
        <v>3</v>
      </c>
      <c r="K52" s="58"/>
      <c r="L52" s="59">
        <v>5</v>
      </c>
      <c r="M52" s="58"/>
      <c r="N52" s="59">
        <v>165</v>
      </c>
      <c r="O52" s="91"/>
      <c r="P52" s="4"/>
      <c r="Q52" s="4"/>
      <c r="R52" s="4"/>
      <c r="S52" s="4"/>
      <c r="T52" s="57">
        <v>3</v>
      </c>
      <c r="U52" s="58"/>
      <c r="V52" s="59">
        <v>5</v>
      </c>
      <c r="W52" s="58"/>
      <c r="X52" s="59">
        <v>180</v>
      </c>
      <c r="Y52" s="91"/>
      <c r="Z52" s="4"/>
      <c r="AA52" s="4"/>
      <c r="AB52" s="4"/>
      <c r="AC52" s="4"/>
      <c r="AD52" s="57">
        <v>3</v>
      </c>
      <c r="AE52" s="58"/>
      <c r="AF52" s="59">
        <v>5</v>
      </c>
      <c r="AG52" s="58"/>
      <c r="AH52" s="59">
        <v>165</v>
      </c>
      <c r="AI52" s="91"/>
      <c r="AJ52" s="4"/>
      <c r="AK52" s="4"/>
      <c r="AL52" s="4"/>
      <c r="AM52" s="4"/>
      <c r="AN52" s="57">
        <v>4</v>
      </c>
      <c r="AO52" s="58"/>
      <c r="AP52" s="59">
        <v>6</v>
      </c>
      <c r="AQ52" s="58"/>
      <c r="AR52" s="59">
        <v>195</v>
      </c>
      <c r="AS52" s="91"/>
      <c r="AT52" s="4"/>
      <c r="AU52" s="4"/>
      <c r="AV52" s="4"/>
      <c r="AW52" s="4"/>
      <c r="AX52" s="57">
        <v>3</v>
      </c>
      <c r="AY52" s="58"/>
      <c r="AZ52" s="59">
        <v>5</v>
      </c>
      <c r="BA52" s="58"/>
      <c r="BB52" s="59">
        <v>180</v>
      </c>
      <c r="BC52" s="91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J52+T52+AD52+AN52+AX52+BH52+BS52</f>
        <v>16</v>
      </c>
      <c r="F53" s="11">
        <f>L52+V52+AF52+AP52+AZ52+BJ52+BU52</f>
        <v>26</v>
      </c>
      <c r="G53" s="105"/>
      <c r="H53" s="2"/>
      <c r="I53" s="2"/>
      <c r="J53" s="92">
        <v>2</v>
      </c>
      <c r="K53" s="93"/>
      <c r="L53" s="70">
        <v>1</v>
      </c>
      <c r="M53" s="93"/>
      <c r="N53" s="70">
        <v>2</v>
      </c>
      <c r="O53" s="71"/>
      <c r="P53" s="4"/>
      <c r="Q53" s="4"/>
      <c r="R53" s="4"/>
      <c r="S53" s="4"/>
      <c r="T53" s="92">
        <v>2</v>
      </c>
      <c r="U53" s="93"/>
      <c r="V53" s="70">
        <v>1</v>
      </c>
      <c r="W53" s="93"/>
      <c r="X53" s="70">
        <v>2</v>
      </c>
      <c r="Y53" s="71"/>
      <c r="Z53" s="4"/>
      <c r="AA53" s="4"/>
      <c r="AB53" s="4"/>
      <c r="AC53" s="4"/>
      <c r="AD53" s="92">
        <v>2</v>
      </c>
      <c r="AE53" s="93"/>
      <c r="AF53" s="70">
        <v>1</v>
      </c>
      <c r="AG53" s="93"/>
      <c r="AH53" s="70">
        <v>2</v>
      </c>
      <c r="AI53" s="71"/>
      <c r="AJ53" s="4"/>
      <c r="AK53" s="4"/>
      <c r="AL53" s="4"/>
      <c r="AM53" s="4"/>
      <c r="AN53" s="92">
        <v>3</v>
      </c>
      <c r="AO53" s="93"/>
      <c r="AP53" s="70">
        <v>3</v>
      </c>
      <c r="AQ53" s="93"/>
      <c r="AR53" s="70">
        <v>0</v>
      </c>
      <c r="AS53" s="71"/>
      <c r="AT53" s="4"/>
      <c r="AU53" s="4"/>
      <c r="AV53" s="4"/>
      <c r="AW53" s="4"/>
      <c r="AX53" s="92">
        <v>2</v>
      </c>
      <c r="AY53" s="93"/>
      <c r="AZ53" s="70">
        <v>1</v>
      </c>
      <c r="BA53" s="93"/>
      <c r="BB53" s="70">
        <v>2</v>
      </c>
      <c r="BC53" s="71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2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167</v>
      </c>
      <c r="K60" s="25"/>
      <c r="L60" s="26"/>
      <c r="M60" s="38">
        <v>432</v>
      </c>
      <c r="N60" s="39"/>
      <c r="O60" s="40"/>
      <c r="P60" s="4"/>
      <c r="Q60" s="4"/>
      <c r="R60" s="4"/>
      <c r="S60" s="4"/>
      <c r="T60" s="24" t="s">
        <v>19</v>
      </c>
      <c r="U60" s="25"/>
      <c r="V60" s="26"/>
      <c r="W60" s="38">
        <v>271</v>
      </c>
      <c r="X60" s="39"/>
      <c r="Y60" s="40"/>
      <c r="Z60" s="4"/>
      <c r="AA60" s="4"/>
      <c r="AB60" s="4"/>
      <c r="AC60" s="4"/>
      <c r="AD60" s="24" t="s">
        <v>19</v>
      </c>
      <c r="AE60" s="25"/>
      <c r="AF60" s="26"/>
      <c r="AG60" s="38">
        <v>272</v>
      </c>
      <c r="AH60" s="102"/>
      <c r="AI60" s="103"/>
      <c r="AJ60" s="4"/>
      <c r="AK60" s="4"/>
      <c r="AL60" s="4"/>
      <c r="AM60" s="4"/>
      <c r="AN60" s="24" t="s">
        <v>19</v>
      </c>
      <c r="AO60" s="25"/>
      <c r="AP60" s="26"/>
      <c r="AQ60" s="38">
        <v>344</v>
      </c>
      <c r="AR60" s="39"/>
      <c r="AS60" s="40"/>
      <c r="AT60" s="4"/>
      <c r="AU60" s="4"/>
      <c r="AV60" s="4"/>
      <c r="AW60" s="4"/>
      <c r="AX60" s="24" t="s">
        <v>19</v>
      </c>
      <c r="AY60" s="25"/>
      <c r="AZ60" s="26"/>
      <c r="BA60" s="38">
        <v>363</v>
      </c>
      <c r="BB60" s="102"/>
      <c r="BC60" s="103"/>
      <c r="BD60" s="4"/>
      <c r="BE60" s="4"/>
      <c r="BF60" s="4"/>
      <c r="BG60" s="4"/>
      <c r="BH60" s="24" t="s">
        <v>131</v>
      </c>
      <c r="BI60" s="25"/>
      <c r="BJ60" s="26"/>
      <c r="BK60" s="38" t="s">
        <v>109</v>
      </c>
      <c r="BL60" s="39"/>
      <c r="BM60" s="40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930</v>
      </c>
      <c r="H61" s="2"/>
      <c r="I61" s="2"/>
      <c r="J61" s="30" t="s">
        <v>27</v>
      </c>
      <c r="K61" s="31"/>
      <c r="L61" s="31"/>
      <c r="M61" s="31"/>
      <c r="N61" s="32"/>
      <c r="O61" s="33"/>
      <c r="P61" s="4"/>
      <c r="Q61" s="4"/>
      <c r="R61" s="4"/>
      <c r="S61" s="4"/>
      <c r="T61" s="94" t="s">
        <v>202</v>
      </c>
      <c r="U61" s="95"/>
      <c r="V61" s="95"/>
      <c r="W61" s="95"/>
      <c r="X61" s="96"/>
      <c r="Y61" s="97"/>
      <c r="Z61" s="4"/>
      <c r="AA61" s="4"/>
      <c r="AB61" s="4"/>
      <c r="AC61" s="4"/>
      <c r="AD61" s="94" t="s">
        <v>203</v>
      </c>
      <c r="AE61" s="95"/>
      <c r="AF61" s="95"/>
      <c r="AG61" s="95"/>
      <c r="AH61" s="96"/>
      <c r="AI61" s="97"/>
      <c r="AJ61" s="4"/>
      <c r="AK61" s="4"/>
      <c r="AL61" s="4"/>
      <c r="AM61" s="4"/>
      <c r="AN61" s="53" t="s">
        <v>204</v>
      </c>
      <c r="AO61" s="54"/>
      <c r="AP61" s="54"/>
      <c r="AQ61" s="54"/>
      <c r="AR61" s="55"/>
      <c r="AS61" s="56"/>
      <c r="AT61" s="4"/>
      <c r="AU61" s="4"/>
      <c r="AV61" s="4"/>
      <c r="AW61" s="4"/>
      <c r="AX61" s="53" t="s">
        <v>72</v>
      </c>
      <c r="AY61" s="54"/>
      <c r="AZ61" s="54"/>
      <c r="BA61" s="54"/>
      <c r="BB61" s="55"/>
      <c r="BC61" s="56"/>
      <c r="BD61" s="4"/>
      <c r="BE61" s="4"/>
      <c r="BF61" s="4"/>
      <c r="BG61" s="4"/>
      <c r="BH61" s="114" t="s">
        <v>20</v>
      </c>
      <c r="BI61" s="115"/>
      <c r="BJ61" s="115"/>
      <c r="BK61" s="115"/>
      <c r="BL61" s="116"/>
      <c r="BM61" s="117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34">
        <v>3</v>
      </c>
      <c r="K62" s="35"/>
      <c r="L62" s="36">
        <v>4</v>
      </c>
      <c r="M62" s="35"/>
      <c r="N62" s="36">
        <v>150</v>
      </c>
      <c r="O62" s="37"/>
      <c r="P62" s="4"/>
      <c r="Q62" s="4"/>
      <c r="R62" s="4"/>
      <c r="S62" s="4"/>
      <c r="T62" s="98">
        <v>3</v>
      </c>
      <c r="U62" s="99"/>
      <c r="V62" s="100">
        <v>5</v>
      </c>
      <c r="W62" s="99"/>
      <c r="X62" s="100">
        <v>180</v>
      </c>
      <c r="Y62" s="101"/>
      <c r="Z62" s="4"/>
      <c r="AA62" s="4"/>
      <c r="AB62" s="4"/>
      <c r="AC62" s="4"/>
      <c r="AD62" s="98">
        <v>3</v>
      </c>
      <c r="AE62" s="99"/>
      <c r="AF62" s="100">
        <v>5</v>
      </c>
      <c r="AG62" s="99"/>
      <c r="AH62" s="100">
        <v>150</v>
      </c>
      <c r="AI62" s="101"/>
      <c r="AJ62" s="4"/>
      <c r="AK62" s="4"/>
      <c r="AL62" s="4"/>
      <c r="AM62" s="4"/>
      <c r="AN62" s="57">
        <v>3</v>
      </c>
      <c r="AO62" s="58"/>
      <c r="AP62" s="59">
        <v>5</v>
      </c>
      <c r="AQ62" s="58"/>
      <c r="AR62" s="59">
        <v>180</v>
      </c>
      <c r="AS62" s="91"/>
      <c r="AT62" s="4"/>
      <c r="AU62" s="4"/>
      <c r="AV62" s="4"/>
      <c r="AW62" s="4"/>
      <c r="AX62" s="57">
        <v>3</v>
      </c>
      <c r="AY62" s="58"/>
      <c r="AZ62" s="59">
        <v>5</v>
      </c>
      <c r="BA62" s="58"/>
      <c r="BB62" s="59">
        <v>180</v>
      </c>
      <c r="BC62" s="91"/>
      <c r="BD62" s="4"/>
      <c r="BE62" s="4"/>
      <c r="BF62" s="4"/>
      <c r="BG62" s="4"/>
      <c r="BH62" s="110">
        <v>2</v>
      </c>
      <c r="BI62" s="111"/>
      <c r="BJ62" s="108">
        <v>2</v>
      </c>
      <c r="BK62" s="111"/>
      <c r="BL62" s="108">
        <v>90</v>
      </c>
      <c r="BM62" s="109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17</v>
      </c>
      <c r="F63" s="11">
        <f>SUM(J63:BM63)</f>
        <v>26</v>
      </c>
      <c r="G63" s="105"/>
      <c r="H63" s="2"/>
      <c r="I63" s="2"/>
      <c r="J63" s="20">
        <v>2</v>
      </c>
      <c r="K63" s="21"/>
      <c r="L63" s="22">
        <v>1</v>
      </c>
      <c r="M63" s="21"/>
      <c r="N63" s="22">
        <v>1</v>
      </c>
      <c r="O63" s="23"/>
      <c r="P63" s="4"/>
      <c r="Q63" s="4"/>
      <c r="R63" s="4"/>
      <c r="S63" s="4"/>
      <c r="T63" s="72">
        <v>2</v>
      </c>
      <c r="U63" s="73"/>
      <c r="V63" s="68">
        <v>1</v>
      </c>
      <c r="W63" s="73"/>
      <c r="X63" s="68">
        <v>2</v>
      </c>
      <c r="Y63" s="69"/>
      <c r="Z63" s="4"/>
      <c r="AA63" s="4"/>
      <c r="AB63" s="4"/>
      <c r="AC63" s="4"/>
      <c r="AD63" s="72">
        <v>2</v>
      </c>
      <c r="AE63" s="73"/>
      <c r="AF63" s="68">
        <v>1</v>
      </c>
      <c r="AG63" s="73"/>
      <c r="AH63" s="68">
        <v>2</v>
      </c>
      <c r="AI63" s="69"/>
      <c r="AJ63" s="4"/>
      <c r="AK63" s="4"/>
      <c r="AL63" s="4"/>
      <c r="AM63" s="4"/>
      <c r="AN63" s="92">
        <v>2</v>
      </c>
      <c r="AO63" s="93"/>
      <c r="AP63" s="70">
        <v>1</v>
      </c>
      <c r="AQ63" s="93"/>
      <c r="AR63" s="70">
        <v>2</v>
      </c>
      <c r="AS63" s="71"/>
      <c r="AT63" s="4"/>
      <c r="AU63" s="4"/>
      <c r="AV63" s="4"/>
      <c r="AW63" s="4"/>
      <c r="AX63" s="92">
        <v>2</v>
      </c>
      <c r="AY63" s="93"/>
      <c r="AZ63" s="70">
        <v>1</v>
      </c>
      <c r="BA63" s="93"/>
      <c r="BB63" s="70">
        <v>2</v>
      </c>
      <c r="BC63" s="71"/>
      <c r="BD63" s="4"/>
      <c r="BE63" s="4"/>
      <c r="BF63" s="4"/>
      <c r="BG63" s="4"/>
      <c r="BH63" s="112">
        <v>2</v>
      </c>
      <c r="BI63" s="113"/>
      <c r="BJ63" s="106">
        <v>0</v>
      </c>
      <c r="BK63" s="113"/>
      <c r="BL63" s="106">
        <v>0</v>
      </c>
      <c r="BM63" s="107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ht="14.55" customHeight="1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19</v>
      </c>
      <c r="K68" s="25"/>
      <c r="L68" s="26"/>
      <c r="M68" s="38">
        <v>373</v>
      </c>
      <c r="N68" s="39"/>
      <c r="O68" s="40"/>
      <c r="P68" s="4"/>
      <c r="Q68" s="4"/>
      <c r="R68" s="4"/>
      <c r="S68" s="4"/>
      <c r="T68" s="24" t="s">
        <v>19</v>
      </c>
      <c r="U68" s="25"/>
      <c r="V68" s="26"/>
      <c r="W68" s="38">
        <v>446</v>
      </c>
      <c r="X68" s="102"/>
      <c r="Y68" s="103"/>
      <c r="Z68" s="4"/>
      <c r="AA68" s="4"/>
      <c r="AB68" s="4"/>
      <c r="AC68" s="4"/>
      <c r="AD68" s="24" t="s">
        <v>19</v>
      </c>
      <c r="AE68" s="25"/>
      <c r="AF68" s="26"/>
      <c r="AG68" s="38">
        <v>464</v>
      </c>
      <c r="AH68" s="102"/>
      <c r="AI68" s="103"/>
      <c r="AJ68" s="4"/>
      <c r="AK68" s="4"/>
      <c r="AL68" s="4"/>
      <c r="AM68" s="4"/>
      <c r="AN68" s="24" t="s">
        <v>19</v>
      </c>
      <c r="AO68" s="25"/>
      <c r="AP68" s="26"/>
      <c r="AQ68" s="38">
        <v>475</v>
      </c>
      <c r="AR68" s="102"/>
      <c r="AS68" s="103"/>
      <c r="AT68" s="4"/>
      <c r="AU68" s="4"/>
      <c r="AV68" s="4"/>
      <c r="AW68" s="4"/>
      <c r="AX68" s="24" t="s">
        <v>19</v>
      </c>
      <c r="AY68" s="25"/>
      <c r="AZ68" s="26"/>
      <c r="BA68" s="38">
        <v>392</v>
      </c>
      <c r="BB68" s="39"/>
      <c r="BC68" s="40"/>
      <c r="BD68" s="4"/>
      <c r="BE68" s="4"/>
      <c r="BF68" s="4"/>
      <c r="BG68" s="4"/>
      <c r="BH68" s="24" t="s">
        <v>135</v>
      </c>
      <c r="BI68" s="25"/>
      <c r="BJ68" s="26"/>
      <c r="BK68" s="38" t="s">
        <v>111</v>
      </c>
      <c r="BL68" s="39"/>
      <c r="BM68" s="40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870</v>
      </c>
      <c r="H69" s="2"/>
      <c r="I69" s="2"/>
      <c r="J69" s="94" t="s">
        <v>205</v>
      </c>
      <c r="K69" s="95"/>
      <c r="L69" s="95"/>
      <c r="M69" s="95"/>
      <c r="N69" s="96"/>
      <c r="O69" s="97"/>
      <c r="P69" s="4"/>
      <c r="Q69" s="4"/>
      <c r="R69" s="4"/>
      <c r="S69" s="4"/>
      <c r="T69" s="94" t="s">
        <v>206</v>
      </c>
      <c r="U69" s="95"/>
      <c r="V69" s="95"/>
      <c r="W69" s="95"/>
      <c r="X69" s="96"/>
      <c r="Y69" s="97"/>
      <c r="Z69" s="4"/>
      <c r="AA69" s="4"/>
      <c r="AB69" s="4"/>
      <c r="AC69" s="4"/>
      <c r="AD69" s="94" t="s">
        <v>74</v>
      </c>
      <c r="AE69" s="95"/>
      <c r="AF69" s="95"/>
      <c r="AG69" s="95"/>
      <c r="AH69" s="96"/>
      <c r="AI69" s="97"/>
      <c r="AJ69" s="4"/>
      <c r="AK69" s="4"/>
      <c r="AL69" s="4"/>
      <c r="AM69" s="4"/>
      <c r="AN69" s="94" t="s">
        <v>207</v>
      </c>
      <c r="AO69" s="95"/>
      <c r="AP69" s="95"/>
      <c r="AQ69" s="95"/>
      <c r="AR69" s="96"/>
      <c r="AS69" s="97"/>
      <c r="AT69" s="4"/>
      <c r="AU69" s="4"/>
      <c r="AV69" s="4"/>
      <c r="AW69" s="4"/>
      <c r="AX69" s="41" t="s">
        <v>249</v>
      </c>
      <c r="AY69" s="42"/>
      <c r="AZ69" s="42"/>
      <c r="BA69" s="42"/>
      <c r="BB69" s="43"/>
      <c r="BC69" s="44"/>
      <c r="BD69" s="4"/>
      <c r="BE69" s="4"/>
      <c r="BF69" s="4"/>
      <c r="BG69" s="4"/>
      <c r="BH69" s="114" t="s">
        <v>134</v>
      </c>
      <c r="BI69" s="115"/>
      <c r="BJ69" s="115"/>
      <c r="BK69" s="115"/>
      <c r="BL69" s="116"/>
      <c r="BM69" s="117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98">
        <v>3</v>
      </c>
      <c r="K70" s="99"/>
      <c r="L70" s="100">
        <v>5</v>
      </c>
      <c r="M70" s="99"/>
      <c r="N70" s="100">
        <v>180</v>
      </c>
      <c r="O70" s="101"/>
      <c r="P70" s="4"/>
      <c r="Q70" s="4"/>
      <c r="R70" s="4"/>
      <c r="S70" s="4"/>
      <c r="T70" s="98">
        <v>3</v>
      </c>
      <c r="U70" s="99"/>
      <c r="V70" s="100">
        <v>5</v>
      </c>
      <c r="W70" s="99"/>
      <c r="X70" s="100">
        <v>180</v>
      </c>
      <c r="Y70" s="101"/>
      <c r="Z70" s="4"/>
      <c r="AA70" s="4"/>
      <c r="AB70" s="4"/>
      <c r="AC70" s="4"/>
      <c r="AD70" s="98">
        <v>3</v>
      </c>
      <c r="AE70" s="99"/>
      <c r="AF70" s="100">
        <v>5</v>
      </c>
      <c r="AG70" s="99"/>
      <c r="AH70" s="100">
        <v>180</v>
      </c>
      <c r="AI70" s="101"/>
      <c r="AJ70" s="4"/>
      <c r="AK70" s="4"/>
      <c r="AL70" s="4"/>
      <c r="AM70" s="4"/>
      <c r="AN70" s="98">
        <v>3</v>
      </c>
      <c r="AO70" s="99"/>
      <c r="AP70" s="100">
        <v>5</v>
      </c>
      <c r="AQ70" s="99"/>
      <c r="AR70" s="100">
        <v>180</v>
      </c>
      <c r="AS70" s="101"/>
      <c r="AT70" s="4"/>
      <c r="AU70" s="4"/>
      <c r="AV70" s="4"/>
      <c r="AW70" s="4"/>
      <c r="AX70" s="45">
        <v>2</v>
      </c>
      <c r="AY70" s="46"/>
      <c r="AZ70" s="47">
        <v>2</v>
      </c>
      <c r="BA70" s="46"/>
      <c r="BB70" s="47">
        <v>60</v>
      </c>
      <c r="BC70" s="48"/>
      <c r="BD70" s="4"/>
      <c r="BE70" s="4"/>
      <c r="BF70" s="4"/>
      <c r="BG70" s="4"/>
      <c r="BH70" s="110">
        <v>2</v>
      </c>
      <c r="BI70" s="111"/>
      <c r="BJ70" s="108">
        <v>2</v>
      </c>
      <c r="BK70" s="111"/>
      <c r="BL70" s="108">
        <v>90</v>
      </c>
      <c r="BM70" s="109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SUM(J70,T70,AD70,AN70,AX70,BH70)</f>
        <v>16</v>
      </c>
      <c r="F71" s="11">
        <f>L70+V70+AF70+AP70+AZ70+BJ70</f>
        <v>24</v>
      </c>
      <c r="G71" s="105"/>
      <c r="H71" s="2"/>
      <c r="I71" s="2"/>
      <c r="J71" s="72">
        <v>2</v>
      </c>
      <c r="K71" s="73"/>
      <c r="L71" s="68">
        <v>1</v>
      </c>
      <c r="M71" s="73"/>
      <c r="N71" s="68">
        <v>2</v>
      </c>
      <c r="O71" s="69"/>
      <c r="P71" s="4"/>
      <c r="Q71" s="4"/>
      <c r="R71" s="4"/>
      <c r="S71" s="4"/>
      <c r="T71" s="72">
        <v>2</v>
      </c>
      <c r="U71" s="73"/>
      <c r="V71" s="68">
        <v>1</v>
      </c>
      <c r="W71" s="73"/>
      <c r="X71" s="68">
        <v>2</v>
      </c>
      <c r="Y71" s="69"/>
      <c r="Z71" s="4"/>
      <c r="AA71" s="4"/>
      <c r="AB71" s="4"/>
      <c r="AC71" s="4"/>
      <c r="AD71" s="72">
        <v>2</v>
      </c>
      <c r="AE71" s="73"/>
      <c r="AF71" s="68">
        <v>1</v>
      </c>
      <c r="AG71" s="73"/>
      <c r="AH71" s="68">
        <v>2</v>
      </c>
      <c r="AI71" s="69"/>
      <c r="AJ71" s="4"/>
      <c r="AK71" s="4"/>
      <c r="AL71" s="4"/>
      <c r="AM71" s="4"/>
      <c r="AN71" s="72">
        <v>2</v>
      </c>
      <c r="AO71" s="73"/>
      <c r="AP71" s="68">
        <v>1</v>
      </c>
      <c r="AQ71" s="73"/>
      <c r="AR71" s="68">
        <v>2</v>
      </c>
      <c r="AS71" s="69"/>
      <c r="AT71" s="4"/>
      <c r="AU71" s="4"/>
      <c r="AV71" s="4"/>
      <c r="AW71" s="4"/>
      <c r="AX71" s="49">
        <v>2</v>
      </c>
      <c r="AY71" s="50"/>
      <c r="AZ71" s="51">
        <v>0</v>
      </c>
      <c r="BA71" s="50"/>
      <c r="BB71" s="51">
        <v>0</v>
      </c>
      <c r="BC71" s="52"/>
      <c r="BD71" s="4"/>
      <c r="BE71" s="4"/>
      <c r="BF71" s="4"/>
      <c r="BG71" s="4"/>
      <c r="BH71" s="112">
        <v>2</v>
      </c>
      <c r="BI71" s="113"/>
      <c r="BJ71" s="106">
        <v>0</v>
      </c>
      <c r="BK71" s="113"/>
      <c r="BL71" s="106">
        <v>0</v>
      </c>
      <c r="BM71" s="107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x14ac:dyDescent="0.3"/>
    <row r="77" spans="2:135" ht="10.050000000000001" customHeight="1" thickBot="1" x14ac:dyDescent="0.35">
      <c r="B77" s="118" t="s">
        <v>1</v>
      </c>
      <c r="C77" s="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2:135" ht="15" customHeight="1" x14ac:dyDescent="0.3">
      <c r="B78" s="118"/>
      <c r="C78" s="1"/>
      <c r="D78" s="119" t="s">
        <v>5</v>
      </c>
      <c r="E78" s="11"/>
      <c r="F78" s="11"/>
      <c r="G78" s="2"/>
      <c r="H78" s="2"/>
      <c r="I78" s="2"/>
      <c r="J78" s="24" t="s">
        <v>252</v>
      </c>
      <c r="K78" s="25"/>
      <c r="L78" s="26"/>
      <c r="M78" s="38" t="s">
        <v>111</v>
      </c>
      <c r="N78" s="39"/>
      <c r="O78" s="40"/>
      <c r="P78" s="4"/>
      <c r="Q78" s="4"/>
      <c r="R78" s="4"/>
      <c r="S78" s="4"/>
      <c r="T78" s="24" t="s">
        <v>254</v>
      </c>
      <c r="U78" s="25"/>
      <c r="V78" s="26"/>
      <c r="W78" s="38" t="s">
        <v>111</v>
      </c>
      <c r="X78" s="39"/>
      <c r="Y78" s="40"/>
      <c r="Z78" s="4"/>
      <c r="AA78" s="4"/>
      <c r="AB78" s="4"/>
      <c r="AC78" s="4"/>
      <c r="AD78" s="24" t="s">
        <v>19</v>
      </c>
      <c r="AE78" s="25"/>
      <c r="AF78" s="26"/>
      <c r="AG78" s="38">
        <v>411</v>
      </c>
      <c r="AH78" s="102"/>
      <c r="AI78" s="103"/>
      <c r="AJ78" s="4"/>
      <c r="AK78" s="4"/>
      <c r="AL78" s="4"/>
      <c r="AM78" s="4"/>
      <c r="AN78" s="24" t="s">
        <v>19</v>
      </c>
      <c r="AO78" s="25"/>
      <c r="AP78" s="26"/>
      <c r="AQ78" s="38">
        <v>493</v>
      </c>
      <c r="AR78" s="102"/>
      <c r="AS78" s="103"/>
      <c r="AT78" s="4"/>
      <c r="AU78" s="4"/>
      <c r="AV78" s="4"/>
      <c r="AW78" s="4"/>
      <c r="AX78" s="24" t="s">
        <v>141</v>
      </c>
      <c r="AY78" s="25"/>
      <c r="AZ78" s="26"/>
      <c r="BA78" s="38" t="s">
        <v>111</v>
      </c>
      <c r="BB78" s="39"/>
      <c r="BC78" s="40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79" s="118"/>
      <c r="C79" s="1"/>
      <c r="D79" s="119"/>
      <c r="E79" s="120" t="s">
        <v>16</v>
      </c>
      <c r="F79" s="120" t="s">
        <v>17</v>
      </c>
      <c r="G79" s="13">
        <f>SUM(N80,X80,AH80,AR80,BB80,BL98,BL80)</f>
        <v>810</v>
      </c>
      <c r="H79" s="2"/>
      <c r="I79" s="2"/>
      <c r="J79" s="76" t="s">
        <v>140</v>
      </c>
      <c r="K79" s="77"/>
      <c r="L79" s="77"/>
      <c r="M79" s="77"/>
      <c r="N79" s="77"/>
      <c r="O79" s="78"/>
      <c r="P79" s="4"/>
      <c r="Q79" s="4"/>
      <c r="R79" s="4"/>
      <c r="S79" s="4"/>
      <c r="T79" s="76" t="s">
        <v>143</v>
      </c>
      <c r="U79" s="77"/>
      <c r="V79" s="77"/>
      <c r="W79" s="77"/>
      <c r="X79" s="77"/>
      <c r="Y79" s="78"/>
      <c r="Z79" s="4"/>
      <c r="AA79" s="4"/>
      <c r="AB79" s="4"/>
      <c r="AC79" s="4"/>
      <c r="AD79" s="94" t="s">
        <v>208</v>
      </c>
      <c r="AE79" s="95"/>
      <c r="AF79" s="95"/>
      <c r="AG79" s="95"/>
      <c r="AH79" s="96"/>
      <c r="AI79" s="97"/>
      <c r="AJ79" s="4"/>
      <c r="AK79" s="4"/>
      <c r="AL79" s="4"/>
      <c r="AM79" s="4"/>
      <c r="AN79" s="87" t="s">
        <v>63</v>
      </c>
      <c r="AO79" s="88"/>
      <c r="AP79" s="88"/>
      <c r="AQ79" s="88"/>
      <c r="AR79" s="88"/>
      <c r="AS79" s="89"/>
      <c r="AT79" s="4"/>
      <c r="AU79" s="4"/>
      <c r="AV79" s="4"/>
      <c r="AW79" s="4"/>
      <c r="AX79" s="114" t="s">
        <v>142</v>
      </c>
      <c r="AY79" s="115"/>
      <c r="AZ79" s="115"/>
      <c r="BA79" s="115"/>
      <c r="BB79" s="116"/>
      <c r="BC79" s="117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80" s="118"/>
      <c r="C80" s="1"/>
      <c r="D80" s="119"/>
      <c r="E80" s="120"/>
      <c r="F80" s="120"/>
      <c r="G80" s="105"/>
      <c r="H80" s="121"/>
      <c r="I80" s="122"/>
      <c r="J80" s="79">
        <v>3</v>
      </c>
      <c r="K80" s="80"/>
      <c r="L80" s="81">
        <v>5</v>
      </c>
      <c r="M80" s="80"/>
      <c r="N80" s="81">
        <v>180</v>
      </c>
      <c r="O80" s="82"/>
      <c r="P80" s="4"/>
      <c r="Q80" s="4"/>
      <c r="R80" s="4"/>
      <c r="S80" s="4"/>
      <c r="T80" s="79">
        <v>3</v>
      </c>
      <c r="U80" s="80"/>
      <c r="V80" s="81">
        <v>5</v>
      </c>
      <c r="W80" s="80"/>
      <c r="X80" s="81">
        <v>180</v>
      </c>
      <c r="Y80" s="82"/>
      <c r="Z80" s="4"/>
      <c r="AA80" s="4"/>
      <c r="AB80" s="4"/>
      <c r="AC80" s="4"/>
      <c r="AD80" s="98">
        <v>3</v>
      </c>
      <c r="AE80" s="99"/>
      <c r="AF80" s="100">
        <v>5</v>
      </c>
      <c r="AG80" s="99"/>
      <c r="AH80" s="100">
        <v>180</v>
      </c>
      <c r="AI80" s="101"/>
      <c r="AJ80" s="4"/>
      <c r="AK80" s="4"/>
      <c r="AL80" s="4"/>
      <c r="AM80" s="4"/>
      <c r="AN80" s="45">
        <v>3</v>
      </c>
      <c r="AO80" s="46"/>
      <c r="AP80" s="47">
        <v>5</v>
      </c>
      <c r="AQ80" s="46"/>
      <c r="AR80" s="47">
        <v>180</v>
      </c>
      <c r="AS80" s="48"/>
      <c r="AT80" s="4"/>
      <c r="AU80" s="4"/>
      <c r="AV80" s="4"/>
      <c r="AW80" s="4"/>
      <c r="AX80" s="110">
        <v>2</v>
      </c>
      <c r="AY80" s="111"/>
      <c r="AZ80" s="108">
        <v>2</v>
      </c>
      <c r="BA80" s="111"/>
      <c r="BB80" s="108">
        <v>90</v>
      </c>
      <c r="BC80" s="109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2:135" ht="15" thickBot="1" x14ac:dyDescent="0.35">
      <c r="B81" s="118"/>
      <c r="C81" s="1"/>
      <c r="D81" s="119"/>
      <c r="E81" s="11">
        <f>SUM(J80,T80,AD80,AN80,AX80,BH80)</f>
        <v>14</v>
      </c>
      <c r="F81" s="11">
        <f>SUM(J81:BM81)</f>
        <v>22</v>
      </c>
      <c r="G81" s="105"/>
      <c r="H81" s="2"/>
      <c r="I81" s="2"/>
      <c r="J81" s="83">
        <v>2</v>
      </c>
      <c r="K81" s="84"/>
      <c r="L81" s="85">
        <v>1</v>
      </c>
      <c r="M81" s="84"/>
      <c r="N81" s="85">
        <v>2</v>
      </c>
      <c r="O81" s="86"/>
      <c r="P81" s="4"/>
      <c r="Q81" s="4"/>
      <c r="R81" s="4"/>
      <c r="S81" s="4"/>
      <c r="T81" s="83">
        <v>2</v>
      </c>
      <c r="U81" s="84"/>
      <c r="V81" s="85">
        <v>1</v>
      </c>
      <c r="W81" s="84"/>
      <c r="X81" s="85">
        <v>2</v>
      </c>
      <c r="Y81" s="86"/>
      <c r="Z81" s="4"/>
      <c r="AA81" s="4"/>
      <c r="AB81" s="4"/>
      <c r="AC81" s="4"/>
      <c r="AD81" s="72">
        <v>2</v>
      </c>
      <c r="AE81" s="73"/>
      <c r="AF81" s="68">
        <v>1</v>
      </c>
      <c r="AG81" s="73"/>
      <c r="AH81" s="68">
        <v>2</v>
      </c>
      <c r="AI81" s="69"/>
      <c r="AJ81" s="4"/>
      <c r="AK81" s="4"/>
      <c r="AL81" s="4"/>
      <c r="AM81" s="4"/>
      <c r="AN81" s="49">
        <v>2</v>
      </c>
      <c r="AO81" s="50"/>
      <c r="AP81" s="51">
        <v>0</v>
      </c>
      <c r="AQ81" s="50"/>
      <c r="AR81" s="51">
        <v>3</v>
      </c>
      <c r="AS81" s="52"/>
      <c r="AT81" s="4"/>
      <c r="AU81" s="4"/>
      <c r="AV81" s="4"/>
      <c r="AW81" s="4"/>
      <c r="AX81" s="112">
        <v>2</v>
      </c>
      <c r="AY81" s="113"/>
      <c r="AZ81" s="106">
        <v>0</v>
      </c>
      <c r="BA81" s="113"/>
      <c r="BB81" s="106">
        <v>0</v>
      </c>
      <c r="BC81" s="107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2:135" ht="10.050000000000001" customHeight="1" x14ac:dyDescent="0.3">
      <c r="B82" s="118"/>
      <c r="C82" s="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2:135" ht="10.050000000000001" customHeight="1" x14ac:dyDescent="0.3">
      <c r="B83" s="118"/>
      <c r="C83" s="3"/>
    </row>
    <row r="84" spans="2:135" ht="10.050000000000001" customHeight="1" x14ac:dyDescent="0.3">
      <c r="B84" s="118"/>
      <c r="C84" s="3"/>
    </row>
    <row r="85" spans="2:135" ht="10.050000000000001" customHeight="1" thickBot="1" x14ac:dyDescent="0.35">
      <c r="B85" s="118"/>
      <c r="C85" s="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2:135" ht="15" customHeight="1" x14ac:dyDescent="0.3">
      <c r="B86" s="118"/>
      <c r="C86" s="1"/>
      <c r="D86" s="119" t="s">
        <v>6</v>
      </c>
      <c r="E86" s="11"/>
      <c r="F86" s="11"/>
      <c r="G86" s="2"/>
      <c r="H86" s="2"/>
      <c r="I86" s="2"/>
      <c r="J86" s="24" t="s">
        <v>255</v>
      </c>
      <c r="K86" s="25"/>
      <c r="L86" s="26"/>
      <c r="M86" s="38" t="s">
        <v>111</v>
      </c>
      <c r="N86" s="39"/>
      <c r="O86" s="40"/>
      <c r="P86" s="4"/>
      <c r="Q86" s="4"/>
      <c r="R86" s="4"/>
      <c r="S86" s="4"/>
      <c r="T86" s="24" t="s">
        <v>256</v>
      </c>
      <c r="U86" s="25"/>
      <c r="V86" s="26"/>
      <c r="W86" s="38" t="s">
        <v>112</v>
      </c>
      <c r="X86" s="39"/>
      <c r="Y86" s="40"/>
      <c r="Z86" s="4"/>
      <c r="AA86" s="4"/>
      <c r="AB86" s="4"/>
      <c r="AC86" s="4"/>
      <c r="AD86" s="24" t="s">
        <v>19</v>
      </c>
      <c r="AE86" s="25"/>
      <c r="AF86" s="26"/>
      <c r="AG86" s="38">
        <v>476</v>
      </c>
      <c r="AH86" s="102"/>
      <c r="AI86" s="103"/>
      <c r="AJ86" s="4"/>
      <c r="AK86" s="4"/>
      <c r="AL86" s="4"/>
      <c r="AM86" s="4"/>
      <c r="AN86" s="24" t="s">
        <v>19</v>
      </c>
      <c r="AO86" s="25"/>
      <c r="AP86" s="26"/>
      <c r="AQ86" s="38">
        <v>494</v>
      </c>
      <c r="AR86" s="39"/>
      <c r="AS86" s="40"/>
      <c r="AT86" s="4"/>
      <c r="AU86" s="4"/>
      <c r="AV86" s="4"/>
      <c r="AW86" s="4"/>
      <c r="AX86" s="24" t="s">
        <v>144</v>
      </c>
      <c r="AY86" s="25"/>
      <c r="AZ86" s="26"/>
      <c r="BA86" s="38" t="s">
        <v>111</v>
      </c>
      <c r="BB86" s="39"/>
      <c r="BC86" s="40"/>
      <c r="BD86" s="4"/>
      <c r="BE86" s="4"/>
      <c r="BF86" s="4"/>
      <c r="BG86" s="4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2:135" ht="48.75" customHeight="1" x14ac:dyDescent="0.3">
      <c r="B87" s="118"/>
      <c r="C87" s="1"/>
      <c r="D87" s="119"/>
      <c r="E87" s="120" t="s">
        <v>16</v>
      </c>
      <c r="F87" s="120" t="s">
        <v>17</v>
      </c>
      <c r="G87" s="13">
        <f>SUM(N88,X88,AH88,AR88,BB88,BL106)</f>
        <v>810</v>
      </c>
      <c r="H87" s="2"/>
      <c r="I87" s="2"/>
      <c r="J87" s="76" t="s">
        <v>145</v>
      </c>
      <c r="K87" s="77"/>
      <c r="L87" s="77"/>
      <c r="M87" s="77"/>
      <c r="N87" s="77"/>
      <c r="O87" s="78"/>
      <c r="P87" s="4"/>
      <c r="Q87" s="4"/>
      <c r="R87" s="4"/>
      <c r="S87" s="4"/>
      <c r="T87" s="76" t="s">
        <v>146</v>
      </c>
      <c r="U87" s="77"/>
      <c r="V87" s="77"/>
      <c r="W87" s="77"/>
      <c r="X87" s="77"/>
      <c r="Y87" s="78"/>
      <c r="Z87" s="4"/>
      <c r="AA87" s="4"/>
      <c r="AB87" s="4"/>
      <c r="AC87" s="4"/>
      <c r="AD87" s="94" t="s">
        <v>209</v>
      </c>
      <c r="AE87" s="95"/>
      <c r="AF87" s="95"/>
      <c r="AG87" s="95"/>
      <c r="AH87" s="96"/>
      <c r="AI87" s="97"/>
      <c r="AJ87" s="4"/>
      <c r="AK87" s="4"/>
      <c r="AL87" s="4"/>
      <c r="AM87" s="4"/>
      <c r="AN87" s="87" t="s">
        <v>64</v>
      </c>
      <c r="AO87" s="88"/>
      <c r="AP87" s="88"/>
      <c r="AQ87" s="88"/>
      <c r="AR87" s="88"/>
      <c r="AS87" s="89"/>
      <c r="AT87" s="4"/>
      <c r="AU87" s="4"/>
      <c r="AV87" s="4"/>
      <c r="AW87" s="4"/>
      <c r="AX87" s="114" t="s">
        <v>106</v>
      </c>
      <c r="AY87" s="115"/>
      <c r="AZ87" s="115"/>
      <c r="BA87" s="115"/>
      <c r="BB87" s="116"/>
      <c r="BC87" s="117"/>
      <c r="BD87" s="4"/>
      <c r="BE87" s="4"/>
      <c r="BF87" s="4"/>
      <c r="BG87" s="4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2:135" x14ac:dyDescent="0.3">
      <c r="B88" s="118"/>
      <c r="C88" s="1"/>
      <c r="D88" s="119"/>
      <c r="E88" s="120"/>
      <c r="F88" s="120"/>
      <c r="G88" s="105"/>
      <c r="H88" s="121"/>
      <c r="I88" s="122"/>
      <c r="J88" s="79">
        <v>3</v>
      </c>
      <c r="K88" s="80"/>
      <c r="L88" s="81">
        <v>5</v>
      </c>
      <c r="M88" s="80"/>
      <c r="N88" s="81">
        <v>180</v>
      </c>
      <c r="O88" s="82"/>
      <c r="P88" s="4"/>
      <c r="Q88" s="4"/>
      <c r="R88" s="4"/>
      <c r="S88" s="4"/>
      <c r="T88" s="79">
        <v>3</v>
      </c>
      <c r="U88" s="80"/>
      <c r="V88" s="81">
        <v>5</v>
      </c>
      <c r="W88" s="80"/>
      <c r="X88" s="81">
        <v>180</v>
      </c>
      <c r="Y88" s="82"/>
      <c r="Z88" s="4"/>
      <c r="AA88" s="4"/>
      <c r="AB88" s="4"/>
      <c r="AC88" s="4"/>
      <c r="AD88" s="98">
        <v>3</v>
      </c>
      <c r="AE88" s="99"/>
      <c r="AF88" s="100">
        <v>5</v>
      </c>
      <c r="AG88" s="99"/>
      <c r="AH88" s="100">
        <v>180</v>
      </c>
      <c r="AI88" s="101"/>
      <c r="AJ88" s="4"/>
      <c r="AK88" s="4"/>
      <c r="AL88" s="4"/>
      <c r="AM88" s="4"/>
      <c r="AN88" s="45">
        <v>3</v>
      </c>
      <c r="AO88" s="46"/>
      <c r="AP88" s="47">
        <v>5</v>
      </c>
      <c r="AQ88" s="46"/>
      <c r="AR88" s="47">
        <v>180</v>
      </c>
      <c r="AS88" s="48"/>
      <c r="AT88" s="4"/>
      <c r="AU88" s="4"/>
      <c r="AV88" s="4"/>
      <c r="AW88" s="4"/>
      <c r="AX88" s="110">
        <v>2</v>
      </c>
      <c r="AY88" s="111"/>
      <c r="AZ88" s="108">
        <v>2</v>
      </c>
      <c r="BA88" s="111"/>
      <c r="BB88" s="108">
        <v>90</v>
      </c>
      <c r="BC88" s="109"/>
      <c r="BD88" s="4"/>
      <c r="BE88" s="4"/>
      <c r="BF88" s="4"/>
      <c r="BG88" s="4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2:135" ht="15" thickBot="1" x14ac:dyDescent="0.35">
      <c r="B89" s="118"/>
      <c r="C89" s="1"/>
      <c r="D89" s="119"/>
      <c r="E89" s="11">
        <f>SUM(J88,T88,AD88,AN88,AX88)</f>
        <v>14</v>
      </c>
      <c r="F89" s="11">
        <f>SUM(J89:BC89)</f>
        <v>22</v>
      </c>
      <c r="G89" s="105"/>
      <c r="H89" s="2"/>
      <c r="I89" s="2"/>
      <c r="J89" s="83">
        <v>2</v>
      </c>
      <c r="K89" s="84"/>
      <c r="L89" s="85">
        <v>1</v>
      </c>
      <c r="M89" s="84"/>
      <c r="N89" s="85">
        <v>2</v>
      </c>
      <c r="O89" s="86"/>
      <c r="P89" s="4"/>
      <c r="Q89" s="4"/>
      <c r="R89" s="4"/>
      <c r="S89" s="4"/>
      <c r="T89" s="83">
        <v>2</v>
      </c>
      <c r="U89" s="84"/>
      <c r="V89" s="85">
        <v>1</v>
      </c>
      <c r="W89" s="84"/>
      <c r="X89" s="85">
        <v>2</v>
      </c>
      <c r="Y89" s="86"/>
      <c r="Z89" s="4"/>
      <c r="AA89" s="4"/>
      <c r="AB89" s="4"/>
      <c r="AC89" s="4"/>
      <c r="AD89" s="72">
        <v>2</v>
      </c>
      <c r="AE89" s="73"/>
      <c r="AF89" s="68">
        <v>1</v>
      </c>
      <c r="AG89" s="73"/>
      <c r="AH89" s="68">
        <v>2</v>
      </c>
      <c r="AI89" s="69"/>
      <c r="AJ89" s="4"/>
      <c r="AK89" s="4"/>
      <c r="AL89" s="4"/>
      <c r="AM89" s="4"/>
      <c r="AN89" s="49">
        <v>2</v>
      </c>
      <c r="AO89" s="50"/>
      <c r="AP89" s="51">
        <v>0</v>
      </c>
      <c r="AQ89" s="50"/>
      <c r="AR89" s="51">
        <v>3</v>
      </c>
      <c r="AS89" s="52"/>
      <c r="AT89" s="4"/>
      <c r="AU89" s="4"/>
      <c r="AV89" s="4"/>
      <c r="AW89" s="4"/>
      <c r="AX89" s="112">
        <v>2</v>
      </c>
      <c r="AY89" s="113"/>
      <c r="AZ89" s="106">
        <v>0</v>
      </c>
      <c r="BA89" s="113"/>
      <c r="BB89" s="106">
        <v>0</v>
      </c>
      <c r="BC89" s="107"/>
      <c r="BD89" s="4"/>
      <c r="BE89" s="4"/>
      <c r="BF89" s="4"/>
      <c r="BG89" s="4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2:135" ht="10.050000000000001" customHeight="1" x14ac:dyDescent="0.3">
      <c r="B90" s="118"/>
      <c r="C90" s="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2:135" ht="10.050000000000001" customHeight="1" x14ac:dyDescent="0.3"/>
    <row r="92" spans="2:135" ht="10.050000000000001" customHeight="1" x14ac:dyDescent="0.3"/>
    <row r="93" spans="2:135" ht="10.050000000000001" customHeight="1" x14ac:dyDescent="0.3"/>
    <row r="94" spans="2:135" ht="15" thickBot="1" x14ac:dyDescent="0.35"/>
    <row r="95" spans="2:135" ht="15.6" customHeight="1" thickTop="1" thickBot="1" x14ac:dyDescent="0.35">
      <c r="BI95" s="63" t="s">
        <v>15</v>
      </c>
      <c r="BJ95" s="150" t="s">
        <v>65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6"/>
    </row>
    <row r="96" spans="2:135" ht="14.55" customHeight="1" x14ac:dyDescent="0.3">
      <c r="BI96" s="64"/>
      <c r="BJ96" s="137"/>
      <c r="BK96" s="17"/>
      <c r="BL96" s="16"/>
      <c r="BR96" s="123" t="s">
        <v>7</v>
      </c>
      <c r="BS96" s="124"/>
      <c r="BT96" s="124"/>
      <c r="BU96" s="124"/>
      <c r="BV96" s="125"/>
      <c r="BW96" s="126"/>
      <c r="CA96" s="8"/>
    </row>
    <row r="97" spans="61:79" ht="14.55" customHeight="1" x14ac:dyDescent="0.3">
      <c r="BI97" s="64"/>
      <c r="BJ97" s="137"/>
      <c r="BK97" s="17"/>
      <c r="BL97" s="16"/>
      <c r="BR97" s="127" t="s">
        <v>8</v>
      </c>
      <c r="BS97" s="128"/>
      <c r="BT97" s="128"/>
      <c r="BU97" s="128"/>
      <c r="BV97" s="129"/>
      <c r="BW97" s="130"/>
      <c r="CA97" s="8"/>
    </row>
    <row r="98" spans="61:79" x14ac:dyDescent="0.3">
      <c r="BI98" s="64"/>
      <c r="BJ98" s="137"/>
      <c r="BK98" s="17"/>
      <c r="BL98" s="16"/>
      <c r="BR98" s="66" t="s">
        <v>9</v>
      </c>
      <c r="BS98" s="67"/>
      <c r="BT98" s="131" t="s">
        <v>18</v>
      </c>
      <c r="BU98" s="67"/>
      <c r="BV98" s="131" t="s">
        <v>10</v>
      </c>
      <c r="BW98" s="132"/>
      <c r="CA98" s="8"/>
    </row>
    <row r="99" spans="61:79" ht="15" thickBot="1" x14ac:dyDescent="0.35">
      <c r="BI99" s="64"/>
      <c r="BJ99" s="137"/>
      <c r="BK99" s="17"/>
      <c r="BL99" s="16"/>
      <c r="BR99" s="133" t="s">
        <v>11</v>
      </c>
      <c r="BS99" s="134"/>
      <c r="BT99" s="135" t="s">
        <v>12</v>
      </c>
      <c r="BU99" s="134"/>
      <c r="BV99" s="135" t="s">
        <v>13</v>
      </c>
      <c r="BW99" s="136"/>
      <c r="CA99" s="8"/>
    </row>
    <row r="100" spans="61:79" ht="48.75" customHeight="1" x14ac:dyDescent="0.3">
      <c r="BI100" s="64"/>
      <c r="BJ100" s="90" t="s">
        <v>31</v>
      </c>
      <c r="BL100" s="74" t="s">
        <v>22</v>
      </c>
      <c r="BN100" s="62" t="s">
        <v>14</v>
      </c>
      <c r="BO100" s="62"/>
      <c r="BP100" s="62"/>
      <c r="BQ100" s="62"/>
      <c r="BS100" s="151" t="s">
        <v>46</v>
      </c>
      <c r="BU100" s="152" t="s">
        <v>30</v>
      </c>
      <c r="BW100" s="153" t="s">
        <v>62</v>
      </c>
      <c r="CA100" s="8"/>
    </row>
    <row r="101" spans="61:79" x14ac:dyDescent="0.3">
      <c r="BI101" s="64"/>
      <c r="BJ101" s="90"/>
      <c r="BL101" s="74"/>
      <c r="BN101" s="62"/>
      <c r="BO101" s="62"/>
      <c r="BP101" s="62"/>
      <c r="BQ101" s="62"/>
      <c r="BS101" s="60"/>
      <c r="BU101" s="75"/>
      <c r="BW101" s="61"/>
      <c r="CA101" s="8"/>
    </row>
    <row r="102" spans="61:79" ht="14.55" customHeight="1" x14ac:dyDescent="0.3">
      <c r="BI102" s="64"/>
      <c r="BJ102" s="90"/>
      <c r="BL102" s="74"/>
      <c r="BN102" s="62"/>
      <c r="BO102" s="62"/>
      <c r="BP102" s="62"/>
      <c r="BQ102" s="62"/>
      <c r="BS102" s="60"/>
      <c r="BU102" s="75"/>
      <c r="BW102" s="61"/>
      <c r="CA102" s="8"/>
    </row>
    <row r="103" spans="61:79" ht="14.55" customHeight="1" x14ac:dyDescent="0.3">
      <c r="BI103" s="64"/>
      <c r="BJ103" s="90"/>
      <c r="BL103" s="74"/>
      <c r="BN103" s="62"/>
      <c r="BO103" s="62"/>
      <c r="BP103" s="62"/>
      <c r="BQ103" s="62"/>
      <c r="BS103" s="60"/>
      <c r="BU103" s="75"/>
      <c r="BW103" s="61"/>
      <c r="CA103" s="8"/>
    </row>
    <row r="104" spans="61:79" ht="14.55" customHeight="1" x14ac:dyDescent="0.3">
      <c r="BI104" s="64"/>
      <c r="BJ104" s="90"/>
      <c r="BK104" s="7"/>
      <c r="BL104" s="74"/>
      <c r="BM104" s="7"/>
      <c r="BN104" s="62"/>
      <c r="BO104" s="62"/>
      <c r="BP104" s="62"/>
      <c r="BQ104" s="62"/>
      <c r="BR104" s="7"/>
      <c r="BS104" s="60"/>
      <c r="BT104" s="7"/>
      <c r="BU104" s="75"/>
      <c r="BV104" s="7"/>
      <c r="BW104" s="61"/>
      <c r="CA104" s="8"/>
    </row>
    <row r="105" spans="61:79" x14ac:dyDescent="0.3">
      <c r="BI105" s="64"/>
      <c r="BJ105" s="90"/>
      <c r="BK105" s="7"/>
      <c r="BL105" s="74"/>
      <c r="BM105" s="7"/>
      <c r="BN105" s="62"/>
      <c r="BO105" s="62"/>
      <c r="BP105" s="62"/>
      <c r="BQ105" s="62"/>
      <c r="BR105" s="7"/>
      <c r="BS105" s="60"/>
      <c r="BT105" s="7"/>
      <c r="BU105" s="75"/>
      <c r="BV105" s="7"/>
      <c r="BW105" s="61"/>
      <c r="CA105" s="8"/>
    </row>
    <row r="106" spans="61:79" x14ac:dyDescent="0.3">
      <c r="BI106" s="64"/>
      <c r="BJ106" s="90"/>
      <c r="BK106" s="7"/>
      <c r="BL106" s="74"/>
      <c r="BM106" s="7"/>
      <c r="BN106" s="62"/>
      <c r="BO106" s="62"/>
      <c r="BP106" s="62"/>
      <c r="BQ106" s="62"/>
      <c r="BR106" s="7"/>
      <c r="BS106" s="60"/>
      <c r="BT106" s="7"/>
      <c r="BU106" s="75"/>
      <c r="BV106" s="7"/>
      <c r="BW106" s="61"/>
      <c r="CA106" s="8"/>
    </row>
    <row r="107" spans="61:79" x14ac:dyDescent="0.3">
      <c r="BI107" s="64"/>
      <c r="BJ107" s="90"/>
      <c r="BK107" s="7"/>
      <c r="BL107" s="74"/>
      <c r="BM107" s="7"/>
      <c r="BN107" s="62"/>
      <c r="BO107" s="62"/>
      <c r="BP107" s="62"/>
      <c r="BQ107" s="62"/>
      <c r="BR107" s="7"/>
      <c r="BS107" s="60"/>
      <c r="BT107" s="7"/>
      <c r="BU107" s="75"/>
      <c r="BV107" s="7"/>
      <c r="BW107" s="61"/>
      <c r="CA107" s="8"/>
    </row>
    <row r="108" spans="61:79" ht="15" thickBot="1" x14ac:dyDescent="0.35">
      <c r="BI108" s="65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10"/>
    </row>
    <row r="109" spans="61:79" ht="15" thickTop="1" x14ac:dyDescent="0.3"/>
  </sheetData>
  <mergeCells count="736">
    <mergeCell ref="DP89:DQ89"/>
    <mergeCell ref="DR89:DS89"/>
    <mergeCell ref="DT89:DU89"/>
    <mergeCell ref="DP87:DU87"/>
    <mergeCell ref="DT81:DU81"/>
    <mergeCell ref="DP79:DU79"/>
    <mergeCell ref="DP78:DU78"/>
    <mergeCell ref="DP86:DU86"/>
    <mergeCell ref="DT80:DU80"/>
    <mergeCell ref="DP88:DQ88"/>
    <mergeCell ref="DR88:DS88"/>
    <mergeCell ref="DT88:DU88"/>
    <mergeCell ref="BV99:BW99"/>
    <mergeCell ref="BT98:BU98"/>
    <mergeCell ref="BV98:BW98"/>
    <mergeCell ref="AN87:AS87"/>
    <mergeCell ref="AX87:BC87"/>
    <mergeCell ref="AF88:AG88"/>
    <mergeCell ref="AH88:AI88"/>
    <mergeCell ref="DZ87:EE87"/>
    <mergeCell ref="G88:G89"/>
    <mergeCell ref="H88:I88"/>
    <mergeCell ref="J88:K88"/>
    <mergeCell ref="L88:M88"/>
    <mergeCell ref="N88:O88"/>
    <mergeCell ref="T88:U88"/>
    <mergeCell ref="V88:W88"/>
    <mergeCell ref="X88:Y88"/>
    <mergeCell ref="DZ88:EA88"/>
    <mergeCell ref="EB88:EC88"/>
    <mergeCell ref="ED88:EE88"/>
    <mergeCell ref="AN88:AO88"/>
    <mergeCell ref="AP88:AQ88"/>
    <mergeCell ref="AR88:AS88"/>
    <mergeCell ref="AX88:AY88"/>
    <mergeCell ref="AZ88:BA88"/>
    <mergeCell ref="D86:D89"/>
    <mergeCell ref="J86:L86"/>
    <mergeCell ref="M86:O86"/>
    <mergeCell ref="T86:V86"/>
    <mergeCell ref="W86:Y86"/>
    <mergeCell ref="AD86:AF86"/>
    <mergeCell ref="AD88:AE88"/>
    <mergeCell ref="J89:K89"/>
    <mergeCell ref="L89:M89"/>
    <mergeCell ref="N89:O89"/>
    <mergeCell ref="T89:U89"/>
    <mergeCell ref="E87:E88"/>
    <mergeCell ref="F87:F88"/>
    <mergeCell ref="J87:O87"/>
    <mergeCell ref="T87:Y87"/>
    <mergeCell ref="AD87:AI87"/>
    <mergeCell ref="AG86:AI86"/>
    <mergeCell ref="DZ80:EA80"/>
    <mergeCell ref="AP80:AQ80"/>
    <mergeCell ref="AR80:AS80"/>
    <mergeCell ref="AX80:AY80"/>
    <mergeCell ref="AZ80:BA80"/>
    <mergeCell ref="BB81:BC81"/>
    <mergeCell ref="DP81:DQ81"/>
    <mergeCell ref="DR81:DS81"/>
    <mergeCell ref="DZ81:EA81"/>
    <mergeCell ref="DP80:DQ80"/>
    <mergeCell ref="DR80:DS80"/>
    <mergeCell ref="AN86:AP86"/>
    <mergeCell ref="AQ86:AS86"/>
    <mergeCell ref="DZ89:EA89"/>
    <mergeCell ref="L81:M81"/>
    <mergeCell ref="N81:O81"/>
    <mergeCell ref="T81:U81"/>
    <mergeCell ref="V81:W81"/>
    <mergeCell ref="X81:Y81"/>
    <mergeCell ref="AD81:AE81"/>
    <mergeCell ref="AF81:AG81"/>
    <mergeCell ref="DZ86:EE86"/>
    <mergeCell ref="AX86:AZ86"/>
    <mergeCell ref="BA86:BC86"/>
    <mergeCell ref="EB89:EC89"/>
    <mergeCell ref="ED89:EE89"/>
    <mergeCell ref="AN89:AO89"/>
    <mergeCell ref="AP89:AQ89"/>
    <mergeCell ref="AR89:AS89"/>
    <mergeCell ref="AX89:AY89"/>
    <mergeCell ref="AZ89:BA89"/>
    <mergeCell ref="BB89:BC89"/>
    <mergeCell ref="EB81:EC81"/>
    <mergeCell ref="ED81:EE81"/>
    <mergeCell ref="BB88:BC88"/>
    <mergeCell ref="BR96:BW96"/>
    <mergeCell ref="BB80:BC80"/>
    <mergeCell ref="BR98:BS98"/>
    <mergeCell ref="V80:W80"/>
    <mergeCell ref="X80:Y80"/>
    <mergeCell ref="AD80:AE80"/>
    <mergeCell ref="AF80:AG80"/>
    <mergeCell ref="AH80:AI80"/>
    <mergeCell ref="AN80:AO80"/>
    <mergeCell ref="BR97:BW97"/>
    <mergeCell ref="AH81:AI81"/>
    <mergeCell ref="AN81:AO81"/>
    <mergeCell ref="AP81:AQ81"/>
    <mergeCell ref="AR81:AS81"/>
    <mergeCell ref="AX81:AY81"/>
    <mergeCell ref="AZ81:BA81"/>
    <mergeCell ref="V89:W89"/>
    <mergeCell ref="X89:Y89"/>
    <mergeCell ref="AD89:AE89"/>
    <mergeCell ref="AF89:AG89"/>
    <mergeCell ref="AH89:AI89"/>
    <mergeCell ref="BJ95:BJ99"/>
    <mergeCell ref="BR99:BS99"/>
    <mergeCell ref="BT99:BU99"/>
    <mergeCell ref="DZ78:EE78"/>
    <mergeCell ref="E79:E80"/>
    <mergeCell ref="F79:F80"/>
    <mergeCell ref="J79:O79"/>
    <mergeCell ref="T79:Y79"/>
    <mergeCell ref="AD79:AI79"/>
    <mergeCell ref="AN79:AS79"/>
    <mergeCell ref="AD78:AF78"/>
    <mergeCell ref="AG78:AI78"/>
    <mergeCell ref="AN78:AP78"/>
    <mergeCell ref="AQ78:AS78"/>
    <mergeCell ref="AX78:AZ78"/>
    <mergeCell ref="BA78:BC78"/>
    <mergeCell ref="DZ79:EE79"/>
    <mergeCell ref="G80:G81"/>
    <mergeCell ref="H80:I80"/>
    <mergeCell ref="J80:K80"/>
    <mergeCell ref="L80:M80"/>
    <mergeCell ref="N80:O80"/>
    <mergeCell ref="T80:U80"/>
    <mergeCell ref="AX79:BC79"/>
    <mergeCell ref="EB80:EC80"/>
    <mergeCell ref="ED80:EE80"/>
    <mergeCell ref="J81:K81"/>
    <mergeCell ref="X70:Y70"/>
    <mergeCell ref="AD70:AE70"/>
    <mergeCell ref="DZ71:EA71"/>
    <mergeCell ref="EB71:EC71"/>
    <mergeCell ref="ED71:EE71"/>
    <mergeCell ref="B77:B90"/>
    <mergeCell ref="BI95:BI108"/>
    <mergeCell ref="D78:D81"/>
    <mergeCell ref="J78:L78"/>
    <mergeCell ref="M78:O78"/>
    <mergeCell ref="T78:V78"/>
    <mergeCell ref="W78:Y78"/>
    <mergeCell ref="BH71:BI71"/>
    <mergeCell ref="BJ71:BK71"/>
    <mergeCell ref="BL71:BM71"/>
    <mergeCell ref="DP71:DQ71"/>
    <mergeCell ref="DR71:DS71"/>
    <mergeCell ref="DT71:DU71"/>
    <mergeCell ref="AN71:AO71"/>
    <mergeCell ref="AP71:AQ71"/>
    <mergeCell ref="AR71:AS71"/>
    <mergeCell ref="AX71:AY71"/>
    <mergeCell ref="AZ71:BA71"/>
    <mergeCell ref="BB71:BC71"/>
    <mergeCell ref="AH71:AI71"/>
    <mergeCell ref="BL70:BM70"/>
    <mergeCell ref="DP70:DQ70"/>
    <mergeCell ref="DR70:DS70"/>
    <mergeCell ref="DT70:DU70"/>
    <mergeCell ref="DZ70:EA70"/>
    <mergeCell ref="EB70:EC70"/>
    <mergeCell ref="AR70:AS70"/>
    <mergeCell ref="AX70:AY70"/>
    <mergeCell ref="AZ70:BA70"/>
    <mergeCell ref="BB70:BC70"/>
    <mergeCell ref="BH70:BI70"/>
    <mergeCell ref="BJ70:BK70"/>
    <mergeCell ref="BH68:BJ68"/>
    <mergeCell ref="AF70:AG70"/>
    <mergeCell ref="AH70:AI70"/>
    <mergeCell ref="AN70:AO70"/>
    <mergeCell ref="AP70:AQ70"/>
    <mergeCell ref="BH69:BM69"/>
    <mergeCell ref="DP69:DU69"/>
    <mergeCell ref="DZ69:EE69"/>
    <mergeCell ref="G70:G71"/>
    <mergeCell ref="H70:I70"/>
    <mergeCell ref="J70:K70"/>
    <mergeCell ref="L70:M70"/>
    <mergeCell ref="N70:O70"/>
    <mergeCell ref="T70:U70"/>
    <mergeCell ref="V70:W70"/>
    <mergeCell ref="ED70:EE70"/>
    <mergeCell ref="J71:K71"/>
    <mergeCell ref="L71:M71"/>
    <mergeCell ref="N71:O71"/>
    <mergeCell ref="T71:U71"/>
    <mergeCell ref="V71:W71"/>
    <mergeCell ref="X71:Y71"/>
    <mergeCell ref="AD71:AE71"/>
    <mergeCell ref="AF71:AG71"/>
    <mergeCell ref="J69:O69"/>
    <mergeCell ref="T69:Y69"/>
    <mergeCell ref="AD69:AI69"/>
    <mergeCell ref="AN69:AS69"/>
    <mergeCell ref="AX69:BC69"/>
    <mergeCell ref="AG68:AI68"/>
    <mergeCell ref="AN68:AP68"/>
    <mergeCell ref="AQ68:AS68"/>
    <mergeCell ref="AX68:AZ68"/>
    <mergeCell ref="BA68:BC68"/>
    <mergeCell ref="ED63:EE63"/>
    <mergeCell ref="D68:D71"/>
    <mergeCell ref="J68:L68"/>
    <mergeCell ref="M68:O68"/>
    <mergeCell ref="T68:V68"/>
    <mergeCell ref="W68:Y68"/>
    <mergeCell ref="AD68:AF68"/>
    <mergeCell ref="BB63:BC63"/>
    <mergeCell ref="BH63:BI63"/>
    <mergeCell ref="BJ63:BK63"/>
    <mergeCell ref="BL63:BM63"/>
    <mergeCell ref="DP63:DQ63"/>
    <mergeCell ref="DR63:DS63"/>
    <mergeCell ref="AH63:AI63"/>
    <mergeCell ref="AN63:AO63"/>
    <mergeCell ref="AP63:AQ63"/>
    <mergeCell ref="AR63:AS63"/>
    <mergeCell ref="AX63:AY63"/>
    <mergeCell ref="AZ63:BA63"/>
    <mergeCell ref="BK68:BM68"/>
    <mergeCell ref="DP68:DU68"/>
    <mergeCell ref="DZ68:EE68"/>
    <mergeCell ref="E69:E70"/>
    <mergeCell ref="F69:F70"/>
    <mergeCell ref="AX62:AY62"/>
    <mergeCell ref="AZ62:BA62"/>
    <mergeCell ref="BB62:BC62"/>
    <mergeCell ref="BH62:BI62"/>
    <mergeCell ref="V62:W62"/>
    <mergeCell ref="X62:Y62"/>
    <mergeCell ref="DT63:DU63"/>
    <mergeCell ref="DZ63:EA63"/>
    <mergeCell ref="EB63:EC63"/>
    <mergeCell ref="G62:G63"/>
    <mergeCell ref="H62:I62"/>
    <mergeCell ref="J62:K62"/>
    <mergeCell ref="L62:M62"/>
    <mergeCell ref="N62:O62"/>
    <mergeCell ref="T62:U62"/>
    <mergeCell ref="EB62:EC62"/>
    <mergeCell ref="ED62:EE62"/>
    <mergeCell ref="J63:K63"/>
    <mergeCell ref="L63:M63"/>
    <mergeCell ref="N63:O63"/>
    <mergeCell ref="T63:U63"/>
    <mergeCell ref="V63:W63"/>
    <mergeCell ref="X63:Y63"/>
    <mergeCell ref="AD63:AE63"/>
    <mergeCell ref="AF63:AG63"/>
    <mergeCell ref="BJ62:BK62"/>
    <mergeCell ref="BL62:BM62"/>
    <mergeCell ref="DP62:DQ62"/>
    <mergeCell ref="DR62:DS62"/>
    <mergeCell ref="DT62:DU62"/>
    <mergeCell ref="DZ62:EA62"/>
    <mergeCell ref="AP62:AQ62"/>
    <mergeCell ref="AR62:AS62"/>
    <mergeCell ref="BH60:BJ60"/>
    <mergeCell ref="BK60:BM60"/>
    <mergeCell ref="DP60:DU60"/>
    <mergeCell ref="DZ60:EE60"/>
    <mergeCell ref="E61:E62"/>
    <mergeCell ref="F61:F62"/>
    <mergeCell ref="J61:O61"/>
    <mergeCell ref="T61:Y61"/>
    <mergeCell ref="AD61:AI61"/>
    <mergeCell ref="AN61:AS61"/>
    <mergeCell ref="AD60:AF60"/>
    <mergeCell ref="AG60:AI60"/>
    <mergeCell ref="AN60:AP60"/>
    <mergeCell ref="AQ60:AS60"/>
    <mergeCell ref="AX60:AZ60"/>
    <mergeCell ref="BA60:BC60"/>
    <mergeCell ref="AD62:AE62"/>
    <mergeCell ref="AF62:AG62"/>
    <mergeCell ref="AH62:AI62"/>
    <mergeCell ref="AN62:AO62"/>
    <mergeCell ref="AX61:BC61"/>
    <mergeCell ref="BH61:BM61"/>
    <mergeCell ref="DP61:DU61"/>
    <mergeCell ref="DZ61:EE61"/>
    <mergeCell ref="DT53:DU53"/>
    <mergeCell ref="DZ53:EA53"/>
    <mergeCell ref="EB53:EC53"/>
    <mergeCell ref="ED53:EE53"/>
    <mergeCell ref="B59:B72"/>
    <mergeCell ref="D60:D63"/>
    <mergeCell ref="J60:L60"/>
    <mergeCell ref="M60:O60"/>
    <mergeCell ref="T60:V60"/>
    <mergeCell ref="W60:Y60"/>
    <mergeCell ref="DP53:DQ53"/>
    <mergeCell ref="DR53:DS53"/>
    <mergeCell ref="AR53:AS53"/>
    <mergeCell ref="AX53:AY53"/>
    <mergeCell ref="AZ53:BA53"/>
    <mergeCell ref="BB53:BC53"/>
    <mergeCell ref="X53:Y53"/>
    <mergeCell ref="AD53:AE53"/>
    <mergeCell ref="AF53:AG53"/>
    <mergeCell ref="AH53:AI53"/>
    <mergeCell ref="AN53:AO53"/>
    <mergeCell ref="AP53:AQ53"/>
    <mergeCell ref="G52:G53"/>
    <mergeCell ref="H52:I52"/>
    <mergeCell ref="AZ52:BA52"/>
    <mergeCell ref="BB52:BC52"/>
    <mergeCell ref="V52:W52"/>
    <mergeCell ref="X52:Y52"/>
    <mergeCell ref="AD52:AE52"/>
    <mergeCell ref="AF52:AG52"/>
    <mergeCell ref="AH52:AI52"/>
    <mergeCell ref="AN52:AO52"/>
    <mergeCell ref="J52:K52"/>
    <mergeCell ref="L52:M52"/>
    <mergeCell ref="AX51:BC51"/>
    <mergeCell ref="DP51:DU51"/>
    <mergeCell ref="DZ51:EE51"/>
    <mergeCell ref="DP50:DU50"/>
    <mergeCell ref="DZ50:EE50"/>
    <mergeCell ref="E51:E52"/>
    <mergeCell ref="F51:F52"/>
    <mergeCell ref="J51:O51"/>
    <mergeCell ref="T51:Y51"/>
    <mergeCell ref="AD51:AI51"/>
    <mergeCell ref="AG50:AI50"/>
    <mergeCell ref="AN50:AP50"/>
    <mergeCell ref="AQ50:AS50"/>
    <mergeCell ref="AX50:AZ50"/>
    <mergeCell ref="BA50:BC50"/>
    <mergeCell ref="DR52:DS52"/>
    <mergeCell ref="DT52:DU52"/>
    <mergeCell ref="DZ52:EA52"/>
    <mergeCell ref="EB52:EC52"/>
    <mergeCell ref="ED52:EE52"/>
    <mergeCell ref="DP52:DQ52"/>
    <mergeCell ref="AP52:AQ52"/>
    <mergeCell ref="AR52:AS52"/>
    <mergeCell ref="AX52:AY52"/>
    <mergeCell ref="ED45:EE45"/>
    <mergeCell ref="D50:D53"/>
    <mergeCell ref="J50:L50"/>
    <mergeCell ref="M50:O50"/>
    <mergeCell ref="T50:V50"/>
    <mergeCell ref="W50:Y50"/>
    <mergeCell ref="AD50:AF50"/>
    <mergeCell ref="BB45:BC45"/>
    <mergeCell ref="BH45:BI45"/>
    <mergeCell ref="BJ45:BK45"/>
    <mergeCell ref="BL45:BM45"/>
    <mergeCell ref="DP45:DQ45"/>
    <mergeCell ref="DR45:DS45"/>
    <mergeCell ref="AH45:AI45"/>
    <mergeCell ref="AN45:AO45"/>
    <mergeCell ref="AP45:AQ45"/>
    <mergeCell ref="AR45:AS45"/>
    <mergeCell ref="AX45:AY45"/>
    <mergeCell ref="AZ45:BA45"/>
    <mergeCell ref="N45:O45"/>
    <mergeCell ref="T45:U45"/>
    <mergeCell ref="N52:O52"/>
    <mergeCell ref="T52:U52"/>
    <mergeCell ref="AN51:AS51"/>
    <mergeCell ref="AD45:AE45"/>
    <mergeCell ref="AF45:AG45"/>
    <mergeCell ref="DP44:DQ44"/>
    <mergeCell ref="DR44:DS44"/>
    <mergeCell ref="DT44:DU44"/>
    <mergeCell ref="DZ44:EA44"/>
    <mergeCell ref="EB44:EC44"/>
    <mergeCell ref="DT45:DU45"/>
    <mergeCell ref="DZ45:EA45"/>
    <mergeCell ref="EB45:EC45"/>
    <mergeCell ref="L44:M44"/>
    <mergeCell ref="ED44:EE44"/>
    <mergeCell ref="AX44:AY44"/>
    <mergeCell ref="AZ44:BA44"/>
    <mergeCell ref="BB44:BC44"/>
    <mergeCell ref="BH44:BI44"/>
    <mergeCell ref="BJ44:BK44"/>
    <mergeCell ref="BL44:BM44"/>
    <mergeCell ref="AD44:AE44"/>
    <mergeCell ref="AF44:AG44"/>
    <mergeCell ref="AH44:AI44"/>
    <mergeCell ref="AN44:AO44"/>
    <mergeCell ref="AP44:AQ44"/>
    <mergeCell ref="AR44:AS44"/>
    <mergeCell ref="V53:W53"/>
    <mergeCell ref="BH42:BJ42"/>
    <mergeCell ref="BK42:BM42"/>
    <mergeCell ref="DP42:DU42"/>
    <mergeCell ref="DZ42:EE42"/>
    <mergeCell ref="E43:E44"/>
    <mergeCell ref="F43:F44"/>
    <mergeCell ref="J43:O43"/>
    <mergeCell ref="T43:Y43"/>
    <mergeCell ref="AD43:AI43"/>
    <mergeCell ref="AN43:AS43"/>
    <mergeCell ref="AD42:AF42"/>
    <mergeCell ref="AG42:AI42"/>
    <mergeCell ref="AN42:AP42"/>
    <mergeCell ref="AQ42:AS42"/>
    <mergeCell ref="AX42:AZ42"/>
    <mergeCell ref="BA42:BC42"/>
    <mergeCell ref="AX43:BC43"/>
    <mergeCell ref="BH43:BM43"/>
    <mergeCell ref="DP43:DU43"/>
    <mergeCell ref="DZ43:EE43"/>
    <mergeCell ref="G44:G45"/>
    <mergeCell ref="H44:I44"/>
    <mergeCell ref="J44:K44"/>
    <mergeCell ref="DZ35:EA35"/>
    <mergeCell ref="EB35:EC35"/>
    <mergeCell ref="ED35:EE35"/>
    <mergeCell ref="AX35:AY35"/>
    <mergeCell ref="AZ35:BA35"/>
    <mergeCell ref="BB35:BC35"/>
    <mergeCell ref="B41:B54"/>
    <mergeCell ref="D42:D45"/>
    <mergeCell ref="J42:L42"/>
    <mergeCell ref="M42:O42"/>
    <mergeCell ref="T42:V42"/>
    <mergeCell ref="W42:Y42"/>
    <mergeCell ref="V44:W44"/>
    <mergeCell ref="X44:Y44"/>
    <mergeCell ref="J45:K45"/>
    <mergeCell ref="L45:M45"/>
    <mergeCell ref="N44:O44"/>
    <mergeCell ref="T44:U44"/>
    <mergeCell ref="V45:W45"/>
    <mergeCell ref="X45:Y45"/>
    <mergeCell ref="J53:K53"/>
    <mergeCell ref="L53:M53"/>
    <mergeCell ref="N53:O53"/>
    <mergeCell ref="T53:U53"/>
    <mergeCell ref="DP35:DQ35"/>
    <mergeCell ref="DR35:DS35"/>
    <mergeCell ref="DT35:DU35"/>
    <mergeCell ref="AD35:AE35"/>
    <mergeCell ref="AF35:AG35"/>
    <mergeCell ref="AH35:AI35"/>
    <mergeCell ref="AN35:AO35"/>
    <mergeCell ref="AP35:AQ35"/>
    <mergeCell ref="AR35:AS35"/>
    <mergeCell ref="J35:K35"/>
    <mergeCell ref="L35:M35"/>
    <mergeCell ref="N35:O35"/>
    <mergeCell ref="T35:U35"/>
    <mergeCell ref="V35:W35"/>
    <mergeCell ref="X35:Y35"/>
    <mergeCell ref="DP33:DU33"/>
    <mergeCell ref="DZ33:EE33"/>
    <mergeCell ref="G34:G35"/>
    <mergeCell ref="H34:I34"/>
    <mergeCell ref="J34:K34"/>
    <mergeCell ref="L34:M34"/>
    <mergeCell ref="N34:O34"/>
    <mergeCell ref="T34:U34"/>
    <mergeCell ref="V34:W34"/>
    <mergeCell ref="X34:Y34"/>
    <mergeCell ref="DP34:DQ34"/>
    <mergeCell ref="DR34:DS34"/>
    <mergeCell ref="DT34:DU34"/>
    <mergeCell ref="DZ34:EA34"/>
    <mergeCell ref="EB34:EC34"/>
    <mergeCell ref="ED34:EE34"/>
    <mergeCell ref="AX34:AY34"/>
    <mergeCell ref="AZ34:BA34"/>
    <mergeCell ref="J33:O33"/>
    <mergeCell ref="T33:Y33"/>
    <mergeCell ref="AD33:AI33"/>
    <mergeCell ref="AN33:AS33"/>
    <mergeCell ref="AX33:BC33"/>
    <mergeCell ref="BB34:BC34"/>
    <mergeCell ref="AN32:AP32"/>
    <mergeCell ref="AQ32:AS32"/>
    <mergeCell ref="AX32:AZ32"/>
    <mergeCell ref="BA32:BC32"/>
    <mergeCell ref="AD34:AE34"/>
    <mergeCell ref="AF34:AG34"/>
    <mergeCell ref="AH34:AI34"/>
    <mergeCell ref="AN34:AO34"/>
    <mergeCell ref="AP34:AQ34"/>
    <mergeCell ref="AR34:AS34"/>
    <mergeCell ref="ED27:EE27"/>
    <mergeCell ref="D32:D35"/>
    <mergeCell ref="J32:L32"/>
    <mergeCell ref="M32:O32"/>
    <mergeCell ref="T32:V32"/>
    <mergeCell ref="W32:Y32"/>
    <mergeCell ref="AD32:AF32"/>
    <mergeCell ref="AG32:AI32"/>
    <mergeCell ref="BH27:BI27"/>
    <mergeCell ref="BJ27:BK27"/>
    <mergeCell ref="BL27:BM27"/>
    <mergeCell ref="DP27:DQ27"/>
    <mergeCell ref="DR27:DS27"/>
    <mergeCell ref="DT27:DU27"/>
    <mergeCell ref="AN27:AO27"/>
    <mergeCell ref="AP27:AQ27"/>
    <mergeCell ref="AR27:AS27"/>
    <mergeCell ref="AX27:AY27"/>
    <mergeCell ref="AZ27:BA27"/>
    <mergeCell ref="BB27:BC27"/>
    <mergeCell ref="DP32:DU32"/>
    <mergeCell ref="DZ32:EE32"/>
    <mergeCell ref="E33:E34"/>
    <mergeCell ref="F33:F34"/>
    <mergeCell ref="AH27:AI27"/>
    <mergeCell ref="BL26:BM26"/>
    <mergeCell ref="DP26:DQ26"/>
    <mergeCell ref="DR26:DS26"/>
    <mergeCell ref="DT26:DU26"/>
    <mergeCell ref="DZ26:EA26"/>
    <mergeCell ref="EB26:EC26"/>
    <mergeCell ref="AR26:AS26"/>
    <mergeCell ref="AX26:AY26"/>
    <mergeCell ref="AZ26:BA26"/>
    <mergeCell ref="BB26:BC26"/>
    <mergeCell ref="BH26:BI26"/>
    <mergeCell ref="BJ26:BK26"/>
    <mergeCell ref="DZ27:EA27"/>
    <mergeCell ref="EB27:EC27"/>
    <mergeCell ref="AX25:BC25"/>
    <mergeCell ref="X26:Y26"/>
    <mergeCell ref="AD26:AE26"/>
    <mergeCell ref="E25:E26"/>
    <mergeCell ref="F25:F26"/>
    <mergeCell ref="J25:O25"/>
    <mergeCell ref="T25:Y25"/>
    <mergeCell ref="AD25:AI25"/>
    <mergeCell ref="BH24:BJ24"/>
    <mergeCell ref="AF26:AG26"/>
    <mergeCell ref="AH26:AI26"/>
    <mergeCell ref="AN26:AO26"/>
    <mergeCell ref="AP26:AQ26"/>
    <mergeCell ref="BH25:BM25"/>
    <mergeCell ref="AG24:AI24"/>
    <mergeCell ref="AN24:AP24"/>
    <mergeCell ref="AQ24:AS24"/>
    <mergeCell ref="AX24:AZ24"/>
    <mergeCell ref="BA24:BC24"/>
    <mergeCell ref="AZ17:BA17"/>
    <mergeCell ref="BB17:BC17"/>
    <mergeCell ref="BK24:BM24"/>
    <mergeCell ref="DP24:DU24"/>
    <mergeCell ref="DZ24:EE24"/>
    <mergeCell ref="DP25:DU25"/>
    <mergeCell ref="DZ25:EE25"/>
    <mergeCell ref="G26:G27"/>
    <mergeCell ref="H26:I26"/>
    <mergeCell ref="J26:K26"/>
    <mergeCell ref="L26:M26"/>
    <mergeCell ref="N26:O26"/>
    <mergeCell ref="T26:U26"/>
    <mergeCell ref="V26:W26"/>
    <mergeCell ref="ED26:EE26"/>
    <mergeCell ref="J27:K27"/>
    <mergeCell ref="L27:M27"/>
    <mergeCell ref="N27:O27"/>
    <mergeCell ref="T27:U27"/>
    <mergeCell ref="V27:W27"/>
    <mergeCell ref="X27:Y27"/>
    <mergeCell ref="AD27:AE27"/>
    <mergeCell ref="AF27:AG27"/>
    <mergeCell ref="AN25:AS25"/>
    <mergeCell ref="BH16:BI16"/>
    <mergeCell ref="BJ16:BK16"/>
    <mergeCell ref="X16:Y16"/>
    <mergeCell ref="AD16:AE16"/>
    <mergeCell ref="DZ17:EA17"/>
    <mergeCell ref="EB17:EC17"/>
    <mergeCell ref="ED17:EE17"/>
    <mergeCell ref="B23:B36"/>
    <mergeCell ref="D24:D27"/>
    <mergeCell ref="J24:L24"/>
    <mergeCell ref="M24:O24"/>
    <mergeCell ref="T24:V24"/>
    <mergeCell ref="W24:Y24"/>
    <mergeCell ref="AD24:AF24"/>
    <mergeCell ref="BH17:BI17"/>
    <mergeCell ref="BJ17:BK17"/>
    <mergeCell ref="BL17:BM17"/>
    <mergeCell ref="DP17:DQ17"/>
    <mergeCell ref="DR17:DS17"/>
    <mergeCell ref="DT17:DU17"/>
    <mergeCell ref="AN17:AO17"/>
    <mergeCell ref="AP17:AQ17"/>
    <mergeCell ref="AR17:AS17"/>
    <mergeCell ref="AX17:AY17"/>
    <mergeCell ref="L16:M16"/>
    <mergeCell ref="N16:O16"/>
    <mergeCell ref="T16:U16"/>
    <mergeCell ref="V16:W16"/>
    <mergeCell ref="ED16:EE16"/>
    <mergeCell ref="J17:K17"/>
    <mergeCell ref="L17:M17"/>
    <mergeCell ref="N17:O17"/>
    <mergeCell ref="T17:U17"/>
    <mergeCell ref="V17:W17"/>
    <mergeCell ref="X17:Y17"/>
    <mergeCell ref="AD17:AE17"/>
    <mergeCell ref="AF17:AG17"/>
    <mergeCell ref="AH17:AI17"/>
    <mergeCell ref="BL16:BM16"/>
    <mergeCell ref="DP16:DQ16"/>
    <mergeCell ref="DR16:DS16"/>
    <mergeCell ref="DT16:DU16"/>
    <mergeCell ref="DZ16:EA16"/>
    <mergeCell ref="EB16:EC16"/>
    <mergeCell ref="AR16:AS16"/>
    <mergeCell ref="AX16:AY16"/>
    <mergeCell ref="AZ16:BA16"/>
    <mergeCell ref="BB16:BC16"/>
    <mergeCell ref="DZ14:EE14"/>
    <mergeCell ref="E15:E16"/>
    <mergeCell ref="F15:F16"/>
    <mergeCell ref="J15:O15"/>
    <mergeCell ref="T15:Y15"/>
    <mergeCell ref="AD15:AI15"/>
    <mergeCell ref="AN15:AS15"/>
    <mergeCell ref="AX15:BC15"/>
    <mergeCell ref="AG14:AI14"/>
    <mergeCell ref="AN14:AP14"/>
    <mergeCell ref="AQ14:AS14"/>
    <mergeCell ref="AX14:AZ14"/>
    <mergeCell ref="BA14:BC14"/>
    <mergeCell ref="BH14:BJ14"/>
    <mergeCell ref="AF16:AG16"/>
    <mergeCell ref="AH16:AI16"/>
    <mergeCell ref="AN16:AO16"/>
    <mergeCell ref="AP16:AQ16"/>
    <mergeCell ref="BH15:BM15"/>
    <mergeCell ref="DP15:DU15"/>
    <mergeCell ref="DZ15:EE15"/>
    <mergeCell ref="G16:G17"/>
    <mergeCell ref="H16:I16"/>
    <mergeCell ref="J16:K16"/>
    <mergeCell ref="DT9:DU9"/>
    <mergeCell ref="DZ9:EA9"/>
    <mergeCell ref="EB9:EC9"/>
    <mergeCell ref="ED9:EE9"/>
    <mergeCell ref="D14:D17"/>
    <mergeCell ref="J14:L14"/>
    <mergeCell ref="M14:O14"/>
    <mergeCell ref="T14:V14"/>
    <mergeCell ref="W14:Y14"/>
    <mergeCell ref="AD14:AF14"/>
    <mergeCell ref="DP9:DQ9"/>
    <mergeCell ref="DR9:DS9"/>
    <mergeCell ref="AR9:AS9"/>
    <mergeCell ref="AX9:AY9"/>
    <mergeCell ref="AZ9:BA9"/>
    <mergeCell ref="BB9:BC9"/>
    <mergeCell ref="X9:Y9"/>
    <mergeCell ref="AD9:AE9"/>
    <mergeCell ref="AF9:AG9"/>
    <mergeCell ref="AH9:AI9"/>
    <mergeCell ref="AN9:AO9"/>
    <mergeCell ref="AP9:AQ9"/>
    <mergeCell ref="BK14:BM14"/>
    <mergeCell ref="DP14:DU14"/>
    <mergeCell ref="T9:U9"/>
    <mergeCell ref="V9:W9"/>
    <mergeCell ref="DP8:DQ8"/>
    <mergeCell ref="AP8:AQ8"/>
    <mergeCell ref="AR8:AS8"/>
    <mergeCell ref="AX8:AY8"/>
    <mergeCell ref="AD8:AE8"/>
    <mergeCell ref="AF8:AG8"/>
    <mergeCell ref="AH8:AI8"/>
    <mergeCell ref="AN8:AO8"/>
    <mergeCell ref="AX6:AZ6"/>
    <mergeCell ref="BA6:BC6"/>
    <mergeCell ref="AZ8:BA8"/>
    <mergeCell ref="BB8:BC8"/>
    <mergeCell ref="V8:W8"/>
    <mergeCell ref="X8:Y8"/>
    <mergeCell ref="DP7:DU7"/>
    <mergeCell ref="DZ7:EE7"/>
    <mergeCell ref="G8:G9"/>
    <mergeCell ref="H8:I8"/>
    <mergeCell ref="J8:K8"/>
    <mergeCell ref="L8:M8"/>
    <mergeCell ref="N8:O8"/>
    <mergeCell ref="T8:U8"/>
    <mergeCell ref="DP6:DU6"/>
    <mergeCell ref="DZ6:EE6"/>
    <mergeCell ref="DR8:DS8"/>
    <mergeCell ref="DT8:DU8"/>
    <mergeCell ref="DZ8:EA8"/>
    <mergeCell ref="EB8:EC8"/>
    <mergeCell ref="ED8:EE8"/>
    <mergeCell ref="J9:K9"/>
    <mergeCell ref="L9:M9"/>
    <mergeCell ref="N9:O9"/>
    <mergeCell ref="BJ100:BJ107"/>
    <mergeCell ref="BL100:BL107"/>
    <mergeCell ref="BN100:BQ107"/>
    <mergeCell ref="BS100:BS107"/>
    <mergeCell ref="BU100:BU107"/>
    <mergeCell ref="BW100:BW107"/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E7:E8"/>
    <mergeCell ref="F7:F8"/>
    <mergeCell ref="J7:O7"/>
    <mergeCell ref="T7:Y7"/>
    <mergeCell ref="AD7:AI7"/>
    <mergeCell ref="AN7:AS7"/>
    <mergeCell ref="AX7:BC7"/>
    <mergeCell ref="AQ6:AS6"/>
    <mergeCell ref="BH6:BJ6"/>
    <mergeCell ref="BK6:BM6"/>
    <mergeCell ref="BH7:BM7"/>
    <mergeCell ref="BH8:BI8"/>
    <mergeCell ref="BJ8:BK8"/>
    <mergeCell ref="BL8:BM8"/>
    <mergeCell ref="BH9:BI9"/>
    <mergeCell ref="BJ9:BK9"/>
    <mergeCell ref="BL9:BM9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E100"/>
  <sheetViews>
    <sheetView topLeftCell="A4" zoomScale="85" zoomScaleNormal="85" zoomScaleSheetLayoutView="100" workbookViewId="0">
      <selection activeCell="T14" sqref="T14:Y17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222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4" spans="2:135" x14ac:dyDescent="0.3">
      <c r="BL4" s="4"/>
    </row>
    <row r="5" spans="2:135" ht="10.050000000000001" customHeight="1" thickBot="1" x14ac:dyDescent="0.35">
      <c r="B5" s="118" t="s">
        <v>4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121</v>
      </c>
      <c r="K6" s="25"/>
      <c r="L6" s="26"/>
      <c r="M6" s="38" t="s">
        <v>109</v>
      </c>
      <c r="N6" s="39"/>
      <c r="O6" s="40"/>
      <c r="P6" s="4"/>
      <c r="Q6" s="4"/>
      <c r="R6" s="4"/>
      <c r="S6" s="4"/>
      <c r="T6" s="24" t="s">
        <v>119</v>
      </c>
      <c r="U6" s="25"/>
      <c r="V6" s="26"/>
      <c r="W6" s="38" t="s">
        <v>109</v>
      </c>
      <c r="X6" s="39"/>
      <c r="Y6" s="40"/>
      <c r="Z6" s="4"/>
      <c r="AA6" s="4"/>
      <c r="AB6" s="4"/>
      <c r="AC6" s="4"/>
      <c r="AD6" s="24" t="s">
        <v>114</v>
      </c>
      <c r="AE6" s="25"/>
      <c r="AF6" s="26"/>
      <c r="AG6" s="38">
        <v>114</v>
      </c>
      <c r="AH6" s="39"/>
      <c r="AI6" s="40"/>
      <c r="AJ6" s="4"/>
      <c r="AK6" s="4"/>
      <c r="AL6" s="4"/>
      <c r="AM6" s="4"/>
      <c r="AN6" s="24" t="s">
        <v>90</v>
      </c>
      <c r="AO6" s="25"/>
      <c r="AP6" s="26"/>
      <c r="AQ6" s="167" t="s">
        <v>178</v>
      </c>
      <c r="AR6" s="168"/>
      <c r="AS6" s="169"/>
      <c r="AT6" s="4"/>
      <c r="AU6" s="4"/>
      <c r="AV6" s="4"/>
      <c r="AW6" s="4"/>
      <c r="AX6" s="24" t="s">
        <v>19</v>
      </c>
      <c r="AY6" s="25"/>
      <c r="AZ6" s="26"/>
      <c r="BA6" s="27" t="s">
        <v>33</v>
      </c>
      <c r="BB6" s="28"/>
      <c r="BC6" s="29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SUM(N8,X8,AH8,AR8,BB8,BL8)</f>
        <v>705</v>
      </c>
      <c r="H7" s="2"/>
      <c r="I7" s="2"/>
      <c r="J7" s="114" t="s">
        <v>21</v>
      </c>
      <c r="K7" s="115"/>
      <c r="L7" s="115"/>
      <c r="M7" s="115"/>
      <c r="N7" s="116"/>
      <c r="O7" s="117"/>
      <c r="P7" s="4"/>
      <c r="Q7" s="4"/>
      <c r="R7" s="4"/>
      <c r="S7" s="4"/>
      <c r="T7" s="114" t="s">
        <v>120</v>
      </c>
      <c r="U7" s="115"/>
      <c r="V7" s="115"/>
      <c r="W7" s="115"/>
      <c r="X7" s="116"/>
      <c r="Y7" s="117"/>
      <c r="Z7" s="4"/>
      <c r="AA7" s="4"/>
      <c r="AB7" s="4"/>
      <c r="AC7" s="4"/>
      <c r="AD7" s="164" t="s">
        <v>117</v>
      </c>
      <c r="AE7" s="165"/>
      <c r="AF7" s="165"/>
      <c r="AG7" s="165"/>
      <c r="AH7" s="165"/>
      <c r="AI7" s="166"/>
      <c r="AJ7" s="4"/>
      <c r="AK7" s="4"/>
      <c r="AL7" s="4"/>
      <c r="AM7" s="4"/>
      <c r="AN7" s="30" t="s">
        <v>147</v>
      </c>
      <c r="AO7" s="31"/>
      <c r="AP7" s="31"/>
      <c r="AQ7" s="31"/>
      <c r="AR7" s="32"/>
      <c r="AS7" s="33"/>
      <c r="AT7" s="4"/>
      <c r="AU7" s="4"/>
      <c r="AV7" s="4"/>
      <c r="AW7" s="4"/>
      <c r="AX7" s="53" t="s">
        <v>32</v>
      </c>
      <c r="AY7" s="54"/>
      <c r="AZ7" s="54"/>
      <c r="BA7" s="54"/>
      <c r="BB7" s="55"/>
      <c r="BC7" s="56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110">
        <v>2</v>
      </c>
      <c r="K8" s="111"/>
      <c r="L8" s="108">
        <v>2</v>
      </c>
      <c r="M8" s="111"/>
      <c r="N8" s="108">
        <v>90</v>
      </c>
      <c r="O8" s="109"/>
      <c r="P8" s="4"/>
      <c r="Q8" s="4"/>
      <c r="R8" s="4"/>
      <c r="S8" s="4"/>
      <c r="T8" s="110">
        <v>2</v>
      </c>
      <c r="U8" s="111"/>
      <c r="V8" s="108">
        <v>2</v>
      </c>
      <c r="W8" s="111"/>
      <c r="X8" s="108">
        <v>90</v>
      </c>
      <c r="Y8" s="109"/>
      <c r="Z8" s="4"/>
      <c r="AA8" s="4"/>
      <c r="AB8" s="4"/>
      <c r="AC8" s="4"/>
      <c r="AD8" s="34">
        <v>4</v>
      </c>
      <c r="AE8" s="35"/>
      <c r="AF8" s="36">
        <v>5</v>
      </c>
      <c r="AG8" s="35"/>
      <c r="AH8" s="36">
        <v>195</v>
      </c>
      <c r="AI8" s="37"/>
      <c r="AJ8" s="4"/>
      <c r="AK8" s="4"/>
      <c r="AL8" s="4"/>
      <c r="AM8" s="4"/>
      <c r="AN8" s="34">
        <v>3</v>
      </c>
      <c r="AO8" s="35"/>
      <c r="AP8" s="36">
        <v>4</v>
      </c>
      <c r="AQ8" s="35"/>
      <c r="AR8" s="36">
        <v>150</v>
      </c>
      <c r="AS8" s="37"/>
      <c r="AT8" s="4"/>
      <c r="AU8" s="4"/>
      <c r="AV8" s="4"/>
      <c r="AW8" s="4"/>
      <c r="AX8" s="57">
        <v>3</v>
      </c>
      <c r="AY8" s="58"/>
      <c r="AZ8" s="59">
        <v>6</v>
      </c>
      <c r="BA8" s="58"/>
      <c r="BB8" s="59">
        <v>180</v>
      </c>
      <c r="BC8" s="91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SUM(J8,T8,AD8,AN8,AX8,BH8,BR8)</f>
        <v>14</v>
      </c>
      <c r="F9" s="11">
        <f>SUM(J9:BW9)</f>
        <v>19</v>
      </c>
      <c r="G9" s="105"/>
      <c r="H9" s="2"/>
      <c r="I9" s="2"/>
      <c r="J9" s="112">
        <v>2</v>
      </c>
      <c r="K9" s="113"/>
      <c r="L9" s="106">
        <v>0</v>
      </c>
      <c r="M9" s="113"/>
      <c r="N9" s="106">
        <v>0</v>
      </c>
      <c r="O9" s="107"/>
      <c r="P9" s="4"/>
      <c r="Q9" s="4"/>
      <c r="R9" s="4"/>
      <c r="S9" s="4"/>
      <c r="T9" s="112">
        <v>2</v>
      </c>
      <c r="U9" s="113"/>
      <c r="V9" s="106">
        <v>0</v>
      </c>
      <c r="W9" s="113"/>
      <c r="X9" s="106">
        <v>0</v>
      </c>
      <c r="Y9" s="107"/>
      <c r="Z9" s="4"/>
      <c r="AA9" s="4"/>
      <c r="AB9" s="4"/>
      <c r="AC9" s="4"/>
      <c r="AD9" s="20">
        <v>3</v>
      </c>
      <c r="AE9" s="21"/>
      <c r="AF9" s="22">
        <v>2</v>
      </c>
      <c r="AG9" s="21"/>
      <c r="AH9" s="22">
        <v>0</v>
      </c>
      <c r="AI9" s="23"/>
      <c r="AJ9" s="4"/>
      <c r="AK9" s="4"/>
      <c r="AL9" s="4"/>
      <c r="AM9" s="4"/>
      <c r="AN9" s="20">
        <v>2</v>
      </c>
      <c r="AO9" s="21"/>
      <c r="AP9" s="22">
        <v>2</v>
      </c>
      <c r="AQ9" s="21"/>
      <c r="AR9" s="22">
        <v>0</v>
      </c>
      <c r="AS9" s="23"/>
      <c r="AT9" s="4"/>
      <c r="AU9" s="4"/>
      <c r="AV9" s="4"/>
      <c r="AW9" s="4"/>
      <c r="AX9" s="92">
        <v>3</v>
      </c>
      <c r="AY9" s="93"/>
      <c r="AZ9" s="70">
        <v>3</v>
      </c>
      <c r="BA9" s="93"/>
      <c r="BB9" s="70">
        <v>0</v>
      </c>
      <c r="BC9" s="71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122</v>
      </c>
      <c r="K14" s="25"/>
      <c r="L14" s="26"/>
      <c r="M14" s="38" t="s">
        <v>109</v>
      </c>
      <c r="N14" s="39"/>
      <c r="O14" s="40"/>
      <c r="P14" s="4"/>
      <c r="Q14" s="4"/>
      <c r="R14" s="4"/>
      <c r="S14" s="4"/>
      <c r="T14" s="24" t="s">
        <v>114</v>
      </c>
      <c r="U14" s="25"/>
      <c r="V14" s="26"/>
      <c r="W14" s="38">
        <v>313</v>
      </c>
      <c r="X14" s="39"/>
      <c r="Y14" s="40"/>
      <c r="Z14" s="4"/>
      <c r="AA14" s="4"/>
      <c r="AB14" s="4"/>
      <c r="AC14" s="4"/>
      <c r="AD14" s="24" t="s">
        <v>114</v>
      </c>
      <c r="AE14" s="25"/>
      <c r="AF14" s="26"/>
      <c r="AG14" s="38">
        <v>131</v>
      </c>
      <c r="AH14" s="39"/>
      <c r="AI14" s="40"/>
      <c r="AJ14" s="4"/>
      <c r="AK14" s="4"/>
      <c r="AL14" s="4"/>
      <c r="AM14" s="4"/>
      <c r="AN14" s="24" t="s">
        <v>149</v>
      </c>
      <c r="AO14" s="25"/>
      <c r="AP14" s="26"/>
      <c r="AQ14" s="38">
        <v>241</v>
      </c>
      <c r="AR14" s="39"/>
      <c r="AS14" s="40"/>
      <c r="AT14" s="4"/>
      <c r="AU14" s="4"/>
      <c r="AV14" s="4"/>
      <c r="AW14" s="4"/>
      <c r="AX14" s="24" t="s">
        <v>19</v>
      </c>
      <c r="AY14" s="25"/>
      <c r="AZ14" s="26"/>
      <c r="BA14" s="27" t="s">
        <v>35</v>
      </c>
      <c r="BB14" s="28"/>
      <c r="BC14" s="29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720</v>
      </c>
      <c r="H15" s="2"/>
      <c r="I15" s="2"/>
      <c r="J15" s="114" t="s">
        <v>123</v>
      </c>
      <c r="K15" s="115"/>
      <c r="L15" s="115"/>
      <c r="M15" s="115"/>
      <c r="N15" s="116"/>
      <c r="O15" s="117"/>
      <c r="P15" s="4"/>
      <c r="Q15" s="4"/>
      <c r="R15" s="4"/>
      <c r="S15" s="4"/>
      <c r="T15" s="30" t="s">
        <v>125</v>
      </c>
      <c r="U15" s="31"/>
      <c r="V15" s="31"/>
      <c r="W15" s="31"/>
      <c r="X15" s="32"/>
      <c r="Y15" s="33"/>
      <c r="Z15" s="4"/>
      <c r="AA15" s="4"/>
      <c r="AB15" s="4"/>
      <c r="AC15" s="4"/>
      <c r="AD15" s="30" t="s">
        <v>124</v>
      </c>
      <c r="AE15" s="31"/>
      <c r="AF15" s="31"/>
      <c r="AG15" s="31"/>
      <c r="AH15" s="32"/>
      <c r="AI15" s="33"/>
      <c r="AJ15" s="4"/>
      <c r="AK15" s="4"/>
      <c r="AL15" s="4"/>
      <c r="AM15" s="4"/>
      <c r="AN15" s="30" t="s">
        <v>160</v>
      </c>
      <c r="AO15" s="31"/>
      <c r="AP15" s="31"/>
      <c r="AQ15" s="31"/>
      <c r="AR15" s="32"/>
      <c r="AS15" s="33"/>
      <c r="AT15" s="4"/>
      <c r="AU15" s="4"/>
      <c r="AV15" s="4"/>
      <c r="AW15" s="4"/>
      <c r="AX15" s="53" t="s">
        <v>34</v>
      </c>
      <c r="AY15" s="54"/>
      <c r="AZ15" s="54"/>
      <c r="BA15" s="54"/>
      <c r="BB15" s="55"/>
      <c r="BC15" s="56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110">
        <v>2</v>
      </c>
      <c r="K16" s="111"/>
      <c r="L16" s="108">
        <v>2</v>
      </c>
      <c r="M16" s="111"/>
      <c r="N16" s="108">
        <v>90</v>
      </c>
      <c r="O16" s="109"/>
      <c r="P16" s="4"/>
      <c r="Q16" s="4"/>
      <c r="R16" s="4"/>
      <c r="S16" s="4"/>
      <c r="T16" s="34">
        <v>4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2</v>
      </c>
      <c r="AE16" s="35"/>
      <c r="AF16" s="36">
        <v>3</v>
      </c>
      <c r="AG16" s="35"/>
      <c r="AH16" s="36">
        <v>105</v>
      </c>
      <c r="AI16" s="37"/>
      <c r="AJ16" s="4"/>
      <c r="AK16" s="4"/>
      <c r="AL16" s="4"/>
      <c r="AM16" s="4"/>
      <c r="AN16" s="34">
        <v>3</v>
      </c>
      <c r="AO16" s="35"/>
      <c r="AP16" s="36">
        <v>4</v>
      </c>
      <c r="AQ16" s="35"/>
      <c r="AR16" s="36">
        <v>150</v>
      </c>
      <c r="AS16" s="37"/>
      <c r="AT16" s="4"/>
      <c r="AU16" s="4"/>
      <c r="AV16" s="4"/>
      <c r="AW16" s="4"/>
      <c r="AX16" s="57">
        <v>3</v>
      </c>
      <c r="AY16" s="58"/>
      <c r="AZ16" s="59">
        <v>6</v>
      </c>
      <c r="BA16" s="58"/>
      <c r="BB16" s="59">
        <v>180</v>
      </c>
      <c r="BC16" s="91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SUM(J16,T16,AD16,AN16,AX16,BH16,BR16)</f>
        <v>14</v>
      </c>
      <c r="F17" s="11">
        <f>SUM(J17:BW17)</f>
        <v>20</v>
      </c>
      <c r="G17" s="105"/>
      <c r="H17" s="2"/>
      <c r="I17" s="2"/>
      <c r="J17" s="112">
        <v>2</v>
      </c>
      <c r="K17" s="113"/>
      <c r="L17" s="106">
        <v>0</v>
      </c>
      <c r="M17" s="113"/>
      <c r="N17" s="106">
        <v>0</v>
      </c>
      <c r="O17" s="107"/>
      <c r="P17" s="4"/>
      <c r="Q17" s="4"/>
      <c r="R17" s="4"/>
      <c r="S17" s="4"/>
      <c r="T17" s="20">
        <v>3</v>
      </c>
      <c r="U17" s="21"/>
      <c r="V17" s="22">
        <v>2</v>
      </c>
      <c r="W17" s="21"/>
      <c r="X17" s="22">
        <v>0</v>
      </c>
      <c r="Y17" s="23"/>
      <c r="Z17" s="4"/>
      <c r="AA17" s="4"/>
      <c r="AB17" s="4"/>
      <c r="AC17" s="4"/>
      <c r="AD17" s="20">
        <v>1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20">
        <v>2</v>
      </c>
      <c r="AO17" s="21"/>
      <c r="AP17" s="22">
        <v>2</v>
      </c>
      <c r="AQ17" s="21"/>
      <c r="AR17" s="22">
        <v>0</v>
      </c>
      <c r="AS17" s="23"/>
      <c r="AT17" s="4"/>
      <c r="AU17" s="4"/>
      <c r="AV17" s="4"/>
      <c r="AW17" s="4"/>
      <c r="AX17" s="92">
        <v>3</v>
      </c>
      <c r="AY17" s="93"/>
      <c r="AZ17" s="70">
        <v>3</v>
      </c>
      <c r="BA17" s="93"/>
      <c r="BB17" s="70">
        <v>0</v>
      </c>
      <c r="BC17" s="71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3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127</v>
      </c>
      <c r="K24" s="25"/>
      <c r="L24" s="26"/>
      <c r="M24" s="38" t="s">
        <v>110</v>
      </c>
      <c r="N24" s="39"/>
      <c r="O24" s="40"/>
      <c r="P24" s="4"/>
      <c r="Q24" s="4"/>
      <c r="R24" s="4"/>
      <c r="S24" s="4"/>
      <c r="T24" s="24" t="s">
        <v>131</v>
      </c>
      <c r="U24" s="25"/>
      <c r="V24" s="26"/>
      <c r="W24" s="38" t="s">
        <v>110</v>
      </c>
      <c r="X24" s="39"/>
      <c r="Y24" s="40"/>
      <c r="Z24" s="4"/>
      <c r="AA24" s="4"/>
      <c r="AB24" s="4"/>
      <c r="AC24" s="4"/>
      <c r="AD24" s="24" t="s">
        <v>114</v>
      </c>
      <c r="AE24" s="25"/>
      <c r="AF24" s="26"/>
      <c r="AG24" s="38">
        <v>112</v>
      </c>
      <c r="AH24" s="39"/>
      <c r="AI24" s="40"/>
      <c r="AJ24" s="4"/>
      <c r="AK24" s="4"/>
      <c r="AL24" s="4"/>
      <c r="AM24" s="4"/>
      <c r="AN24" s="24" t="s">
        <v>149</v>
      </c>
      <c r="AO24" s="25"/>
      <c r="AP24" s="26"/>
      <c r="AQ24" s="38">
        <v>221</v>
      </c>
      <c r="AR24" s="39"/>
      <c r="AS24" s="40"/>
      <c r="AT24" s="4"/>
      <c r="AU24" s="4"/>
      <c r="AV24" s="4"/>
      <c r="AW24" s="4"/>
      <c r="AX24" s="24" t="s">
        <v>19</v>
      </c>
      <c r="AY24" s="25"/>
      <c r="AZ24" s="26"/>
      <c r="BA24" s="38">
        <v>111</v>
      </c>
      <c r="BB24" s="102"/>
      <c r="BC24" s="103"/>
      <c r="BD24" s="4"/>
      <c r="BE24" s="4"/>
      <c r="BF24" s="4"/>
      <c r="BG24" s="4"/>
      <c r="BH24" s="24" t="s">
        <v>19</v>
      </c>
      <c r="BI24" s="25"/>
      <c r="BJ24" s="26"/>
      <c r="BK24" s="38">
        <v>131</v>
      </c>
      <c r="BL24" s="102"/>
      <c r="BM24" s="103"/>
      <c r="BN24" s="4"/>
      <c r="BO24" s="4"/>
      <c r="BP24" s="4"/>
      <c r="BQ24" s="4"/>
      <c r="BR24" s="24" t="s">
        <v>98</v>
      </c>
      <c r="BS24" s="25"/>
      <c r="BT24" s="26"/>
      <c r="BU24" s="38">
        <v>191</v>
      </c>
      <c r="BV24" s="39"/>
      <c r="BW24" s="40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48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SUM(N26,X26,AH26,AR26,BB26,BL26,BV26)</f>
        <v>930</v>
      </c>
      <c r="H25" s="2"/>
      <c r="I25" s="2"/>
      <c r="J25" s="114" t="s">
        <v>128</v>
      </c>
      <c r="K25" s="115"/>
      <c r="L25" s="115"/>
      <c r="M25" s="115"/>
      <c r="N25" s="116"/>
      <c r="O25" s="117"/>
      <c r="P25" s="4"/>
      <c r="Q25" s="4"/>
      <c r="R25" s="4"/>
      <c r="S25" s="4"/>
      <c r="T25" s="114" t="s">
        <v>20</v>
      </c>
      <c r="U25" s="115"/>
      <c r="V25" s="115"/>
      <c r="W25" s="115"/>
      <c r="X25" s="116"/>
      <c r="Y25" s="117"/>
      <c r="Z25" s="4"/>
      <c r="AA25" s="4"/>
      <c r="AB25" s="4"/>
      <c r="AC25" s="4"/>
      <c r="AD25" s="30" t="s">
        <v>126</v>
      </c>
      <c r="AE25" s="31"/>
      <c r="AF25" s="31"/>
      <c r="AG25" s="31"/>
      <c r="AH25" s="32"/>
      <c r="AI25" s="33"/>
      <c r="AJ25" s="4"/>
      <c r="AK25" s="4"/>
      <c r="AL25" s="4"/>
      <c r="AM25" s="4"/>
      <c r="AN25" s="30" t="s">
        <v>179</v>
      </c>
      <c r="AO25" s="31"/>
      <c r="AP25" s="31"/>
      <c r="AQ25" s="31"/>
      <c r="AR25" s="32"/>
      <c r="AS25" s="33"/>
      <c r="AT25" s="4"/>
      <c r="AU25" s="4"/>
      <c r="AV25" s="4"/>
      <c r="AW25" s="4"/>
      <c r="AX25" s="53" t="s">
        <v>36</v>
      </c>
      <c r="AY25" s="54"/>
      <c r="AZ25" s="54"/>
      <c r="BA25" s="54"/>
      <c r="BB25" s="55"/>
      <c r="BC25" s="56"/>
      <c r="BD25" s="4"/>
      <c r="BE25" s="4"/>
      <c r="BF25" s="4"/>
      <c r="BG25" s="4"/>
      <c r="BH25" s="53" t="s">
        <v>37</v>
      </c>
      <c r="BI25" s="54"/>
      <c r="BJ25" s="54"/>
      <c r="BK25" s="54"/>
      <c r="BL25" s="55"/>
      <c r="BM25" s="56"/>
      <c r="BN25" s="4"/>
      <c r="BO25" s="4"/>
      <c r="BP25" s="4"/>
      <c r="BQ25" s="4"/>
      <c r="BR25" s="41" t="s">
        <v>159</v>
      </c>
      <c r="BS25" s="42"/>
      <c r="BT25" s="42"/>
      <c r="BU25" s="42"/>
      <c r="BV25" s="43"/>
      <c r="BW25" s="4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110">
        <v>2</v>
      </c>
      <c r="K26" s="111"/>
      <c r="L26" s="108">
        <v>2</v>
      </c>
      <c r="M26" s="111"/>
      <c r="N26" s="108">
        <v>90</v>
      </c>
      <c r="O26" s="109"/>
      <c r="P26" s="4"/>
      <c r="Q26" s="4"/>
      <c r="R26" s="4"/>
      <c r="S26" s="4"/>
      <c r="T26" s="110">
        <v>2</v>
      </c>
      <c r="U26" s="111"/>
      <c r="V26" s="108">
        <v>2</v>
      </c>
      <c r="W26" s="111"/>
      <c r="X26" s="108">
        <v>90</v>
      </c>
      <c r="Y26" s="109"/>
      <c r="Z26" s="4"/>
      <c r="AA26" s="4"/>
      <c r="AB26" s="4"/>
      <c r="AC26" s="4"/>
      <c r="AD26" s="34">
        <v>3</v>
      </c>
      <c r="AE26" s="35"/>
      <c r="AF26" s="36">
        <v>4</v>
      </c>
      <c r="AG26" s="35"/>
      <c r="AH26" s="36">
        <v>150</v>
      </c>
      <c r="AI26" s="37"/>
      <c r="AJ26" s="4"/>
      <c r="AK26" s="4"/>
      <c r="AL26" s="4"/>
      <c r="AM26" s="4"/>
      <c r="AN26" s="34">
        <v>3</v>
      </c>
      <c r="AO26" s="35"/>
      <c r="AP26" s="36">
        <v>5</v>
      </c>
      <c r="AQ26" s="35"/>
      <c r="AR26" s="36">
        <v>165</v>
      </c>
      <c r="AS26" s="37"/>
      <c r="AT26" s="4"/>
      <c r="AU26" s="4"/>
      <c r="AV26" s="4"/>
      <c r="AW26" s="4"/>
      <c r="AX26" s="57">
        <v>3</v>
      </c>
      <c r="AY26" s="58"/>
      <c r="AZ26" s="59">
        <v>6</v>
      </c>
      <c r="BA26" s="58"/>
      <c r="BB26" s="59">
        <v>180</v>
      </c>
      <c r="BC26" s="91"/>
      <c r="BD26" s="4"/>
      <c r="BE26" s="4"/>
      <c r="BF26" s="4"/>
      <c r="BG26" s="4"/>
      <c r="BH26" s="57">
        <v>3</v>
      </c>
      <c r="BI26" s="58"/>
      <c r="BJ26" s="59">
        <v>7</v>
      </c>
      <c r="BK26" s="58"/>
      <c r="BL26" s="59">
        <v>195</v>
      </c>
      <c r="BM26" s="91"/>
      <c r="BN26" s="4"/>
      <c r="BO26" s="4"/>
      <c r="BP26" s="4"/>
      <c r="BQ26" s="4"/>
      <c r="BR26" s="45">
        <v>2</v>
      </c>
      <c r="BS26" s="46"/>
      <c r="BT26" s="47">
        <v>2</v>
      </c>
      <c r="BU26" s="46"/>
      <c r="BV26" s="47">
        <v>60</v>
      </c>
      <c r="BW26" s="48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thickBot="1" x14ac:dyDescent="0.35">
      <c r="B27" s="118"/>
      <c r="C27" s="1"/>
      <c r="D27" s="119"/>
      <c r="E27" s="11">
        <f>SUM(J26,T26,AD26,AN26,AX26,BH26,BR26)</f>
        <v>18</v>
      </c>
      <c r="F27" s="11">
        <f>SUM(J27:BW27)</f>
        <v>28</v>
      </c>
      <c r="G27" s="105"/>
      <c r="H27" s="2"/>
      <c r="I27" s="2"/>
      <c r="J27" s="112">
        <v>2</v>
      </c>
      <c r="K27" s="113"/>
      <c r="L27" s="106">
        <v>0</v>
      </c>
      <c r="M27" s="113"/>
      <c r="N27" s="106">
        <v>0</v>
      </c>
      <c r="O27" s="107"/>
      <c r="P27" s="4"/>
      <c r="Q27" s="4"/>
      <c r="R27" s="4"/>
      <c r="S27" s="4"/>
      <c r="T27" s="112">
        <v>2</v>
      </c>
      <c r="U27" s="113"/>
      <c r="V27" s="106">
        <v>0</v>
      </c>
      <c r="W27" s="113"/>
      <c r="X27" s="106">
        <v>0</v>
      </c>
      <c r="Y27" s="107"/>
      <c r="Z27" s="4"/>
      <c r="AA27" s="4"/>
      <c r="AB27" s="4"/>
      <c r="AC27" s="4"/>
      <c r="AD27" s="20">
        <v>2</v>
      </c>
      <c r="AE27" s="21"/>
      <c r="AF27" s="22">
        <v>2</v>
      </c>
      <c r="AG27" s="21"/>
      <c r="AH27" s="22">
        <v>0</v>
      </c>
      <c r="AI27" s="23"/>
      <c r="AJ27" s="4"/>
      <c r="AK27" s="4"/>
      <c r="AL27" s="4"/>
      <c r="AM27" s="4"/>
      <c r="AN27" s="20">
        <v>2</v>
      </c>
      <c r="AO27" s="21"/>
      <c r="AP27" s="22">
        <v>3</v>
      </c>
      <c r="AQ27" s="21"/>
      <c r="AR27" s="22">
        <v>0</v>
      </c>
      <c r="AS27" s="23"/>
      <c r="AT27" s="4"/>
      <c r="AU27" s="4"/>
      <c r="AV27" s="4"/>
      <c r="AW27" s="4"/>
      <c r="AX27" s="92">
        <v>3</v>
      </c>
      <c r="AY27" s="93"/>
      <c r="AZ27" s="70">
        <v>3</v>
      </c>
      <c r="BA27" s="93"/>
      <c r="BB27" s="70">
        <v>0</v>
      </c>
      <c r="BC27" s="71"/>
      <c r="BD27" s="4"/>
      <c r="BE27" s="4"/>
      <c r="BF27" s="4"/>
      <c r="BG27" s="4"/>
      <c r="BH27" s="92">
        <v>3</v>
      </c>
      <c r="BI27" s="93"/>
      <c r="BJ27" s="70">
        <v>2</v>
      </c>
      <c r="BK27" s="93"/>
      <c r="BL27" s="70">
        <v>2</v>
      </c>
      <c r="BM27" s="71"/>
      <c r="BN27" s="4"/>
      <c r="BO27" s="4"/>
      <c r="BP27" s="4"/>
      <c r="BQ27" s="4"/>
      <c r="BR27" s="49">
        <v>2</v>
      </c>
      <c r="BS27" s="50"/>
      <c r="BT27" s="51">
        <v>0</v>
      </c>
      <c r="BU27" s="50"/>
      <c r="BV27" s="51">
        <v>0</v>
      </c>
      <c r="BW27" s="52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129</v>
      </c>
      <c r="K32" s="25"/>
      <c r="L32" s="26"/>
      <c r="M32" s="38" t="s">
        <v>110</v>
      </c>
      <c r="N32" s="39"/>
      <c r="O32" s="40"/>
      <c r="P32" s="4"/>
      <c r="Q32" s="4"/>
      <c r="R32" s="4"/>
      <c r="S32" s="4"/>
      <c r="T32" s="24" t="s">
        <v>19</v>
      </c>
      <c r="U32" s="25"/>
      <c r="V32" s="26"/>
      <c r="W32" s="38">
        <v>315</v>
      </c>
      <c r="X32" s="39"/>
      <c r="Y32" s="40"/>
      <c r="Z32" s="4"/>
      <c r="AA32" s="4"/>
      <c r="AB32" s="4"/>
      <c r="AC32" s="4"/>
      <c r="AD32" s="24" t="s">
        <v>19</v>
      </c>
      <c r="AE32" s="25"/>
      <c r="AF32" s="26"/>
      <c r="AG32" s="38">
        <v>112</v>
      </c>
      <c r="AH32" s="102"/>
      <c r="AI32" s="103"/>
      <c r="AJ32" s="4"/>
      <c r="AK32" s="4"/>
      <c r="AL32" s="4"/>
      <c r="AM32" s="4"/>
      <c r="AN32" s="24" t="s">
        <v>19</v>
      </c>
      <c r="AO32" s="25"/>
      <c r="AP32" s="26"/>
      <c r="AQ32" s="38">
        <v>221</v>
      </c>
      <c r="AR32" s="102"/>
      <c r="AS32" s="103"/>
      <c r="AT32" s="4"/>
      <c r="AU32" s="4"/>
      <c r="AV32" s="4"/>
      <c r="AW32" s="4"/>
      <c r="AX32" s="24" t="s">
        <v>19</v>
      </c>
      <c r="AY32" s="25"/>
      <c r="AZ32" s="26"/>
      <c r="BA32" s="38">
        <v>251</v>
      </c>
      <c r="BB32" s="102"/>
      <c r="BC32" s="103"/>
      <c r="BD32" s="4"/>
      <c r="BE32" s="4"/>
      <c r="BF32" s="4"/>
      <c r="BG32" s="4"/>
      <c r="BH32" s="24" t="s">
        <v>98</v>
      </c>
      <c r="BI32" s="25"/>
      <c r="BJ32" s="26"/>
      <c r="BK32" s="38">
        <v>241</v>
      </c>
      <c r="BL32" s="102"/>
      <c r="BM32" s="103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975</v>
      </c>
      <c r="H33" s="2"/>
      <c r="I33" s="2"/>
      <c r="J33" s="114" t="s">
        <v>130</v>
      </c>
      <c r="K33" s="115"/>
      <c r="L33" s="115"/>
      <c r="M33" s="115"/>
      <c r="N33" s="116"/>
      <c r="O33" s="117"/>
      <c r="P33" s="4"/>
      <c r="Q33" s="4"/>
      <c r="R33" s="4"/>
      <c r="S33" s="4"/>
      <c r="T33" s="30" t="s">
        <v>26</v>
      </c>
      <c r="U33" s="31"/>
      <c r="V33" s="31"/>
      <c r="W33" s="31"/>
      <c r="X33" s="32"/>
      <c r="Y33" s="33"/>
      <c r="Z33" s="4"/>
      <c r="AA33" s="4"/>
      <c r="AB33" s="4"/>
      <c r="AC33" s="4"/>
      <c r="AD33" s="53" t="s">
        <v>38</v>
      </c>
      <c r="AE33" s="54"/>
      <c r="AF33" s="54"/>
      <c r="AG33" s="54"/>
      <c r="AH33" s="55"/>
      <c r="AI33" s="56"/>
      <c r="AJ33" s="4"/>
      <c r="AK33" s="4"/>
      <c r="AL33" s="4"/>
      <c r="AM33" s="4"/>
      <c r="AN33" s="53" t="s">
        <v>43</v>
      </c>
      <c r="AO33" s="54"/>
      <c r="AP33" s="54"/>
      <c r="AQ33" s="54"/>
      <c r="AR33" s="55"/>
      <c r="AS33" s="56"/>
      <c r="AT33" s="4"/>
      <c r="AU33" s="4"/>
      <c r="AV33" s="4"/>
      <c r="AW33" s="4"/>
      <c r="AX33" s="53" t="s">
        <v>67</v>
      </c>
      <c r="AY33" s="54"/>
      <c r="AZ33" s="54"/>
      <c r="BA33" s="54"/>
      <c r="BB33" s="55"/>
      <c r="BC33" s="56"/>
      <c r="BD33" s="4"/>
      <c r="BE33" s="4"/>
      <c r="BF33" s="4"/>
      <c r="BG33" s="4"/>
      <c r="BH33" s="94" t="s">
        <v>97</v>
      </c>
      <c r="BI33" s="95"/>
      <c r="BJ33" s="95"/>
      <c r="BK33" s="95"/>
      <c r="BL33" s="96"/>
      <c r="BM33" s="97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110">
        <v>2</v>
      </c>
      <c r="K34" s="111"/>
      <c r="L34" s="108">
        <v>2</v>
      </c>
      <c r="M34" s="111"/>
      <c r="N34" s="108">
        <v>90</v>
      </c>
      <c r="O34" s="109"/>
      <c r="P34" s="4"/>
      <c r="Q34" s="4"/>
      <c r="R34" s="4"/>
      <c r="S34" s="4"/>
      <c r="T34" s="34">
        <v>3</v>
      </c>
      <c r="U34" s="35"/>
      <c r="V34" s="36">
        <v>4</v>
      </c>
      <c r="W34" s="35"/>
      <c r="X34" s="36">
        <v>150</v>
      </c>
      <c r="Y34" s="37"/>
      <c r="Z34" s="4"/>
      <c r="AA34" s="4"/>
      <c r="AB34" s="4"/>
      <c r="AC34" s="4"/>
      <c r="AD34" s="57">
        <v>3</v>
      </c>
      <c r="AE34" s="58"/>
      <c r="AF34" s="59">
        <v>6</v>
      </c>
      <c r="AG34" s="58"/>
      <c r="AH34" s="59">
        <v>180</v>
      </c>
      <c r="AI34" s="91"/>
      <c r="AJ34" s="4"/>
      <c r="AK34" s="4"/>
      <c r="AL34" s="4"/>
      <c r="AM34" s="4"/>
      <c r="AN34" s="57">
        <v>3</v>
      </c>
      <c r="AO34" s="58"/>
      <c r="AP34" s="59">
        <v>6</v>
      </c>
      <c r="AQ34" s="58"/>
      <c r="AR34" s="59">
        <v>180</v>
      </c>
      <c r="AS34" s="91"/>
      <c r="AT34" s="4"/>
      <c r="AU34" s="4"/>
      <c r="AV34" s="4"/>
      <c r="AW34" s="4"/>
      <c r="AX34" s="57">
        <v>3</v>
      </c>
      <c r="AY34" s="58"/>
      <c r="AZ34" s="59">
        <v>6</v>
      </c>
      <c r="BA34" s="58"/>
      <c r="BB34" s="59">
        <v>180</v>
      </c>
      <c r="BC34" s="91"/>
      <c r="BD34" s="4"/>
      <c r="BE34" s="4"/>
      <c r="BF34" s="4"/>
      <c r="BG34" s="4"/>
      <c r="BH34" s="98">
        <v>3</v>
      </c>
      <c r="BI34" s="99"/>
      <c r="BJ34" s="100">
        <v>7</v>
      </c>
      <c r="BK34" s="99"/>
      <c r="BL34" s="100">
        <v>195</v>
      </c>
      <c r="BM34" s="101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SUM(J34,T34,AD34,AN34,AX34,BH34,BR34)</f>
        <v>17</v>
      </c>
      <c r="F35" s="11">
        <f>L34+V34+AF34+AP34+AZ34+BJ34+BT34</f>
        <v>31</v>
      </c>
      <c r="G35" s="105"/>
      <c r="H35" s="2"/>
      <c r="I35" s="2"/>
      <c r="J35" s="112">
        <v>2</v>
      </c>
      <c r="K35" s="113"/>
      <c r="L35" s="106">
        <v>0</v>
      </c>
      <c r="M35" s="113"/>
      <c r="N35" s="106">
        <v>0</v>
      </c>
      <c r="O35" s="107"/>
      <c r="P35" s="4"/>
      <c r="Q35" s="4"/>
      <c r="R35" s="4"/>
      <c r="S35" s="4"/>
      <c r="T35" s="20">
        <v>2</v>
      </c>
      <c r="U35" s="21"/>
      <c r="V35" s="22">
        <v>0</v>
      </c>
      <c r="W35" s="21"/>
      <c r="X35" s="22">
        <v>2</v>
      </c>
      <c r="Y35" s="23"/>
      <c r="Z35" s="4"/>
      <c r="AA35" s="4"/>
      <c r="AB35" s="4"/>
      <c r="AC35" s="4"/>
      <c r="AD35" s="92">
        <v>3</v>
      </c>
      <c r="AE35" s="93"/>
      <c r="AF35" s="70">
        <v>3</v>
      </c>
      <c r="AG35" s="93"/>
      <c r="AH35" s="70">
        <v>0</v>
      </c>
      <c r="AI35" s="71"/>
      <c r="AJ35" s="4"/>
      <c r="AK35" s="4"/>
      <c r="AL35" s="4"/>
      <c r="AM35" s="4"/>
      <c r="AN35" s="92">
        <v>3</v>
      </c>
      <c r="AO35" s="93"/>
      <c r="AP35" s="70">
        <v>3</v>
      </c>
      <c r="AQ35" s="93"/>
      <c r="AR35" s="70">
        <v>0</v>
      </c>
      <c r="AS35" s="71"/>
      <c r="AT35" s="4"/>
      <c r="AU35" s="4"/>
      <c r="AV35" s="4"/>
      <c r="AW35" s="4"/>
      <c r="AX35" s="92">
        <v>3</v>
      </c>
      <c r="AY35" s="93"/>
      <c r="AZ35" s="70">
        <v>3</v>
      </c>
      <c r="BA35" s="93"/>
      <c r="BB35" s="70">
        <v>0</v>
      </c>
      <c r="BC35" s="71"/>
      <c r="BD35" s="4"/>
      <c r="BE35" s="4"/>
      <c r="BF35" s="4"/>
      <c r="BG35" s="4"/>
      <c r="BH35" s="72">
        <v>3</v>
      </c>
      <c r="BI35" s="73"/>
      <c r="BJ35" s="68">
        <v>2</v>
      </c>
      <c r="BK35" s="73"/>
      <c r="BL35" s="68">
        <v>2</v>
      </c>
      <c r="BM35" s="69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2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133</v>
      </c>
      <c r="K42" s="25"/>
      <c r="L42" s="26"/>
      <c r="M42" s="38" t="s">
        <v>110</v>
      </c>
      <c r="N42" s="39"/>
      <c r="O42" s="40"/>
      <c r="P42" s="4"/>
      <c r="Q42" s="4"/>
      <c r="R42" s="4"/>
      <c r="S42" s="4"/>
      <c r="T42" s="24" t="s">
        <v>19</v>
      </c>
      <c r="U42" s="25"/>
      <c r="V42" s="26"/>
      <c r="W42" s="38">
        <v>281</v>
      </c>
      <c r="X42" s="102"/>
      <c r="Y42" s="103"/>
      <c r="Z42" s="4"/>
      <c r="AA42" s="4"/>
      <c r="AB42" s="4"/>
      <c r="AC42" s="4"/>
      <c r="AD42" s="24" t="s">
        <v>19</v>
      </c>
      <c r="AE42" s="25"/>
      <c r="AF42" s="26"/>
      <c r="AG42" s="38">
        <v>261</v>
      </c>
      <c r="AH42" s="102"/>
      <c r="AI42" s="103"/>
      <c r="AJ42" s="4"/>
      <c r="AK42" s="4"/>
      <c r="AL42" s="4"/>
      <c r="AM42" s="4"/>
      <c r="AN42" s="24" t="s">
        <v>98</v>
      </c>
      <c r="AO42" s="25"/>
      <c r="AP42" s="26"/>
      <c r="AQ42" s="38">
        <v>311</v>
      </c>
      <c r="AR42" s="102"/>
      <c r="AS42" s="103"/>
      <c r="AT42" s="4"/>
      <c r="AU42" s="4"/>
      <c r="AV42" s="4"/>
      <c r="AW42" s="4"/>
      <c r="AX42" s="24" t="s">
        <v>98</v>
      </c>
      <c r="AY42" s="25"/>
      <c r="AZ42" s="26"/>
      <c r="BA42" s="38">
        <v>351</v>
      </c>
      <c r="BB42" s="102"/>
      <c r="BC42" s="103"/>
      <c r="BD42" s="4"/>
      <c r="BE42" s="4"/>
      <c r="BF42" s="4"/>
      <c r="BG42" s="4"/>
      <c r="BH42" s="24" t="s">
        <v>48</v>
      </c>
      <c r="BI42" s="25"/>
      <c r="BJ42" s="26"/>
      <c r="BK42" s="38">
        <v>111</v>
      </c>
      <c r="BL42" s="39"/>
      <c r="BM42" s="40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1005</v>
      </c>
      <c r="H43" s="2"/>
      <c r="I43" s="2"/>
      <c r="J43" s="114" t="s">
        <v>132</v>
      </c>
      <c r="K43" s="115"/>
      <c r="L43" s="115"/>
      <c r="M43" s="115"/>
      <c r="N43" s="116"/>
      <c r="O43" s="117"/>
      <c r="P43" s="4"/>
      <c r="Q43" s="4"/>
      <c r="R43" s="4"/>
      <c r="S43" s="4"/>
      <c r="T43" s="53" t="s">
        <v>42</v>
      </c>
      <c r="U43" s="54"/>
      <c r="V43" s="54"/>
      <c r="W43" s="54"/>
      <c r="X43" s="55"/>
      <c r="Y43" s="56"/>
      <c r="Z43" s="4"/>
      <c r="AA43" s="4"/>
      <c r="AB43" s="4"/>
      <c r="AC43" s="4"/>
      <c r="AD43" s="53" t="s">
        <v>41</v>
      </c>
      <c r="AE43" s="54"/>
      <c r="AF43" s="54"/>
      <c r="AG43" s="54"/>
      <c r="AH43" s="55"/>
      <c r="AI43" s="56"/>
      <c r="AJ43" s="4"/>
      <c r="AK43" s="4"/>
      <c r="AL43" s="4"/>
      <c r="AM43" s="4"/>
      <c r="AN43" s="94" t="s">
        <v>99</v>
      </c>
      <c r="AO43" s="95"/>
      <c r="AP43" s="95"/>
      <c r="AQ43" s="95"/>
      <c r="AR43" s="96"/>
      <c r="AS43" s="97"/>
      <c r="AT43" s="4"/>
      <c r="AU43" s="4"/>
      <c r="AV43" s="4"/>
      <c r="AW43" s="4"/>
      <c r="AX43" s="94" t="s">
        <v>100</v>
      </c>
      <c r="AY43" s="95"/>
      <c r="AZ43" s="95"/>
      <c r="BA43" s="95"/>
      <c r="BB43" s="96"/>
      <c r="BC43" s="97"/>
      <c r="BD43" s="4"/>
      <c r="BE43" s="4"/>
      <c r="BF43" s="4"/>
      <c r="BG43" s="4"/>
      <c r="BH43" s="146" t="s">
        <v>47</v>
      </c>
      <c r="BI43" s="147"/>
      <c r="BJ43" s="147"/>
      <c r="BK43" s="147"/>
      <c r="BL43" s="148"/>
      <c r="BM43" s="149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110">
        <v>2</v>
      </c>
      <c r="K44" s="111"/>
      <c r="L44" s="108">
        <v>2</v>
      </c>
      <c r="M44" s="111"/>
      <c r="N44" s="108">
        <v>90</v>
      </c>
      <c r="O44" s="109"/>
      <c r="P44" s="4"/>
      <c r="Q44" s="4"/>
      <c r="R44" s="4"/>
      <c r="S44" s="4"/>
      <c r="T44" s="57">
        <v>3</v>
      </c>
      <c r="U44" s="58"/>
      <c r="V44" s="59">
        <v>6</v>
      </c>
      <c r="W44" s="58"/>
      <c r="X44" s="59">
        <v>180</v>
      </c>
      <c r="Y44" s="91"/>
      <c r="Z44" s="4"/>
      <c r="AA44" s="4"/>
      <c r="AB44" s="4"/>
      <c r="AC44" s="4"/>
      <c r="AD44" s="57">
        <v>3</v>
      </c>
      <c r="AE44" s="58"/>
      <c r="AF44" s="59">
        <v>5</v>
      </c>
      <c r="AG44" s="58"/>
      <c r="AH44" s="59">
        <v>165</v>
      </c>
      <c r="AI44" s="91"/>
      <c r="AJ44" s="4"/>
      <c r="AK44" s="4"/>
      <c r="AL44" s="4"/>
      <c r="AM44" s="4"/>
      <c r="AN44" s="98">
        <v>3</v>
      </c>
      <c r="AO44" s="99"/>
      <c r="AP44" s="100">
        <v>7</v>
      </c>
      <c r="AQ44" s="99"/>
      <c r="AR44" s="100">
        <v>195</v>
      </c>
      <c r="AS44" s="101"/>
      <c r="AT44" s="4"/>
      <c r="AU44" s="4"/>
      <c r="AV44" s="4"/>
      <c r="AW44" s="4"/>
      <c r="AX44" s="98">
        <v>3</v>
      </c>
      <c r="AY44" s="99"/>
      <c r="AZ44" s="100">
        <v>7</v>
      </c>
      <c r="BA44" s="99"/>
      <c r="BB44" s="100">
        <v>195</v>
      </c>
      <c r="BC44" s="101"/>
      <c r="BD44" s="4"/>
      <c r="BE44" s="4"/>
      <c r="BF44" s="4"/>
      <c r="BG44" s="4"/>
      <c r="BH44" s="138">
        <v>3</v>
      </c>
      <c r="BI44" s="139"/>
      <c r="BJ44" s="140">
        <v>6</v>
      </c>
      <c r="BK44" s="139"/>
      <c r="BL44" s="140">
        <v>180</v>
      </c>
      <c r="BM44" s="141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17</v>
      </c>
      <c r="F45" s="11">
        <f>SUM(J45:BM45)</f>
        <v>33</v>
      </c>
      <c r="G45" s="105"/>
      <c r="H45" s="2"/>
      <c r="I45" s="2"/>
      <c r="J45" s="112">
        <v>2</v>
      </c>
      <c r="K45" s="113"/>
      <c r="L45" s="106">
        <v>0</v>
      </c>
      <c r="M45" s="113"/>
      <c r="N45" s="106">
        <v>0</v>
      </c>
      <c r="O45" s="107"/>
      <c r="P45" s="4"/>
      <c r="Q45" s="4"/>
      <c r="R45" s="4"/>
      <c r="S45" s="4"/>
      <c r="T45" s="92">
        <v>3</v>
      </c>
      <c r="U45" s="93"/>
      <c r="V45" s="70">
        <v>3</v>
      </c>
      <c r="W45" s="93"/>
      <c r="X45" s="70">
        <v>0</v>
      </c>
      <c r="Y45" s="71"/>
      <c r="Z45" s="4"/>
      <c r="AA45" s="4"/>
      <c r="AB45" s="4"/>
      <c r="AC45" s="4"/>
      <c r="AD45" s="92">
        <v>3</v>
      </c>
      <c r="AE45" s="93"/>
      <c r="AF45" s="70">
        <v>2</v>
      </c>
      <c r="AG45" s="93"/>
      <c r="AH45" s="70">
        <v>0</v>
      </c>
      <c r="AI45" s="71"/>
      <c r="AJ45" s="4"/>
      <c r="AK45" s="4"/>
      <c r="AL45" s="4"/>
      <c r="AM45" s="4"/>
      <c r="AN45" s="72">
        <v>3</v>
      </c>
      <c r="AO45" s="73"/>
      <c r="AP45" s="68">
        <v>2</v>
      </c>
      <c r="AQ45" s="73"/>
      <c r="AR45" s="68">
        <v>2</v>
      </c>
      <c r="AS45" s="69"/>
      <c r="AT45" s="4"/>
      <c r="AU45" s="4"/>
      <c r="AV45" s="4"/>
      <c r="AW45" s="4"/>
      <c r="AX45" s="72">
        <v>3</v>
      </c>
      <c r="AY45" s="73"/>
      <c r="AZ45" s="68">
        <v>2</v>
      </c>
      <c r="BA45" s="73"/>
      <c r="BB45" s="68">
        <v>2</v>
      </c>
      <c r="BC45" s="69"/>
      <c r="BD45" s="4"/>
      <c r="BE45" s="4"/>
      <c r="BF45" s="4"/>
      <c r="BG45" s="4"/>
      <c r="BH45" s="142">
        <v>3</v>
      </c>
      <c r="BI45" s="143"/>
      <c r="BJ45" s="144">
        <v>3</v>
      </c>
      <c r="BK45" s="143"/>
      <c r="BL45" s="144">
        <v>0</v>
      </c>
      <c r="BM45" s="145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135</v>
      </c>
      <c r="K50" s="25"/>
      <c r="L50" s="26"/>
      <c r="M50" s="38" t="s">
        <v>111</v>
      </c>
      <c r="N50" s="39"/>
      <c r="O50" s="40"/>
      <c r="P50" s="4"/>
      <c r="Q50" s="4"/>
      <c r="R50" s="4"/>
      <c r="S50" s="4"/>
      <c r="T50" s="24" t="s">
        <v>144</v>
      </c>
      <c r="U50" s="25"/>
      <c r="V50" s="26"/>
      <c r="W50" s="38" t="s">
        <v>111</v>
      </c>
      <c r="X50" s="39"/>
      <c r="Y50" s="40"/>
      <c r="Z50" s="4"/>
      <c r="AA50" s="4"/>
      <c r="AB50" s="4"/>
      <c r="AC50" s="4"/>
      <c r="AD50" s="24" t="s">
        <v>19</v>
      </c>
      <c r="AE50" s="25"/>
      <c r="AF50" s="26"/>
      <c r="AG50" s="38">
        <v>352</v>
      </c>
      <c r="AH50" s="102"/>
      <c r="AI50" s="103"/>
      <c r="AJ50" s="4"/>
      <c r="AK50" s="4"/>
      <c r="AL50" s="4"/>
      <c r="AM50" s="4"/>
      <c r="AN50" s="24" t="s">
        <v>98</v>
      </c>
      <c r="AO50" s="25"/>
      <c r="AP50" s="26"/>
      <c r="AQ50" s="38">
        <v>212</v>
      </c>
      <c r="AR50" s="102"/>
      <c r="AS50" s="103"/>
      <c r="AT50" s="4"/>
      <c r="AU50" s="4"/>
      <c r="AV50" s="4"/>
      <c r="AW50" s="4"/>
      <c r="AX50" s="24" t="s">
        <v>98</v>
      </c>
      <c r="AY50" s="25"/>
      <c r="AZ50" s="26"/>
      <c r="BA50" s="38">
        <v>361</v>
      </c>
      <c r="BB50" s="102"/>
      <c r="BC50" s="103"/>
      <c r="BD50" s="4"/>
      <c r="BE50" s="4"/>
      <c r="BF50" s="4"/>
      <c r="BG50" s="4"/>
      <c r="BH50" s="24" t="s">
        <v>136</v>
      </c>
      <c r="BI50" s="25"/>
      <c r="BJ50" s="26"/>
      <c r="BK50" s="38" t="s">
        <v>111</v>
      </c>
      <c r="BL50" s="39"/>
      <c r="BM50" s="40"/>
      <c r="BN50" s="4"/>
      <c r="BO50" s="4"/>
      <c r="BP50" s="4"/>
      <c r="BQ50" s="4"/>
      <c r="BR50" s="24" t="s">
        <v>98</v>
      </c>
      <c r="BS50" s="25"/>
      <c r="BT50" s="26"/>
      <c r="BU50" s="38">
        <v>292</v>
      </c>
      <c r="BV50" s="39"/>
      <c r="BW50" s="40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SUM(N52,X52,AH52,AR52,BB52,BL52,BV52)</f>
        <v>945</v>
      </c>
      <c r="H51" s="2"/>
      <c r="I51" s="2"/>
      <c r="J51" s="114" t="s">
        <v>134</v>
      </c>
      <c r="K51" s="115"/>
      <c r="L51" s="115"/>
      <c r="M51" s="115"/>
      <c r="N51" s="116"/>
      <c r="O51" s="117"/>
      <c r="P51" s="4"/>
      <c r="Q51" s="4"/>
      <c r="R51" s="4"/>
      <c r="S51" s="4"/>
      <c r="T51" s="114" t="s">
        <v>106</v>
      </c>
      <c r="U51" s="115"/>
      <c r="V51" s="115"/>
      <c r="W51" s="115"/>
      <c r="X51" s="116"/>
      <c r="Y51" s="117"/>
      <c r="Z51" s="4"/>
      <c r="AA51" s="4"/>
      <c r="AB51" s="4"/>
      <c r="AC51" s="4"/>
      <c r="AD51" s="53" t="s">
        <v>91</v>
      </c>
      <c r="AE51" s="54"/>
      <c r="AF51" s="54"/>
      <c r="AG51" s="54"/>
      <c r="AH51" s="55"/>
      <c r="AI51" s="56"/>
      <c r="AJ51" s="4"/>
      <c r="AK51" s="4"/>
      <c r="AL51" s="4"/>
      <c r="AM51" s="4"/>
      <c r="AN51" s="94" t="s">
        <v>101</v>
      </c>
      <c r="AO51" s="95"/>
      <c r="AP51" s="95"/>
      <c r="AQ51" s="95"/>
      <c r="AR51" s="96"/>
      <c r="AS51" s="97"/>
      <c r="AT51" s="4"/>
      <c r="AU51" s="4"/>
      <c r="AV51" s="4"/>
      <c r="AW51" s="4"/>
      <c r="AX51" s="94" t="s">
        <v>102</v>
      </c>
      <c r="AY51" s="95"/>
      <c r="AZ51" s="95"/>
      <c r="BA51" s="95"/>
      <c r="BB51" s="96"/>
      <c r="BC51" s="97"/>
      <c r="BD51" s="4"/>
      <c r="BE51" s="4"/>
      <c r="BF51" s="4"/>
      <c r="BG51" s="4"/>
      <c r="BH51" s="76" t="s">
        <v>138</v>
      </c>
      <c r="BI51" s="77"/>
      <c r="BJ51" s="77"/>
      <c r="BK51" s="77"/>
      <c r="BL51" s="77"/>
      <c r="BM51" s="78"/>
      <c r="BN51" s="4"/>
      <c r="BO51" s="4"/>
      <c r="BP51" s="4"/>
      <c r="BQ51" s="4"/>
      <c r="BR51" s="41" t="s">
        <v>158</v>
      </c>
      <c r="BS51" s="42"/>
      <c r="BT51" s="42"/>
      <c r="BU51" s="42"/>
      <c r="BV51" s="43"/>
      <c r="BW51" s="4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110">
        <v>2</v>
      </c>
      <c r="K52" s="111"/>
      <c r="L52" s="108">
        <v>2</v>
      </c>
      <c r="M52" s="111"/>
      <c r="N52" s="108">
        <v>90</v>
      </c>
      <c r="O52" s="109"/>
      <c r="P52" s="4"/>
      <c r="Q52" s="4"/>
      <c r="R52" s="4"/>
      <c r="S52" s="4"/>
      <c r="T52" s="110">
        <v>2</v>
      </c>
      <c r="U52" s="111"/>
      <c r="V52" s="108">
        <v>2</v>
      </c>
      <c r="W52" s="111"/>
      <c r="X52" s="108">
        <v>90</v>
      </c>
      <c r="Y52" s="109"/>
      <c r="Z52" s="4"/>
      <c r="AA52" s="4"/>
      <c r="AB52" s="4"/>
      <c r="AC52" s="4"/>
      <c r="AD52" s="57">
        <v>3</v>
      </c>
      <c r="AE52" s="58"/>
      <c r="AF52" s="59">
        <v>5</v>
      </c>
      <c r="AG52" s="58"/>
      <c r="AH52" s="59">
        <v>165</v>
      </c>
      <c r="AI52" s="91"/>
      <c r="AJ52" s="4"/>
      <c r="AK52" s="4"/>
      <c r="AL52" s="4"/>
      <c r="AM52" s="4"/>
      <c r="AN52" s="98">
        <v>3</v>
      </c>
      <c r="AO52" s="99"/>
      <c r="AP52" s="100">
        <v>7</v>
      </c>
      <c r="AQ52" s="99"/>
      <c r="AR52" s="100">
        <v>195</v>
      </c>
      <c r="AS52" s="101"/>
      <c r="AT52" s="4"/>
      <c r="AU52" s="4"/>
      <c r="AV52" s="4"/>
      <c r="AW52" s="4"/>
      <c r="AX52" s="98">
        <v>3</v>
      </c>
      <c r="AY52" s="99"/>
      <c r="AZ52" s="100">
        <v>7</v>
      </c>
      <c r="BA52" s="99"/>
      <c r="BB52" s="100">
        <v>195</v>
      </c>
      <c r="BC52" s="101"/>
      <c r="BD52" s="4"/>
      <c r="BE52" s="4"/>
      <c r="BF52" s="4"/>
      <c r="BG52" s="4"/>
      <c r="BH52" s="79">
        <v>3</v>
      </c>
      <c r="BI52" s="80"/>
      <c r="BJ52" s="81">
        <v>4</v>
      </c>
      <c r="BK52" s="80"/>
      <c r="BL52" s="81">
        <v>150</v>
      </c>
      <c r="BM52" s="82"/>
      <c r="BN52" s="4"/>
      <c r="BO52" s="4"/>
      <c r="BP52" s="4"/>
      <c r="BQ52" s="4"/>
      <c r="BR52" s="45">
        <v>2</v>
      </c>
      <c r="BS52" s="46"/>
      <c r="BT52" s="47">
        <v>2</v>
      </c>
      <c r="BU52" s="46"/>
      <c r="BV52" s="47">
        <v>60</v>
      </c>
      <c r="BW52" s="48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J52+T52+AD52+AN52+AX52+BH52+BR52</f>
        <v>18</v>
      </c>
      <c r="F53" s="11">
        <f>L52+V52+AF52+AP52+AZ52+BJ52+BT52</f>
        <v>29</v>
      </c>
      <c r="G53" s="105"/>
      <c r="H53" s="2"/>
      <c r="I53" s="2"/>
      <c r="J53" s="112">
        <v>2</v>
      </c>
      <c r="K53" s="113"/>
      <c r="L53" s="106">
        <v>0</v>
      </c>
      <c r="M53" s="113"/>
      <c r="N53" s="106">
        <v>0</v>
      </c>
      <c r="O53" s="107"/>
      <c r="P53" s="4"/>
      <c r="Q53" s="4"/>
      <c r="R53" s="4"/>
      <c r="S53" s="4"/>
      <c r="T53" s="112">
        <v>2</v>
      </c>
      <c r="U53" s="113"/>
      <c r="V53" s="106">
        <v>0</v>
      </c>
      <c r="W53" s="113"/>
      <c r="X53" s="106">
        <v>0</v>
      </c>
      <c r="Y53" s="107"/>
      <c r="Z53" s="4"/>
      <c r="AA53" s="4"/>
      <c r="AB53" s="4"/>
      <c r="AC53" s="4"/>
      <c r="AD53" s="92">
        <v>3</v>
      </c>
      <c r="AE53" s="93"/>
      <c r="AF53" s="70">
        <v>2</v>
      </c>
      <c r="AG53" s="93"/>
      <c r="AH53" s="70">
        <v>0</v>
      </c>
      <c r="AI53" s="71"/>
      <c r="AJ53" s="4"/>
      <c r="AK53" s="4"/>
      <c r="AL53" s="4"/>
      <c r="AM53" s="4"/>
      <c r="AN53" s="72">
        <v>3</v>
      </c>
      <c r="AO53" s="73"/>
      <c r="AP53" s="68">
        <v>2</v>
      </c>
      <c r="AQ53" s="73"/>
      <c r="AR53" s="68">
        <v>2</v>
      </c>
      <c r="AS53" s="69"/>
      <c r="AT53" s="4"/>
      <c r="AU53" s="4"/>
      <c r="AV53" s="4"/>
      <c r="AW53" s="4"/>
      <c r="AX53" s="72">
        <v>3</v>
      </c>
      <c r="AY53" s="73"/>
      <c r="AZ53" s="68">
        <v>2</v>
      </c>
      <c r="BA53" s="73"/>
      <c r="BB53" s="68">
        <v>2</v>
      </c>
      <c r="BC53" s="69"/>
      <c r="BD53" s="4"/>
      <c r="BE53" s="4"/>
      <c r="BF53" s="4"/>
      <c r="BG53" s="4"/>
      <c r="BH53" s="83">
        <v>2</v>
      </c>
      <c r="BI53" s="84"/>
      <c r="BJ53" s="85">
        <v>2</v>
      </c>
      <c r="BK53" s="84"/>
      <c r="BL53" s="85">
        <v>0</v>
      </c>
      <c r="BM53" s="86"/>
      <c r="BN53" s="4"/>
      <c r="BO53" s="4"/>
      <c r="BP53" s="4"/>
      <c r="BQ53" s="4"/>
      <c r="BR53" s="49">
        <v>2</v>
      </c>
      <c r="BS53" s="50"/>
      <c r="BT53" s="51">
        <v>0</v>
      </c>
      <c r="BU53" s="50"/>
      <c r="BV53" s="51">
        <v>0</v>
      </c>
      <c r="BW53" s="52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1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141</v>
      </c>
      <c r="K60" s="25"/>
      <c r="L60" s="26"/>
      <c r="M60" s="38" t="s">
        <v>111</v>
      </c>
      <c r="N60" s="39"/>
      <c r="O60" s="40"/>
      <c r="P60" s="4"/>
      <c r="Q60" s="4"/>
      <c r="R60" s="4"/>
      <c r="S60" s="4"/>
      <c r="T60" s="24" t="s">
        <v>98</v>
      </c>
      <c r="U60" s="25"/>
      <c r="V60" s="26"/>
      <c r="W60" s="38">
        <v>421</v>
      </c>
      <c r="X60" s="39"/>
      <c r="Y60" s="40"/>
      <c r="Z60" s="4"/>
      <c r="AA60" s="4"/>
      <c r="AB60" s="4"/>
      <c r="AC60" s="4"/>
      <c r="AD60" s="24" t="s">
        <v>98</v>
      </c>
      <c r="AE60" s="25"/>
      <c r="AF60" s="26"/>
      <c r="AG60" s="38">
        <v>431</v>
      </c>
      <c r="AH60" s="102"/>
      <c r="AI60" s="103"/>
      <c r="AJ60" s="4"/>
      <c r="AK60" s="4"/>
      <c r="AL60" s="4"/>
      <c r="AM60" s="4"/>
      <c r="AN60" s="24" t="s">
        <v>136</v>
      </c>
      <c r="AO60" s="25"/>
      <c r="AP60" s="26"/>
      <c r="AQ60" s="38" t="s">
        <v>111</v>
      </c>
      <c r="AR60" s="39"/>
      <c r="AS60" s="40"/>
      <c r="AT60" s="4"/>
      <c r="AU60" s="4"/>
      <c r="AV60" s="4"/>
      <c r="AW60" s="4"/>
      <c r="AX60" s="24" t="s">
        <v>98</v>
      </c>
      <c r="AY60" s="25"/>
      <c r="AZ60" s="26"/>
      <c r="BA60" s="38">
        <v>493</v>
      </c>
      <c r="BB60" s="39"/>
      <c r="BC60" s="40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720</v>
      </c>
      <c r="H61" s="2"/>
      <c r="I61" s="2"/>
      <c r="J61" s="114" t="s">
        <v>142</v>
      </c>
      <c r="K61" s="115"/>
      <c r="L61" s="115"/>
      <c r="M61" s="115"/>
      <c r="N61" s="116"/>
      <c r="O61" s="117"/>
      <c r="P61" s="4"/>
      <c r="Q61" s="4"/>
      <c r="R61" s="4"/>
      <c r="S61" s="4"/>
      <c r="T61" s="161" t="s">
        <v>103</v>
      </c>
      <c r="U61" s="162"/>
      <c r="V61" s="162"/>
      <c r="W61" s="162"/>
      <c r="X61" s="162"/>
      <c r="Y61" s="163"/>
      <c r="Z61" s="4"/>
      <c r="AA61" s="4"/>
      <c r="AB61" s="4"/>
      <c r="AC61" s="4"/>
      <c r="AD61" s="94" t="s">
        <v>104</v>
      </c>
      <c r="AE61" s="95"/>
      <c r="AF61" s="95"/>
      <c r="AG61" s="95"/>
      <c r="AH61" s="96"/>
      <c r="AI61" s="97"/>
      <c r="AJ61" s="4"/>
      <c r="AK61" s="4"/>
      <c r="AL61" s="4"/>
      <c r="AM61" s="4"/>
      <c r="AN61" s="76" t="s">
        <v>139</v>
      </c>
      <c r="AO61" s="77"/>
      <c r="AP61" s="77"/>
      <c r="AQ61" s="77"/>
      <c r="AR61" s="77"/>
      <c r="AS61" s="78"/>
      <c r="AT61" s="4"/>
      <c r="AU61" s="4"/>
      <c r="AV61" s="4"/>
      <c r="AW61" s="4"/>
      <c r="AX61" s="41" t="s">
        <v>63</v>
      </c>
      <c r="AY61" s="42"/>
      <c r="AZ61" s="42"/>
      <c r="BA61" s="42"/>
      <c r="BB61" s="43"/>
      <c r="BC61" s="4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110">
        <v>2</v>
      </c>
      <c r="K62" s="111"/>
      <c r="L62" s="108">
        <v>2</v>
      </c>
      <c r="M62" s="111"/>
      <c r="N62" s="108">
        <v>90</v>
      </c>
      <c r="O62" s="109"/>
      <c r="P62" s="4"/>
      <c r="Q62" s="4"/>
      <c r="R62" s="4"/>
      <c r="S62" s="4"/>
      <c r="T62" s="98">
        <v>3</v>
      </c>
      <c r="U62" s="99"/>
      <c r="V62" s="100">
        <v>7</v>
      </c>
      <c r="W62" s="99"/>
      <c r="X62" s="100">
        <v>195</v>
      </c>
      <c r="Y62" s="101"/>
      <c r="Z62" s="4"/>
      <c r="AA62" s="4"/>
      <c r="AB62" s="4"/>
      <c r="AC62" s="4"/>
      <c r="AD62" s="98">
        <v>3</v>
      </c>
      <c r="AE62" s="99"/>
      <c r="AF62" s="100">
        <v>7</v>
      </c>
      <c r="AG62" s="99"/>
      <c r="AH62" s="100">
        <v>195</v>
      </c>
      <c r="AI62" s="101"/>
      <c r="AJ62" s="4"/>
      <c r="AK62" s="4"/>
      <c r="AL62" s="4"/>
      <c r="AM62" s="4"/>
      <c r="AN62" s="79">
        <v>3</v>
      </c>
      <c r="AO62" s="80"/>
      <c r="AP62" s="81">
        <v>4</v>
      </c>
      <c r="AQ62" s="80"/>
      <c r="AR62" s="81">
        <v>150</v>
      </c>
      <c r="AS62" s="82"/>
      <c r="AT62" s="4"/>
      <c r="AU62" s="4"/>
      <c r="AV62" s="4"/>
      <c r="AW62" s="4"/>
      <c r="AX62" s="45">
        <v>3</v>
      </c>
      <c r="AY62" s="46"/>
      <c r="AZ62" s="47">
        <v>0</v>
      </c>
      <c r="BA62" s="46"/>
      <c r="BB62" s="47">
        <v>90</v>
      </c>
      <c r="BC62" s="48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14</v>
      </c>
      <c r="F63" s="11">
        <f>SUM(L62,V62,AF62,AP62,AZ62)</f>
        <v>20</v>
      </c>
      <c r="G63" s="105"/>
      <c r="H63" s="2"/>
      <c r="I63" s="2"/>
      <c r="J63" s="112">
        <v>2</v>
      </c>
      <c r="K63" s="113"/>
      <c r="L63" s="106">
        <v>0</v>
      </c>
      <c r="M63" s="113"/>
      <c r="N63" s="106">
        <v>0</v>
      </c>
      <c r="O63" s="107"/>
      <c r="P63" s="4"/>
      <c r="Q63" s="4"/>
      <c r="R63" s="4"/>
      <c r="S63" s="4"/>
      <c r="T63" s="72">
        <v>3</v>
      </c>
      <c r="U63" s="73"/>
      <c r="V63" s="68">
        <v>2</v>
      </c>
      <c r="W63" s="73"/>
      <c r="X63" s="68">
        <v>2</v>
      </c>
      <c r="Y63" s="69"/>
      <c r="Z63" s="4"/>
      <c r="AA63" s="4"/>
      <c r="AB63" s="4"/>
      <c r="AC63" s="4"/>
      <c r="AD63" s="72">
        <v>3</v>
      </c>
      <c r="AE63" s="73"/>
      <c r="AF63" s="68">
        <v>2</v>
      </c>
      <c r="AG63" s="73"/>
      <c r="AH63" s="68">
        <v>2</v>
      </c>
      <c r="AI63" s="69"/>
      <c r="AJ63" s="4"/>
      <c r="AK63" s="4"/>
      <c r="AL63" s="4"/>
      <c r="AM63" s="4"/>
      <c r="AN63" s="83">
        <v>2</v>
      </c>
      <c r="AO63" s="84"/>
      <c r="AP63" s="85">
        <v>2</v>
      </c>
      <c r="AQ63" s="84"/>
      <c r="AR63" s="85">
        <v>0</v>
      </c>
      <c r="AS63" s="86"/>
      <c r="AT63" s="4"/>
      <c r="AU63" s="4"/>
      <c r="AV63" s="4"/>
      <c r="AW63" s="4"/>
      <c r="AX63" s="49">
        <v>2</v>
      </c>
      <c r="AY63" s="50"/>
      <c r="AZ63" s="51">
        <v>0</v>
      </c>
      <c r="BA63" s="50"/>
      <c r="BB63" s="51">
        <v>0</v>
      </c>
      <c r="BC63" s="52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98</v>
      </c>
      <c r="K68" s="25"/>
      <c r="L68" s="26"/>
      <c r="M68" s="38">
        <v>413</v>
      </c>
      <c r="N68" s="102"/>
      <c r="O68" s="103"/>
      <c r="P68" s="4"/>
      <c r="Q68" s="4"/>
      <c r="R68" s="4"/>
      <c r="S68" s="4"/>
      <c r="T68" s="24" t="s">
        <v>136</v>
      </c>
      <c r="U68" s="25"/>
      <c r="V68" s="26"/>
      <c r="W68" s="38" t="s">
        <v>112</v>
      </c>
      <c r="X68" s="39"/>
      <c r="Y68" s="40"/>
      <c r="Z68" s="4"/>
      <c r="AA68" s="4"/>
      <c r="AB68" s="4"/>
      <c r="AC68" s="4"/>
      <c r="AD68" s="24" t="s">
        <v>136</v>
      </c>
      <c r="AE68" s="25"/>
      <c r="AF68" s="26"/>
      <c r="AG68" s="38" t="s">
        <v>112</v>
      </c>
      <c r="AH68" s="39"/>
      <c r="AI68" s="40"/>
      <c r="AJ68" s="4"/>
      <c r="AK68" s="4"/>
      <c r="AL68" s="4"/>
      <c r="AM68" s="4"/>
      <c r="AN68" s="24" t="s">
        <v>136</v>
      </c>
      <c r="AO68" s="25"/>
      <c r="AP68" s="26"/>
      <c r="AQ68" s="38" t="s">
        <v>112</v>
      </c>
      <c r="AR68" s="39"/>
      <c r="AS68" s="40"/>
      <c r="AT68" s="4"/>
      <c r="AU68" s="4"/>
      <c r="AV68" s="4"/>
      <c r="AW68" s="4"/>
      <c r="AX68" s="24" t="s">
        <v>98</v>
      </c>
      <c r="AY68" s="25"/>
      <c r="AZ68" s="26"/>
      <c r="BA68" s="38">
        <v>494</v>
      </c>
      <c r="BB68" s="39"/>
      <c r="BC68" s="40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735</v>
      </c>
      <c r="H69" s="2"/>
      <c r="I69" s="2"/>
      <c r="J69" s="94" t="s">
        <v>105</v>
      </c>
      <c r="K69" s="95"/>
      <c r="L69" s="95"/>
      <c r="M69" s="95"/>
      <c r="N69" s="96"/>
      <c r="O69" s="97"/>
      <c r="P69" s="4"/>
      <c r="Q69" s="4"/>
      <c r="R69" s="4"/>
      <c r="S69" s="4"/>
      <c r="T69" s="76" t="s">
        <v>140</v>
      </c>
      <c r="U69" s="77"/>
      <c r="V69" s="77"/>
      <c r="W69" s="77"/>
      <c r="X69" s="77"/>
      <c r="Y69" s="78"/>
      <c r="Z69" s="4"/>
      <c r="AA69" s="4"/>
      <c r="AB69" s="4"/>
      <c r="AC69" s="4"/>
      <c r="AD69" s="76" t="s">
        <v>143</v>
      </c>
      <c r="AE69" s="77"/>
      <c r="AF69" s="77"/>
      <c r="AG69" s="77"/>
      <c r="AH69" s="77"/>
      <c r="AI69" s="78"/>
      <c r="AJ69" s="4"/>
      <c r="AK69" s="4"/>
      <c r="AL69" s="4"/>
      <c r="AM69" s="4"/>
      <c r="AN69" s="76" t="s">
        <v>145</v>
      </c>
      <c r="AO69" s="77"/>
      <c r="AP69" s="77"/>
      <c r="AQ69" s="77"/>
      <c r="AR69" s="77"/>
      <c r="AS69" s="78"/>
      <c r="AT69" s="4"/>
      <c r="AU69" s="4"/>
      <c r="AV69" s="4"/>
      <c r="AW69" s="4"/>
      <c r="AX69" s="41" t="s">
        <v>64</v>
      </c>
      <c r="AY69" s="42"/>
      <c r="AZ69" s="42"/>
      <c r="BA69" s="42"/>
      <c r="BB69" s="43"/>
      <c r="BC69" s="4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98">
        <v>3</v>
      </c>
      <c r="K70" s="99"/>
      <c r="L70" s="100">
        <v>7</v>
      </c>
      <c r="M70" s="99"/>
      <c r="N70" s="100">
        <v>195</v>
      </c>
      <c r="O70" s="101"/>
      <c r="P70" s="4"/>
      <c r="Q70" s="4"/>
      <c r="R70" s="4"/>
      <c r="S70" s="4"/>
      <c r="T70" s="79">
        <v>3</v>
      </c>
      <c r="U70" s="80"/>
      <c r="V70" s="81">
        <v>4</v>
      </c>
      <c r="W70" s="80"/>
      <c r="X70" s="81">
        <v>150</v>
      </c>
      <c r="Y70" s="82"/>
      <c r="Z70" s="4"/>
      <c r="AA70" s="4"/>
      <c r="AB70" s="4"/>
      <c r="AC70" s="4"/>
      <c r="AD70" s="79">
        <v>3</v>
      </c>
      <c r="AE70" s="80"/>
      <c r="AF70" s="81">
        <v>4</v>
      </c>
      <c r="AG70" s="80"/>
      <c r="AH70" s="81">
        <v>150</v>
      </c>
      <c r="AI70" s="82"/>
      <c r="AJ70" s="4"/>
      <c r="AK70" s="4"/>
      <c r="AL70" s="4"/>
      <c r="AM70" s="4"/>
      <c r="AN70" s="79">
        <v>3</v>
      </c>
      <c r="AO70" s="80"/>
      <c r="AP70" s="81">
        <v>4</v>
      </c>
      <c r="AQ70" s="80"/>
      <c r="AR70" s="81">
        <v>150</v>
      </c>
      <c r="AS70" s="82"/>
      <c r="AT70" s="4"/>
      <c r="AU70" s="4"/>
      <c r="AV70" s="4"/>
      <c r="AW70" s="4"/>
      <c r="AX70" s="45">
        <v>3</v>
      </c>
      <c r="AY70" s="46"/>
      <c r="AZ70" s="47">
        <v>0</v>
      </c>
      <c r="BA70" s="46"/>
      <c r="BB70" s="47">
        <v>90</v>
      </c>
      <c r="BC70" s="48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SUM(J70,T70,AD70,AN70,AX70)</f>
        <v>15</v>
      </c>
      <c r="F71" s="11">
        <f>L70+V70+AF70+AP70+AZ70</f>
        <v>19</v>
      </c>
      <c r="G71" s="105"/>
      <c r="H71" s="2"/>
      <c r="I71" s="2"/>
      <c r="J71" s="72">
        <v>3</v>
      </c>
      <c r="K71" s="73"/>
      <c r="L71" s="68">
        <v>2</v>
      </c>
      <c r="M71" s="73"/>
      <c r="N71" s="68">
        <v>2</v>
      </c>
      <c r="O71" s="69"/>
      <c r="P71" s="4"/>
      <c r="Q71" s="4"/>
      <c r="R71" s="4"/>
      <c r="S71" s="4"/>
      <c r="T71" s="83">
        <v>2</v>
      </c>
      <c r="U71" s="84"/>
      <c r="V71" s="85">
        <v>2</v>
      </c>
      <c r="W71" s="84"/>
      <c r="X71" s="85">
        <v>0</v>
      </c>
      <c r="Y71" s="86"/>
      <c r="Z71" s="4"/>
      <c r="AA71" s="4"/>
      <c r="AB71" s="4"/>
      <c r="AC71" s="4"/>
      <c r="AD71" s="83">
        <v>2</v>
      </c>
      <c r="AE71" s="84"/>
      <c r="AF71" s="85">
        <v>2</v>
      </c>
      <c r="AG71" s="84"/>
      <c r="AH71" s="85">
        <v>0</v>
      </c>
      <c r="AI71" s="86"/>
      <c r="AJ71" s="4"/>
      <c r="AK71" s="4"/>
      <c r="AL71" s="4"/>
      <c r="AM71" s="4"/>
      <c r="AN71" s="83">
        <v>2</v>
      </c>
      <c r="AO71" s="84"/>
      <c r="AP71" s="85">
        <v>2</v>
      </c>
      <c r="AQ71" s="84"/>
      <c r="AR71" s="85">
        <v>0</v>
      </c>
      <c r="AS71" s="86"/>
      <c r="AT71" s="4"/>
      <c r="AU71" s="4"/>
      <c r="AV71" s="4"/>
      <c r="AW71" s="4"/>
      <c r="AX71" s="49">
        <v>2</v>
      </c>
      <c r="AY71" s="50"/>
      <c r="AZ71" s="51">
        <v>0</v>
      </c>
      <c r="BA71" s="50"/>
      <c r="BB71" s="51">
        <v>0</v>
      </c>
      <c r="BC71" s="52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thickBot="1" x14ac:dyDescent="0.35"/>
    <row r="77" spans="2:135" ht="10.050000000000001" customHeight="1" thickTop="1" thickBot="1" x14ac:dyDescent="0.35">
      <c r="BI77" s="63" t="s">
        <v>15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6"/>
    </row>
    <row r="78" spans="2:135" ht="15" customHeight="1" x14ac:dyDescent="0.3">
      <c r="BI78" s="64"/>
      <c r="BJ78" s="137" t="s">
        <v>65</v>
      </c>
      <c r="BK78" s="17"/>
      <c r="BL78" s="16"/>
      <c r="BR78" s="123" t="s">
        <v>7</v>
      </c>
      <c r="BS78" s="124"/>
      <c r="BT78" s="124"/>
      <c r="BU78" s="124"/>
      <c r="BV78" s="125"/>
      <c r="BW78" s="126"/>
      <c r="CA78" s="8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I79" s="64"/>
      <c r="BJ79" s="137"/>
      <c r="BK79" s="17"/>
      <c r="BL79" s="16"/>
      <c r="BR79" s="127" t="s">
        <v>8</v>
      </c>
      <c r="BS79" s="128"/>
      <c r="BT79" s="128"/>
      <c r="BU79" s="128"/>
      <c r="BV79" s="129"/>
      <c r="BW79" s="130"/>
      <c r="CA79" s="8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I80" s="64"/>
      <c r="BJ80" s="137"/>
      <c r="BK80" s="17"/>
      <c r="BL80" s="16"/>
      <c r="BR80" s="66" t="s">
        <v>9</v>
      </c>
      <c r="BS80" s="67"/>
      <c r="BT80" s="131" t="s">
        <v>18</v>
      </c>
      <c r="BU80" s="67"/>
      <c r="BV80" s="131" t="s">
        <v>10</v>
      </c>
      <c r="BW80" s="132"/>
      <c r="CA80" s="8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44:135" ht="15" thickBot="1" x14ac:dyDescent="0.35">
      <c r="BI81" s="64"/>
      <c r="BJ81" s="137"/>
      <c r="BK81" s="17"/>
      <c r="BL81" s="16"/>
      <c r="BR81" s="133" t="s">
        <v>11</v>
      </c>
      <c r="BS81" s="134"/>
      <c r="BT81" s="135" t="s">
        <v>12</v>
      </c>
      <c r="BU81" s="134"/>
      <c r="BV81" s="135" t="s">
        <v>13</v>
      </c>
      <c r="BW81" s="136"/>
      <c r="CA81" s="8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44:135" ht="10.050000000000001" customHeight="1" x14ac:dyDescent="0.3">
      <c r="BI82" s="64"/>
      <c r="BL82" s="16"/>
      <c r="CA82" s="8"/>
    </row>
    <row r="83" spans="44:135" ht="10.050000000000001" customHeight="1" x14ac:dyDescent="0.3">
      <c r="BI83" s="64"/>
      <c r="BL83" s="16"/>
      <c r="CA83" s="8"/>
    </row>
    <row r="84" spans="44:135" ht="10.050000000000001" customHeight="1" x14ac:dyDescent="0.3">
      <c r="BI84" s="64"/>
      <c r="BJ84" s="90"/>
      <c r="BL84" s="15"/>
      <c r="BN84" s="18"/>
      <c r="BO84" s="18"/>
      <c r="BP84" s="18"/>
      <c r="BQ84" s="18"/>
      <c r="BS84" s="60"/>
      <c r="BU84" s="75" t="s">
        <v>30</v>
      </c>
      <c r="BW84" s="61"/>
      <c r="CA84" s="8"/>
    </row>
    <row r="85" spans="44:135" ht="10.050000000000001" customHeight="1" thickBot="1" x14ac:dyDescent="0.35">
      <c r="BI85" s="64"/>
      <c r="BJ85" s="90"/>
      <c r="BL85" s="74" t="s">
        <v>22</v>
      </c>
      <c r="BN85" s="18"/>
      <c r="BO85" s="18"/>
      <c r="BP85" s="18"/>
      <c r="BQ85" s="18"/>
      <c r="BS85" s="60"/>
      <c r="BU85" s="75"/>
      <c r="BW85" s="61"/>
      <c r="CA85" s="8"/>
    </row>
    <row r="86" spans="44:135" ht="15" customHeight="1" x14ac:dyDescent="0.3">
      <c r="BI86" s="64"/>
      <c r="BJ86" s="90" t="s">
        <v>31</v>
      </c>
      <c r="BK86" s="7"/>
      <c r="BL86" s="74"/>
      <c r="BM86" s="7"/>
      <c r="BN86" s="62" t="s">
        <v>14</v>
      </c>
      <c r="BO86" s="62"/>
      <c r="BP86" s="62"/>
      <c r="BQ86" s="62"/>
      <c r="BR86" s="7"/>
      <c r="BS86" s="60" t="s">
        <v>46</v>
      </c>
      <c r="BT86" s="7"/>
      <c r="BU86" s="75"/>
      <c r="BV86" s="7"/>
      <c r="BW86" s="61" t="s">
        <v>62</v>
      </c>
      <c r="CA86" s="8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44:135" ht="48.75" customHeight="1" x14ac:dyDescent="0.3">
      <c r="BI87" s="64"/>
      <c r="BJ87" s="90"/>
      <c r="BK87" s="7"/>
      <c r="BL87" s="74"/>
      <c r="BM87" s="7"/>
      <c r="BN87" s="62"/>
      <c r="BO87" s="62"/>
      <c r="BP87" s="62"/>
      <c r="BQ87" s="62"/>
      <c r="BR87" s="7"/>
      <c r="BS87" s="60"/>
      <c r="BT87" s="7"/>
      <c r="BU87" s="75"/>
      <c r="BV87" s="7"/>
      <c r="BW87" s="61"/>
      <c r="CA87" s="8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44:135" x14ac:dyDescent="0.3">
      <c r="BI88" s="64"/>
      <c r="BJ88" s="90"/>
      <c r="BK88" s="7"/>
      <c r="BL88" s="74"/>
      <c r="BM88" s="7"/>
      <c r="BN88" s="62"/>
      <c r="BO88" s="62"/>
      <c r="BP88" s="62"/>
      <c r="BQ88" s="62"/>
      <c r="BR88" s="7"/>
      <c r="BS88" s="60"/>
      <c r="BT88" s="7"/>
      <c r="BU88" s="75"/>
      <c r="BV88" s="7"/>
      <c r="BW88" s="61"/>
      <c r="CA88" s="8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44:135" ht="15" thickBot="1" x14ac:dyDescent="0.35">
      <c r="BI89" s="64"/>
      <c r="BJ89" s="90"/>
      <c r="BK89" s="7"/>
      <c r="BL89" s="74"/>
      <c r="BM89" s="7"/>
      <c r="BN89" s="62"/>
      <c r="BO89" s="62"/>
      <c r="BP89" s="62"/>
      <c r="BQ89" s="62"/>
      <c r="BR89" s="7"/>
      <c r="BS89" s="60"/>
      <c r="BT89" s="7"/>
      <c r="BU89" s="75"/>
      <c r="BV89" s="7"/>
      <c r="BW89" s="61"/>
      <c r="CA89" s="8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44:135" ht="10.050000000000001" customHeight="1" thickBot="1" x14ac:dyDescent="0.35">
      <c r="BI90" s="65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10"/>
    </row>
    <row r="91" spans="44:135" ht="10.050000000000001" customHeight="1" thickTop="1" x14ac:dyDescent="0.3">
      <c r="AR91" s="4"/>
      <c r="AS91" s="4"/>
      <c r="AT91" s="4"/>
      <c r="AU91" s="4"/>
      <c r="AV91" s="4"/>
    </row>
    <row r="92" spans="44:135" ht="10.050000000000001" customHeight="1" x14ac:dyDescent="0.3"/>
    <row r="93" spans="44:135" ht="10.050000000000001" customHeight="1" x14ac:dyDescent="0.3"/>
    <row r="100" ht="48.75" customHeight="1" x14ac:dyDescent="0.3"/>
  </sheetData>
  <mergeCells count="638"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N8:O8"/>
    <mergeCell ref="AN8:AO8"/>
    <mergeCell ref="AP8:AQ8"/>
    <mergeCell ref="AR8:AS8"/>
    <mergeCell ref="AX8:AY8"/>
    <mergeCell ref="AZ8:BA8"/>
    <mergeCell ref="BB8:BC8"/>
    <mergeCell ref="T8:U8"/>
    <mergeCell ref="V8:W8"/>
    <mergeCell ref="X8:Y8"/>
    <mergeCell ref="AD8:AE8"/>
    <mergeCell ref="AF8:AG8"/>
    <mergeCell ref="AH8:AI8"/>
    <mergeCell ref="AN9:AO9"/>
    <mergeCell ref="ED8:EE8"/>
    <mergeCell ref="DP6:DU6"/>
    <mergeCell ref="DZ6:EE6"/>
    <mergeCell ref="E7:E8"/>
    <mergeCell ref="F7:F8"/>
    <mergeCell ref="J7:O7"/>
    <mergeCell ref="T7:Y7"/>
    <mergeCell ref="AD7:AI7"/>
    <mergeCell ref="AN7:AS7"/>
    <mergeCell ref="AX7:BC7"/>
    <mergeCell ref="AQ6:AS6"/>
    <mergeCell ref="AX6:AZ6"/>
    <mergeCell ref="BA6:BC6"/>
    <mergeCell ref="DP7:DU7"/>
    <mergeCell ref="DZ7:EE7"/>
    <mergeCell ref="G8:G9"/>
    <mergeCell ref="H8:I8"/>
    <mergeCell ref="J8:K8"/>
    <mergeCell ref="L8:M8"/>
    <mergeCell ref="N9:O9"/>
    <mergeCell ref="T9:U9"/>
    <mergeCell ref="V9:W9"/>
    <mergeCell ref="X9:Y9"/>
    <mergeCell ref="DP8:DQ8"/>
    <mergeCell ref="DR8:DS8"/>
    <mergeCell ref="DT8:DU8"/>
    <mergeCell ref="DZ8:EA8"/>
    <mergeCell ref="EB8:EC8"/>
    <mergeCell ref="DZ9:EA9"/>
    <mergeCell ref="EB9:EC9"/>
    <mergeCell ref="ED9:EE9"/>
    <mergeCell ref="D14:D17"/>
    <mergeCell ref="J14:L14"/>
    <mergeCell ref="M14:O14"/>
    <mergeCell ref="T14:V14"/>
    <mergeCell ref="W14:Y14"/>
    <mergeCell ref="AD14:AF14"/>
    <mergeCell ref="AG14:AI14"/>
    <mergeCell ref="DP9:DQ9"/>
    <mergeCell ref="DR9:DS9"/>
    <mergeCell ref="DT9:DU9"/>
    <mergeCell ref="AX9:AY9"/>
    <mergeCell ref="AZ9:BA9"/>
    <mergeCell ref="BB9:BC9"/>
    <mergeCell ref="AD9:AE9"/>
    <mergeCell ref="AF9:AG9"/>
    <mergeCell ref="AH9:AI9"/>
    <mergeCell ref="AP9:AQ9"/>
    <mergeCell ref="AR9:AS9"/>
    <mergeCell ref="J9:K9"/>
    <mergeCell ref="L9:M9"/>
    <mergeCell ref="E15:E16"/>
    <mergeCell ref="F15:F16"/>
    <mergeCell ref="J15:O15"/>
    <mergeCell ref="T15:Y15"/>
    <mergeCell ref="AD15:AI15"/>
    <mergeCell ref="AN15:AS15"/>
    <mergeCell ref="AN14:AP14"/>
    <mergeCell ref="AQ14:AS14"/>
    <mergeCell ref="AX14:AZ14"/>
    <mergeCell ref="DP15:DU15"/>
    <mergeCell ref="DZ15:EE15"/>
    <mergeCell ref="G16:G17"/>
    <mergeCell ref="H16:I16"/>
    <mergeCell ref="J16:K16"/>
    <mergeCell ref="L16:M16"/>
    <mergeCell ref="DP14:DU14"/>
    <mergeCell ref="DZ14:EE14"/>
    <mergeCell ref="BA14:BC14"/>
    <mergeCell ref="N16:O16"/>
    <mergeCell ref="T16:U16"/>
    <mergeCell ref="V16:W16"/>
    <mergeCell ref="X16:Y16"/>
    <mergeCell ref="AD16:AE16"/>
    <mergeCell ref="AF16:AG16"/>
    <mergeCell ref="AX15:BC15"/>
    <mergeCell ref="ED16:EE16"/>
    <mergeCell ref="J17:K17"/>
    <mergeCell ref="L17:M17"/>
    <mergeCell ref="N17:O17"/>
    <mergeCell ref="T17:U17"/>
    <mergeCell ref="V17:W17"/>
    <mergeCell ref="X17:Y17"/>
    <mergeCell ref="AF17:AG17"/>
    <mergeCell ref="AH17:AI17"/>
    <mergeCell ref="DP16:DQ16"/>
    <mergeCell ref="DR16:DS16"/>
    <mergeCell ref="DT16:DU16"/>
    <mergeCell ref="DZ16:EA16"/>
    <mergeCell ref="EB16:EC16"/>
    <mergeCell ref="BB16:BC16"/>
    <mergeCell ref="AH16:AI16"/>
    <mergeCell ref="AN16:AO16"/>
    <mergeCell ref="AP16:AQ16"/>
    <mergeCell ref="AR16:AS16"/>
    <mergeCell ref="AX16:AY16"/>
    <mergeCell ref="AZ16:BA16"/>
    <mergeCell ref="DP17:DQ17"/>
    <mergeCell ref="DR17:DS17"/>
    <mergeCell ref="DT17:DU17"/>
    <mergeCell ref="DZ17:EA17"/>
    <mergeCell ref="EB17:EC17"/>
    <mergeCell ref="B23:B36"/>
    <mergeCell ref="D24:D27"/>
    <mergeCell ref="J24:L24"/>
    <mergeCell ref="M24:O24"/>
    <mergeCell ref="T24:V24"/>
    <mergeCell ref="W24:Y24"/>
    <mergeCell ref="E25:E26"/>
    <mergeCell ref="F25:F26"/>
    <mergeCell ref="J25:O25"/>
    <mergeCell ref="T25:Y25"/>
    <mergeCell ref="G26:G27"/>
    <mergeCell ref="H26:I26"/>
    <mergeCell ref="J26:K26"/>
    <mergeCell ref="L26:M26"/>
    <mergeCell ref="N26:O26"/>
    <mergeCell ref="T26:U26"/>
    <mergeCell ref="J27:K27"/>
    <mergeCell ref="L27:M27"/>
    <mergeCell ref="N27:O27"/>
    <mergeCell ref="T27:U27"/>
    <mergeCell ref="V27:W27"/>
    <mergeCell ref="X27:Y27"/>
    <mergeCell ref="V26:W26"/>
    <mergeCell ref="D32:D35"/>
    <mergeCell ref="ED17:EE17"/>
    <mergeCell ref="AN17:AO17"/>
    <mergeCell ref="AP17:AQ17"/>
    <mergeCell ref="AR17:AS17"/>
    <mergeCell ref="AX17:AY17"/>
    <mergeCell ref="AZ17:BA17"/>
    <mergeCell ref="BB17:BC17"/>
    <mergeCell ref="DZ25:EE25"/>
    <mergeCell ref="AD25:AI25"/>
    <mergeCell ref="AN25:AS25"/>
    <mergeCell ref="AX25:BC25"/>
    <mergeCell ref="BH25:BM25"/>
    <mergeCell ref="DP25:DU25"/>
    <mergeCell ref="DZ24:EE24"/>
    <mergeCell ref="AD24:AF24"/>
    <mergeCell ref="AG24:AI24"/>
    <mergeCell ref="AN24:AP24"/>
    <mergeCell ref="AQ24:AS24"/>
    <mergeCell ref="AX24:AZ24"/>
    <mergeCell ref="BA24:BC24"/>
    <mergeCell ref="BH24:BJ24"/>
    <mergeCell ref="BK24:BM24"/>
    <mergeCell ref="DP24:DU24"/>
    <mergeCell ref="AD17:AE17"/>
    <mergeCell ref="BH27:BI27"/>
    <mergeCell ref="BJ27:BK27"/>
    <mergeCell ref="BL27:BM27"/>
    <mergeCell ref="DP26:DQ26"/>
    <mergeCell ref="DR26:DS26"/>
    <mergeCell ref="AX26:AY26"/>
    <mergeCell ref="AZ26:BA26"/>
    <mergeCell ref="BB26:BC26"/>
    <mergeCell ref="BH26:BI26"/>
    <mergeCell ref="BJ26:BK26"/>
    <mergeCell ref="BL26:BM26"/>
    <mergeCell ref="AX27:AY27"/>
    <mergeCell ref="DP27:DQ27"/>
    <mergeCell ref="AZ27:BA27"/>
    <mergeCell ref="BB27:BC27"/>
    <mergeCell ref="DZ26:EA26"/>
    <mergeCell ref="EB26:EC26"/>
    <mergeCell ref="ED26:EE26"/>
    <mergeCell ref="DT26:DU26"/>
    <mergeCell ref="EB27:EC27"/>
    <mergeCell ref="ED27:EE27"/>
    <mergeCell ref="DT27:DU27"/>
    <mergeCell ref="DZ27:EA27"/>
    <mergeCell ref="DR27:DS27"/>
    <mergeCell ref="AD26:AE26"/>
    <mergeCell ref="AF26:AG26"/>
    <mergeCell ref="AH26:AI26"/>
    <mergeCell ref="AN26:AO26"/>
    <mergeCell ref="X26:Y26"/>
    <mergeCell ref="AP26:AQ26"/>
    <mergeCell ref="AR26:AS26"/>
    <mergeCell ref="AR27:AS27"/>
    <mergeCell ref="AD27:AE27"/>
    <mergeCell ref="AF27:AG27"/>
    <mergeCell ref="AH27:AI27"/>
    <mergeCell ref="AN27:AO27"/>
    <mergeCell ref="AP27:AQ27"/>
    <mergeCell ref="BK32:BM32"/>
    <mergeCell ref="BH33:BM33"/>
    <mergeCell ref="DP33:DU33"/>
    <mergeCell ref="AD34:AE34"/>
    <mergeCell ref="AF34:AG34"/>
    <mergeCell ref="AH34:AI34"/>
    <mergeCell ref="DP34:DQ34"/>
    <mergeCell ref="DR34:DS34"/>
    <mergeCell ref="DT34:DU34"/>
    <mergeCell ref="AD32:AF32"/>
    <mergeCell ref="AG32:AI32"/>
    <mergeCell ref="AN32:AP32"/>
    <mergeCell ref="AD33:AI33"/>
    <mergeCell ref="AN33:AS33"/>
    <mergeCell ref="E33:E34"/>
    <mergeCell ref="F33:F34"/>
    <mergeCell ref="J33:O33"/>
    <mergeCell ref="T33:Y33"/>
    <mergeCell ref="AX33:BC33"/>
    <mergeCell ref="AQ32:AS32"/>
    <mergeCell ref="AX32:AZ32"/>
    <mergeCell ref="BA32:BC32"/>
    <mergeCell ref="BH32:BJ32"/>
    <mergeCell ref="J32:L32"/>
    <mergeCell ref="M32:O32"/>
    <mergeCell ref="T32:V32"/>
    <mergeCell ref="W32:Y32"/>
    <mergeCell ref="DZ33:EE33"/>
    <mergeCell ref="DZ32:EE32"/>
    <mergeCell ref="G34:G35"/>
    <mergeCell ref="H34:I34"/>
    <mergeCell ref="J34:K34"/>
    <mergeCell ref="AN34:AO34"/>
    <mergeCell ref="AP34:AQ34"/>
    <mergeCell ref="AR34:AS34"/>
    <mergeCell ref="AX34:AY34"/>
    <mergeCell ref="AZ34:BA34"/>
    <mergeCell ref="AD35:AE35"/>
    <mergeCell ref="AF35:AG35"/>
    <mergeCell ref="AH35:AI35"/>
    <mergeCell ref="AN35:AO35"/>
    <mergeCell ref="AP35:AQ35"/>
    <mergeCell ref="AR35:AS35"/>
    <mergeCell ref="J35:K35"/>
    <mergeCell ref="L34:M34"/>
    <mergeCell ref="N34:O34"/>
    <mergeCell ref="BB34:BC34"/>
    <mergeCell ref="T34:U34"/>
    <mergeCell ref="V34:W34"/>
    <mergeCell ref="X34:Y34"/>
    <mergeCell ref="DP32:DU32"/>
    <mergeCell ref="DZ34:EA34"/>
    <mergeCell ref="EB34:EC34"/>
    <mergeCell ref="ED34:EE34"/>
    <mergeCell ref="BH34:BI34"/>
    <mergeCell ref="BJ34:BK34"/>
    <mergeCell ref="BL34:BM34"/>
    <mergeCell ref="ED35:EE35"/>
    <mergeCell ref="B41:B54"/>
    <mergeCell ref="D42:D45"/>
    <mergeCell ref="J42:L42"/>
    <mergeCell ref="M42:O42"/>
    <mergeCell ref="T42:V42"/>
    <mergeCell ref="W42:Y42"/>
    <mergeCell ref="AD42:AF42"/>
    <mergeCell ref="DP35:DQ35"/>
    <mergeCell ref="DR35:DS35"/>
    <mergeCell ref="DT35:DU35"/>
    <mergeCell ref="AX35:AY35"/>
    <mergeCell ref="AZ35:BA35"/>
    <mergeCell ref="BB35:BC35"/>
    <mergeCell ref="BH35:BI35"/>
    <mergeCell ref="BJ35:BK35"/>
    <mergeCell ref="BL35:BM35"/>
    <mergeCell ref="N44:O44"/>
    <mergeCell ref="L45:M45"/>
    <mergeCell ref="N45:O45"/>
    <mergeCell ref="AN44:AO44"/>
    <mergeCell ref="AP44:AQ44"/>
    <mergeCell ref="AR44:AS44"/>
    <mergeCell ref="DZ35:EA35"/>
    <mergeCell ref="EB35:EC35"/>
    <mergeCell ref="L35:M35"/>
    <mergeCell ref="N35:O35"/>
    <mergeCell ref="T35:U35"/>
    <mergeCell ref="V35:W35"/>
    <mergeCell ref="X35:Y35"/>
    <mergeCell ref="BH43:BM43"/>
    <mergeCell ref="DP43:DU43"/>
    <mergeCell ref="DZ43:EE43"/>
    <mergeCell ref="BK42:BM42"/>
    <mergeCell ref="DP42:DU42"/>
    <mergeCell ref="DZ42:EE42"/>
    <mergeCell ref="BH42:BJ42"/>
    <mergeCell ref="AF44:AG44"/>
    <mergeCell ref="AH44:AI44"/>
    <mergeCell ref="DP44:DQ44"/>
    <mergeCell ref="DR44:DS44"/>
    <mergeCell ref="DT44:DU44"/>
    <mergeCell ref="E43:E44"/>
    <mergeCell ref="F43:F44"/>
    <mergeCell ref="J43:O43"/>
    <mergeCell ref="T43:Y43"/>
    <mergeCell ref="AD43:AI43"/>
    <mergeCell ref="AG42:AI42"/>
    <mergeCell ref="AN42:AP42"/>
    <mergeCell ref="AQ42:AS42"/>
    <mergeCell ref="AX42:AZ42"/>
    <mergeCell ref="AN43:AS43"/>
    <mergeCell ref="AX43:BC43"/>
    <mergeCell ref="BA42:BC42"/>
    <mergeCell ref="G44:G45"/>
    <mergeCell ref="H44:I44"/>
    <mergeCell ref="J44:K44"/>
    <mergeCell ref="L44:M44"/>
    <mergeCell ref="AX44:AY44"/>
    <mergeCell ref="AZ44:BA44"/>
    <mergeCell ref="BB44:BC44"/>
    <mergeCell ref="T44:U44"/>
    <mergeCell ref="V44:W44"/>
    <mergeCell ref="X44:Y44"/>
    <mergeCell ref="AD44:AE44"/>
    <mergeCell ref="J45:K45"/>
    <mergeCell ref="DZ44:EA44"/>
    <mergeCell ref="EB44:EC44"/>
    <mergeCell ref="ED44:EE44"/>
    <mergeCell ref="BH44:BI44"/>
    <mergeCell ref="BJ44:BK44"/>
    <mergeCell ref="BL44:BM44"/>
    <mergeCell ref="AN45:AO45"/>
    <mergeCell ref="AP45:AQ45"/>
    <mergeCell ref="AR45:AS45"/>
    <mergeCell ref="AX45:AY45"/>
    <mergeCell ref="AZ45:BA45"/>
    <mergeCell ref="BB45:BC45"/>
    <mergeCell ref="DZ45:EA45"/>
    <mergeCell ref="EB45:EC45"/>
    <mergeCell ref="ED45:EE45"/>
    <mergeCell ref="T45:U45"/>
    <mergeCell ref="V45:W45"/>
    <mergeCell ref="X45:Y45"/>
    <mergeCell ref="AD45:AE45"/>
    <mergeCell ref="AF45:AG45"/>
    <mergeCell ref="AH45:AI45"/>
    <mergeCell ref="DP45:DQ45"/>
    <mergeCell ref="DR45:DS45"/>
    <mergeCell ref="DT45:DU45"/>
    <mergeCell ref="BH45:BI45"/>
    <mergeCell ref="BJ45:BK45"/>
    <mergeCell ref="BL45:BM45"/>
    <mergeCell ref="D50:D53"/>
    <mergeCell ref="J50:L50"/>
    <mergeCell ref="M50:O50"/>
    <mergeCell ref="T50:V50"/>
    <mergeCell ref="W50:Y50"/>
    <mergeCell ref="AD50:AF50"/>
    <mergeCell ref="E51:E52"/>
    <mergeCell ref="F51:F52"/>
    <mergeCell ref="J51:O51"/>
    <mergeCell ref="T51:Y51"/>
    <mergeCell ref="T52:U52"/>
    <mergeCell ref="V52:W52"/>
    <mergeCell ref="X52:Y52"/>
    <mergeCell ref="AD52:AE52"/>
    <mergeCell ref="AF52:AG52"/>
    <mergeCell ref="G52:G53"/>
    <mergeCell ref="H52:I52"/>
    <mergeCell ref="J52:K52"/>
    <mergeCell ref="L52:M52"/>
    <mergeCell ref="J53:K53"/>
    <mergeCell ref="L53:M53"/>
    <mergeCell ref="N53:O53"/>
    <mergeCell ref="T53:U53"/>
    <mergeCell ref="V53:W53"/>
    <mergeCell ref="DZ50:EE50"/>
    <mergeCell ref="DZ51:EE51"/>
    <mergeCell ref="DP52:DQ52"/>
    <mergeCell ref="DR52:DS52"/>
    <mergeCell ref="DT52:DU52"/>
    <mergeCell ref="AG50:AI50"/>
    <mergeCell ref="AN50:AP50"/>
    <mergeCell ref="AQ50:AS50"/>
    <mergeCell ref="AX50:AZ50"/>
    <mergeCell ref="BA50:BC50"/>
    <mergeCell ref="BH50:BJ50"/>
    <mergeCell ref="AD51:AI51"/>
    <mergeCell ref="AN51:AS51"/>
    <mergeCell ref="AX51:BC51"/>
    <mergeCell ref="BH51:BM51"/>
    <mergeCell ref="DP51:DU51"/>
    <mergeCell ref="DZ52:EA52"/>
    <mergeCell ref="EB52:EC52"/>
    <mergeCell ref="ED52:EE52"/>
    <mergeCell ref="BK50:BM50"/>
    <mergeCell ref="DP50:DU50"/>
    <mergeCell ref="AZ52:BA52"/>
    <mergeCell ref="BB52:BC52"/>
    <mergeCell ref="BL52:BM52"/>
    <mergeCell ref="X53:Y53"/>
    <mergeCell ref="AD53:AE53"/>
    <mergeCell ref="BH52:BI52"/>
    <mergeCell ref="BJ52:BK52"/>
    <mergeCell ref="N52:O52"/>
    <mergeCell ref="AN53:AO53"/>
    <mergeCell ref="AP53:AQ53"/>
    <mergeCell ref="AR53:AS53"/>
    <mergeCell ref="AX53:AY53"/>
    <mergeCell ref="AN52:AO52"/>
    <mergeCell ref="AP52:AQ52"/>
    <mergeCell ref="AR52:AS52"/>
    <mergeCell ref="AX52:AY52"/>
    <mergeCell ref="ED62:EE62"/>
    <mergeCell ref="EB53:EC53"/>
    <mergeCell ref="ED53:EE53"/>
    <mergeCell ref="AH52:AI52"/>
    <mergeCell ref="AF53:AG53"/>
    <mergeCell ref="AH53:AI53"/>
    <mergeCell ref="DP53:DQ53"/>
    <mergeCell ref="DR53:DS53"/>
    <mergeCell ref="DT53:DU53"/>
    <mergeCell ref="DZ53:EA53"/>
    <mergeCell ref="AZ53:BA53"/>
    <mergeCell ref="BB53:BC53"/>
    <mergeCell ref="BH53:BI53"/>
    <mergeCell ref="BJ53:BK53"/>
    <mergeCell ref="BL53:BM53"/>
    <mergeCell ref="AH63:AI63"/>
    <mergeCell ref="DZ60:EE60"/>
    <mergeCell ref="E61:E62"/>
    <mergeCell ref="F61:F62"/>
    <mergeCell ref="J61:O61"/>
    <mergeCell ref="T61:Y61"/>
    <mergeCell ref="AD61:AI61"/>
    <mergeCell ref="AN61:AS61"/>
    <mergeCell ref="AX61:BC61"/>
    <mergeCell ref="AN60:AP60"/>
    <mergeCell ref="AQ60:AS60"/>
    <mergeCell ref="AX60:AZ60"/>
    <mergeCell ref="BA60:BC60"/>
    <mergeCell ref="AF62:AG62"/>
    <mergeCell ref="AH62:AI62"/>
    <mergeCell ref="AN62:AO62"/>
    <mergeCell ref="AP62:AQ62"/>
    <mergeCell ref="DP61:DU61"/>
    <mergeCell ref="DZ61:EE61"/>
    <mergeCell ref="G62:G63"/>
    <mergeCell ref="J60:L60"/>
    <mergeCell ref="M60:O60"/>
    <mergeCell ref="J62:K62"/>
    <mergeCell ref="L62:M62"/>
    <mergeCell ref="DZ63:EA63"/>
    <mergeCell ref="EB63:EC63"/>
    <mergeCell ref="ED63:EE63"/>
    <mergeCell ref="D60:D63"/>
    <mergeCell ref="W60:Y60"/>
    <mergeCell ref="AD60:AF60"/>
    <mergeCell ref="AG60:AI60"/>
    <mergeCell ref="DP62:DQ62"/>
    <mergeCell ref="DR62:DS62"/>
    <mergeCell ref="DT62:DU62"/>
    <mergeCell ref="DZ62:EA62"/>
    <mergeCell ref="EB62:EC62"/>
    <mergeCell ref="AR62:AS62"/>
    <mergeCell ref="AX62:AY62"/>
    <mergeCell ref="AZ62:BA62"/>
    <mergeCell ref="BB62:BC62"/>
    <mergeCell ref="J63:K63"/>
    <mergeCell ref="L63:M63"/>
    <mergeCell ref="N63:O63"/>
    <mergeCell ref="T63:U63"/>
    <mergeCell ref="V63:W63"/>
    <mergeCell ref="X63:Y63"/>
    <mergeCell ref="AD63:AE63"/>
    <mergeCell ref="AF63:AG63"/>
    <mergeCell ref="D68:D71"/>
    <mergeCell ref="J68:L68"/>
    <mergeCell ref="M68:O68"/>
    <mergeCell ref="T68:V68"/>
    <mergeCell ref="W68:Y68"/>
    <mergeCell ref="AD68:AF68"/>
    <mergeCell ref="AG68:AI68"/>
    <mergeCell ref="T60:V60"/>
    <mergeCell ref="H62:I62"/>
    <mergeCell ref="N62:O62"/>
    <mergeCell ref="T62:U62"/>
    <mergeCell ref="V62:W62"/>
    <mergeCell ref="L70:M70"/>
    <mergeCell ref="N70:O70"/>
    <mergeCell ref="T70:U70"/>
    <mergeCell ref="V70:W70"/>
    <mergeCell ref="H70:I70"/>
    <mergeCell ref="J70:K70"/>
    <mergeCell ref="X70:Y70"/>
    <mergeCell ref="AD70:AE70"/>
    <mergeCell ref="AF70:AG70"/>
    <mergeCell ref="AH70:AI70"/>
    <mergeCell ref="X62:Y62"/>
    <mergeCell ref="AD62:AE62"/>
    <mergeCell ref="DT63:DU63"/>
    <mergeCell ref="AN63:AO63"/>
    <mergeCell ref="AP63:AQ63"/>
    <mergeCell ref="AR63:AS63"/>
    <mergeCell ref="AX63:AY63"/>
    <mergeCell ref="AZ63:BA63"/>
    <mergeCell ref="BB63:BC63"/>
    <mergeCell ref="DP68:DU68"/>
    <mergeCell ref="DP63:DQ63"/>
    <mergeCell ref="DR63:DS63"/>
    <mergeCell ref="DZ68:EE68"/>
    <mergeCell ref="E69:E70"/>
    <mergeCell ref="F69:F70"/>
    <mergeCell ref="J69:O69"/>
    <mergeCell ref="T69:Y69"/>
    <mergeCell ref="AD69:AI69"/>
    <mergeCell ref="AN69:AS69"/>
    <mergeCell ref="AX69:BC69"/>
    <mergeCell ref="AN68:AP68"/>
    <mergeCell ref="AQ68:AS68"/>
    <mergeCell ref="AX68:AZ68"/>
    <mergeCell ref="BA68:BC68"/>
    <mergeCell ref="AR70:AS70"/>
    <mergeCell ref="AX70:AY70"/>
    <mergeCell ref="AZ70:BA70"/>
    <mergeCell ref="DP69:DU69"/>
    <mergeCell ref="DZ69:EE69"/>
    <mergeCell ref="G70:G71"/>
    <mergeCell ref="AR71:AS71"/>
    <mergeCell ref="AX71:AY71"/>
    <mergeCell ref="AZ71:BA71"/>
    <mergeCell ref="AN70:AO70"/>
    <mergeCell ref="AP70:AQ70"/>
    <mergeCell ref="B59:B72"/>
    <mergeCell ref="BT80:BU80"/>
    <mergeCell ref="BR81:BS81"/>
    <mergeCell ref="DZ78:EE78"/>
    <mergeCell ref="BR79:BW79"/>
    <mergeCell ref="DP79:DU79"/>
    <mergeCell ref="BJ78:BJ81"/>
    <mergeCell ref="BR78:BW78"/>
    <mergeCell ref="ED71:EE71"/>
    <mergeCell ref="ED70:EE70"/>
    <mergeCell ref="J71:K71"/>
    <mergeCell ref="L71:M71"/>
    <mergeCell ref="N71:O71"/>
    <mergeCell ref="T71:U71"/>
    <mergeCell ref="V71:W71"/>
    <mergeCell ref="X71:Y71"/>
    <mergeCell ref="BB70:BC70"/>
    <mergeCell ref="AD71:AE71"/>
    <mergeCell ref="AF71:AG71"/>
    <mergeCell ref="AH71:AI71"/>
    <mergeCell ref="AN71:AO71"/>
    <mergeCell ref="AP71:AQ71"/>
    <mergeCell ref="BB71:BC71"/>
    <mergeCell ref="DP70:DQ70"/>
    <mergeCell ref="BI77:BI90"/>
    <mergeCell ref="BT81:BU81"/>
    <mergeCell ref="BV81:BW81"/>
    <mergeCell ref="DT70:DU70"/>
    <mergeCell ref="DZ70:EA70"/>
    <mergeCell ref="EB70:EC70"/>
    <mergeCell ref="DP71:DQ71"/>
    <mergeCell ref="DR71:DS71"/>
    <mergeCell ref="DT71:DU71"/>
    <mergeCell ref="DZ71:EA71"/>
    <mergeCell ref="EB71:EC71"/>
    <mergeCell ref="DR70:DS70"/>
    <mergeCell ref="DP86:DU86"/>
    <mergeCell ref="DP78:DU78"/>
    <mergeCell ref="BR80:BS80"/>
    <mergeCell ref="DZ79:EE79"/>
    <mergeCell ref="DP81:DQ81"/>
    <mergeCell ref="DR81:DS81"/>
    <mergeCell ref="DT81:DU81"/>
    <mergeCell ref="EB80:EC80"/>
    <mergeCell ref="ED80:EE80"/>
    <mergeCell ref="BV80:BW80"/>
    <mergeCell ref="DP80:DQ80"/>
    <mergeCell ref="DR80:DS80"/>
    <mergeCell ref="ED81:EE81"/>
    <mergeCell ref="DP87:DU87"/>
    <mergeCell ref="BJ84:BJ85"/>
    <mergeCell ref="BS84:BS85"/>
    <mergeCell ref="BW84:BW85"/>
    <mergeCell ref="DZ87:EE87"/>
    <mergeCell ref="BJ86:BJ89"/>
    <mergeCell ref="ED88:EE88"/>
    <mergeCell ref="DZ86:EE86"/>
    <mergeCell ref="DP88:DQ88"/>
    <mergeCell ref="DR88:DS88"/>
    <mergeCell ref="ED89:EE89"/>
    <mergeCell ref="DT88:DU88"/>
    <mergeCell ref="DZ88:EA88"/>
    <mergeCell ref="EB88:EC88"/>
    <mergeCell ref="DZ89:EA89"/>
    <mergeCell ref="EB89:EC89"/>
    <mergeCell ref="DP89:DQ89"/>
    <mergeCell ref="DR89:DS89"/>
    <mergeCell ref="DT89:DU89"/>
    <mergeCell ref="BU84:BU89"/>
    <mergeCell ref="BL85:BL89"/>
    <mergeCell ref="BN86:BQ89"/>
    <mergeCell ref="BS86:BS89"/>
    <mergeCell ref="BW86:BW89"/>
    <mergeCell ref="DT80:DU80"/>
    <mergeCell ref="DZ80:EA80"/>
    <mergeCell ref="DZ81:EA81"/>
    <mergeCell ref="EB81:EC81"/>
    <mergeCell ref="BR24:BT24"/>
    <mergeCell ref="BU24:BW24"/>
    <mergeCell ref="BR25:BW25"/>
    <mergeCell ref="BR26:BS26"/>
    <mergeCell ref="BT26:BU26"/>
    <mergeCell ref="BV26:BW26"/>
    <mergeCell ref="BR27:BS27"/>
    <mergeCell ref="BT27:BU27"/>
    <mergeCell ref="BV27:BW27"/>
    <mergeCell ref="BR50:BT50"/>
    <mergeCell ref="BU50:BW50"/>
    <mergeCell ref="BR51:BW51"/>
    <mergeCell ref="BR52:BS52"/>
    <mergeCell ref="BT52:BU52"/>
    <mergeCell ref="BV52:BW52"/>
    <mergeCell ref="BR53:BS53"/>
    <mergeCell ref="BT53:BU53"/>
    <mergeCell ref="BV53:BW53"/>
    <mergeCell ref="DP60:DU60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B2:EE109"/>
  <sheetViews>
    <sheetView zoomScale="80" zoomScaleNormal="80" workbookViewId="0">
      <selection activeCell="AD15" sqref="AD15:AI15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246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5" spans="2:135" ht="10.050000000000001" customHeight="1" thickBot="1" x14ac:dyDescent="0.35">
      <c r="B5" s="118" t="s">
        <v>0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114</v>
      </c>
      <c r="K6" s="25"/>
      <c r="L6" s="26"/>
      <c r="M6" s="38">
        <v>111</v>
      </c>
      <c r="N6" s="39"/>
      <c r="O6" s="40"/>
      <c r="P6" s="4"/>
      <c r="Q6" s="4"/>
      <c r="R6" s="4"/>
      <c r="S6" s="4"/>
      <c r="T6" s="24" t="s">
        <v>162</v>
      </c>
      <c r="U6" s="25"/>
      <c r="V6" s="26"/>
      <c r="W6" s="27" t="s">
        <v>169</v>
      </c>
      <c r="X6" s="28"/>
      <c r="Y6" s="29"/>
      <c r="Z6" s="4"/>
      <c r="AA6" s="4"/>
      <c r="AB6" s="4"/>
      <c r="AC6" s="4"/>
      <c r="AD6" s="24" t="s">
        <v>90</v>
      </c>
      <c r="AE6" s="25"/>
      <c r="AF6" s="26"/>
      <c r="AG6" s="27" t="s">
        <v>116</v>
      </c>
      <c r="AH6" s="28"/>
      <c r="AI6" s="29"/>
      <c r="AJ6" s="4"/>
      <c r="AK6" s="4"/>
      <c r="AL6" s="4"/>
      <c r="AM6" s="4"/>
      <c r="AN6" s="24" t="s">
        <v>19</v>
      </c>
      <c r="AO6" s="25"/>
      <c r="AP6" s="26"/>
      <c r="AQ6" s="27" t="s">
        <v>33</v>
      </c>
      <c r="AR6" s="28"/>
      <c r="AS6" s="29"/>
      <c r="AT6" s="4"/>
      <c r="AU6" s="4"/>
      <c r="AV6" s="4"/>
      <c r="AW6" s="4"/>
      <c r="AX6" s="24" t="s">
        <v>119</v>
      </c>
      <c r="AY6" s="25"/>
      <c r="AZ6" s="26"/>
      <c r="BA6" s="38" t="s">
        <v>109</v>
      </c>
      <c r="BB6" s="39"/>
      <c r="BC6" s="40"/>
      <c r="BD6" s="4"/>
      <c r="BE6" s="4"/>
      <c r="BF6" s="4"/>
      <c r="BG6" s="4"/>
      <c r="BH6" s="24" t="s">
        <v>114</v>
      </c>
      <c r="BI6" s="25"/>
      <c r="BJ6" s="26"/>
      <c r="BK6" s="38">
        <v>123</v>
      </c>
      <c r="BL6" s="39"/>
      <c r="BM6" s="40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SUM(N8,X8,AH8,AR8,BB8,BL8)</f>
        <v>855</v>
      </c>
      <c r="H7" s="2"/>
      <c r="I7" s="2"/>
      <c r="J7" s="30" t="s">
        <v>161</v>
      </c>
      <c r="K7" s="31"/>
      <c r="L7" s="31"/>
      <c r="M7" s="31"/>
      <c r="N7" s="32"/>
      <c r="O7" s="33"/>
      <c r="P7" s="4"/>
      <c r="Q7" s="4"/>
      <c r="R7" s="4"/>
      <c r="S7" s="4"/>
      <c r="T7" s="30" t="s">
        <v>163</v>
      </c>
      <c r="U7" s="31"/>
      <c r="V7" s="31"/>
      <c r="W7" s="31"/>
      <c r="X7" s="32"/>
      <c r="Y7" s="33"/>
      <c r="Z7" s="4"/>
      <c r="AA7" s="4"/>
      <c r="AB7" s="4"/>
      <c r="AC7" s="4"/>
      <c r="AD7" s="30" t="s">
        <v>118</v>
      </c>
      <c r="AE7" s="31"/>
      <c r="AF7" s="31"/>
      <c r="AG7" s="31"/>
      <c r="AH7" s="32"/>
      <c r="AI7" s="33"/>
      <c r="AJ7" s="4"/>
      <c r="AK7" s="4"/>
      <c r="AL7" s="4"/>
      <c r="AM7" s="4"/>
      <c r="AN7" s="53" t="s">
        <v>32</v>
      </c>
      <c r="AO7" s="54"/>
      <c r="AP7" s="54"/>
      <c r="AQ7" s="54"/>
      <c r="AR7" s="55"/>
      <c r="AS7" s="56"/>
      <c r="AT7" s="4"/>
      <c r="AU7" s="4"/>
      <c r="AV7" s="4"/>
      <c r="AW7" s="4"/>
      <c r="AX7" s="114" t="s">
        <v>120</v>
      </c>
      <c r="AY7" s="115"/>
      <c r="AZ7" s="115"/>
      <c r="BA7" s="115"/>
      <c r="BB7" s="116"/>
      <c r="BC7" s="117"/>
      <c r="BD7" s="4"/>
      <c r="BE7" s="4"/>
      <c r="BF7" s="4"/>
      <c r="BG7" s="4"/>
      <c r="BH7" s="30" t="s">
        <v>23</v>
      </c>
      <c r="BI7" s="31"/>
      <c r="BJ7" s="31"/>
      <c r="BK7" s="31"/>
      <c r="BL7" s="32"/>
      <c r="BM7" s="33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34">
        <v>3</v>
      </c>
      <c r="K8" s="35"/>
      <c r="L8" s="36">
        <v>4</v>
      </c>
      <c r="M8" s="35"/>
      <c r="N8" s="36">
        <v>150</v>
      </c>
      <c r="O8" s="37"/>
      <c r="P8" s="4"/>
      <c r="Q8" s="4"/>
      <c r="R8" s="4"/>
      <c r="S8" s="4"/>
      <c r="T8" s="34">
        <v>3</v>
      </c>
      <c r="U8" s="35"/>
      <c r="V8" s="36">
        <v>5</v>
      </c>
      <c r="W8" s="35"/>
      <c r="X8" s="36">
        <v>135</v>
      </c>
      <c r="Y8" s="37"/>
      <c r="Z8" s="4"/>
      <c r="AA8" s="4"/>
      <c r="AB8" s="4"/>
      <c r="AC8" s="4"/>
      <c r="AD8" s="34">
        <v>3</v>
      </c>
      <c r="AE8" s="35"/>
      <c r="AF8" s="36">
        <v>4</v>
      </c>
      <c r="AG8" s="35"/>
      <c r="AH8" s="36">
        <v>150</v>
      </c>
      <c r="AI8" s="37"/>
      <c r="AJ8" s="4"/>
      <c r="AK8" s="4"/>
      <c r="AL8" s="4"/>
      <c r="AM8" s="4"/>
      <c r="AN8" s="57">
        <v>3</v>
      </c>
      <c r="AO8" s="58"/>
      <c r="AP8" s="59">
        <v>5</v>
      </c>
      <c r="AQ8" s="58"/>
      <c r="AR8" s="59">
        <v>180</v>
      </c>
      <c r="AS8" s="91"/>
      <c r="AT8" s="4"/>
      <c r="AU8" s="4"/>
      <c r="AV8" s="4"/>
      <c r="AW8" s="4"/>
      <c r="AX8" s="110">
        <v>2</v>
      </c>
      <c r="AY8" s="111"/>
      <c r="AZ8" s="108">
        <v>2</v>
      </c>
      <c r="BA8" s="111"/>
      <c r="BB8" s="108">
        <v>90</v>
      </c>
      <c r="BC8" s="109"/>
      <c r="BD8" s="4"/>
      <c r="BE8" s="4"/>
      <c r="BF8" s="4"/>
      <c r="BG8" s="4"/>
      <c r="BH8" s="34">
        <v>3</v>
      </c>
      <c r="BI8" s="35"/>
      <c r="BJ8" s="36">
        <v>4</v>
      </c>
      <c r="BK8" s="35"/>
      <c r="BL8" s="36">
        <v>150</v>
      </c>
      <c r="BM8" s="37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SUM(J8,T8,AD8,AN8,AX8,BH8)</f>
        <v>17</v>
      </c>
      <c r="F9" s="11">
        <f>SUM(J9:BM9)</f>
        <v>24</v>
      </c>
      <c r="G9" s="105"/>
      <c r="H9" s="2"/>
      <c r="I9" s="2"/>
      <c r="J9" s="20">
        <v>3</v>
      </c>
      <c r="K9" s="21"/>
      <c r="L9" s="22">
        <v>1</v>
      </c>
      <c r="M9" s="21"/>
      <c r="N9" s="22">
        <v>0</v>
      </c>
      <c r="O9" s="23"/>
      <c r="P9" s="4"/>
      <c r="Q9" s="4"/>
      <c r="R9" s="4"/>
      <c r="S9" s="4"/>
      <c r="T9" s="20">
        <v>2</v>
      </c>
      <c r="U9" s="21"/>
      <c r="V9" s="22">
        <v>3</v>
      </c>
      <c r="W9" s="21"/>
      <c r="X9" s="22">
        <v>0</v>
      </c>
      <c r="Y9" s="23"/>
      <c r="Z9" s="4"/>
      <c r="AA9" s="4"/>
      <c r="AB9" s="4"/>
      <c r="AC9" s="4"/>
      <c r="AD9" s="20">
        <v>2</v>
      </c>
      <c r="AE9" s="21"/>
      <c r="AF9" s="22">
        <v>0</v>
      </c>
      <c r="AG9" s="21"/>
      <c r="AH9" s="22">
        <v>2</v>
      </c>
      <c r="AI9" s="23"/>
      <c r="AJ9" s="4"/>
      <c r="AK9" s="4"/>
      <c r="AL9" s="4"/>
      <c r="AM9" s="4"/>
      <c r="AN9" s="92">
        <v>2</v>
      </c>
      <c r="AO9" s="93"/>
      <c r="AP9" s="70">
        <v>0</v>
      </c>
      <c r="AQ9" s="93"/>
      <c r="AR9" s="70">
        <v>3</v>
      </c>
      <c r="AS9" s="71"/>
      <c r="AT9" s="4"/>
      <c r="AU9" s="4"/>
      <c r="AV9" s="4"/>
      <c r="AW9" s="4"/>
      <c r="AX9" s="112">
        <v>2</v>
      </c>
      <c r="AY9" s="113"/>
      <c r="AZ9" s="106">
        <v>0</v>
      </c>
      <c r="BA9" s="113"/>
      <c r="BB9" s="106">
        <v>0</v>
      </c>
      <c r="BC9" s="107"/>
      <c r="BD9" s="4"/>
      <c r="BE9" s="4"/>
      <c r="BF9" s="4"/>
      <c r="BG9" s="4"/>
      <c r="BH9" s="20">
        <v>2</v>
      </c>
      <c r="BI9" s="21"/>
      <c r="BJ9" s="22">
        <v>0</v>
      </c>
      <c r="BK9" s="21"/>
      <c r="BL9" s="22">
        <v>2</v>
      </c>
      <c r="BM9" s="23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114</v>
      </c>
      <c r="K14" s="25"/>
      <c r="L14" s="26"/>
      <c r="M14" s="38">
        <v>112</v>
      </c>
      <c r="N14" s="39"/>
      <c r="O14" s="40"/>
      <c r="P14" s="4"/>
      <c r="Q14" s="4"/>
      <c r="R14" s="4"/>
      <c r="S14" s="4"/>
      <c r="T14" s="24" t="s">
        <v>114</v>
      </c>
      <c r="U14" s="25"/>
      <c r="V14" s="26"/>
      <c r="W14" s="38">
        <v>131</v>
      </c>
      <c r="X14" s="39"/>
      <c r="Y14" s="40"/>
      <c r="Z14" s="4"/>
      <c r="AA14" s="4"/>
      <c r="AB14" s="4"/>
      <c r="AC14" s="4"/>
      <c r="AD14" s="24" t="s">
        <v>19</v>
      </c>
      <c r="AE14" s="25"/>
      <c r="AF14" s="26"/>
      <c r="AG14" s="38">
        <v>315</v>
      </c>
      <c r="AH14" s="39"/>
      <c r="AI14" s="40"/>
      <c r="AJ14" s="4"/>
      <c r="AK14" s="4"/>
      <c r="AL14" s="4"/>
      <c r="AM14" s="4"/>
      <c r="AN14" s="24" t="s">
        <v>19</v>
      </c>
      <c r="AO14" s="25"/>
      <c r="AP14" s="26"/>
      <c r="AQ14" s="27" t="s">
        <v>35</v>
      </c>
      <c r="AR14" s="28"/>
      <c r="AS14" s="29"/>
      <c r="AT14" s="4"/>
      <c r="AU14" s="4"/>
      <c r="AV14" s="4"/>
      <c r="AW14" s="4"/>
      <c r="AX14" s="24" t="s">
        <v>122</v>
      </c>
      <c r="AY14" s="25"/>
      <c r="AZ14" s="26"/>
      <c r="BA14" s="38" t="s">
        <v>109</v>
      </c>
      <c r="BB14" s="39"/>
      <c r="BC14" s="40"/>
      <c r="BD14" s="4"/>
      <c r="BE14" s="4"/>
      <c r="BF14" s="4"/>
      <c r="BG14" s="4"/>
      <c r="BH14" s="24" t="s">
        <v>127</v>
      </c>
      <c r="BI14" s="25"/>
      <c r="BJ14" s="26"/>
      <c r="BK14" s="38" t="s">
        <v>110</v>
      </c>
      <c r="BL14" s="39"/>
      <c r="BM14" s="40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855</v>
      </c>
      <c r="H15" s="2"/>
      <c r="I15" s="2"/>
      <c r="J15" s="30" t="s">
        <v>126</v>
      </c>
      <c r="K15" s="31"/>
      <c r="L15" s="31"/>
      <c r="M15" s="31"/>
      <c r="N15" s="32"/>
      <c r="O15" s="33"/>
      <c r="P15" s="4"/>
      <c r="Q15" s="4"/>
      <c r="R15" s="4"/>
      <c r="S15" s="4"/>
      <c r="T15" s="30" t="s">
        <v>189</v>
      </c>
      <c r="U15" s="31"/>
      <c r="V15" s="31"/>
      <c r="W15" s="31"/>
      <c r="X15" s="32"/>
      <c r="Y15" s="33"/>
      <c r="Z15" s="4"/>
      <c r="AA15" s="4"/>
      <c r="AB15" s="4"/>
      <c r="AC15" s="4"/>
      <c r="AD15" s="30" t="s">
        <v>26</v>
      </c>
      <c r="AE15" s="31"/>
      <c r="AF15" s="31"/>
      <c r="AG15" s="31"/>
      <c r="AH15" s="32"/>
      <c r="AI15" s="33"/>
      <c r="AJ15" s="4"/>
      <c r="AK15" s="4"/>
      <c r="AL15" s="4"/>
      <c r="AM15" s="4"/>
      <c r="AN15" s="53" t="s">
        <v>34</v>
      </c>
      <c r="AO15" s="54"/>
      <c r="AP15" s="54"/>
      <c r="AQ15" s="54"/>
      <c r="AR15" s="55"/>
      <c r="AS15" s="56"/>
      <c r="AT15" s="4"/>
      <c r="AU15" s="4"/>
      <c r="AV15" s="4"/>
      <c r="AW15" s="4"/>
      <c r="AX15" s="114" t="s">
        <v>123</v>
      </c>
      <c r="AY15" s="115"/>
      <c r="AZ15" s="115"/>
      <c r="BA15" s="115"/>
      <c r="BB15" s="116"/>
      <c r="BC15" s="117"/>
      <c r="BD15" s="4"/>
      <c r="BE15" s="4"/>
      <c r="BF15" s="4"/>
      <c r="BG15" s="4"/>
      <c r="BH15" s="114" t="s">
        <v>128</v>
      </c>
      <c r="BI15" s="115"/>
      <c r="BJ15" s="115"/>
      <c r="BK15" s="115"/>
      <c r="BL15" s="116"/>
      <c r="BM15" s="117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34">
        <v>3</v>
      </c>
      <c r="K16" s="35"/>
      <c r="L16" s="36">
        <v>4</v>
      </c>
      <c r="M16" s="35"/>
      <c r="N16" s="36">
        <v>150</v>
      </c>
      <c r="O16" s="37"/>
      <c r="P16" s="4"/>
      <c r="Q16" s="4"/>
      <c r="R16" s="4"/>
      <c r="S16" s="4"/>
      <c r="T16" s="34">
        <v>3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3</v>
      </c>
      <c r="AE16" s="35"/>
      <c r="AF16" s="36">
        <v>4</v>
      </c>
      <c r="AG16" s="35"/>
      <c r="AH16" s="36">
        <v>150</v>
      </c>
      <c r="AI16" s="37"/>
      <c r="AJ16" s="4"/>
      <c r="AK16" s="4"/>
      <c r="AL16" s="4"/>
      <c r="AM16" s="4"/>
      <c r="AN16" s="57">
        <v>3</v>
      </c>
      <c r="AO16" s="58"/>
      <c r="AP16" s="59">
        <v>5</v>
      </c>
      <c r="AQ16" s="58"/>
      <c r="AR16" s="59">
        <v>180</v>
      </c>
      <c r="AS16" s="91"/>
      <c r="AT16" s="4"/>
      <c r="AU16" s="4"/>
      <c r="AV16" s="4"/>
      <c r="AW16" s="4"/>
      <c r="AX16" s="110">
        <v>2</v>
      </c>
      <c r="AY16" s="111"/>
      <c r="AZ16" s="108">
        <v>2</v>
      </c>
      <c r="BA16" s="111"/>
      <c r="BB16" s="108">
        <v>90</v>
      </c>
      <c r="BC16" s="109"/>
      <c r="BD16" s="4"/>
      <c r="BE16" s="4"/>
      <c r="BF16" s="4"/>
      <c r="BG16" s="4"/>
      <c r="BH16" s="110">
        <v>2</v>
      </c>
      <c r="BI16" s="111"/>
      <c r="BJ16" s="108">
        <v>2</v>
      </c>
      <c r="BK16" s="111"/>
      <c r="BL16" s="108">
        <v>90</v>
      </c>
      <c r="BM16" s="109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SUM(J16,T16,AD16,AN16,AX16,BH16,BR16)</f>
        <v>16</v>
      </c>
      <c r="F17" s="11">
        <f>SUM(J17:BW17)</f>
        <v>22</v>
      </c>
      <c r="G17" s="105"/>
      <c r="H17" s="2"/>
      <c r="I17" s="2"/>
      <c r="J17" s="20">
        <v>3</v>
      </c>
      <c r="K17" s="21"/>
      <c r="L17" s="22">
        <v>1</v>
      </c>
      <c r="M17" s="21"/>
      <c r="N17" s="22">
        <v>0</v>
      </c>
      <c r="O17" s="23"/>
      <c r="P17" s="4"/>
      <c r="Q17" s="4"/>
      <c r="R17" s="4"/>
      <c r="S17" s="4"/>
      <c r="T17" s="20">
        <v>2</v>
      </c>
      <c r="U17" s="21"/>
      <c r="V17" s="22">
        <v>2</v>
      </c>
      <c r="W17" s="21"/>
      <c r="X17" s="22">
        <v>1</v>
      </c>
      <c r="Y17" s="23"/>
      <c r="Z17" s="4"/>
      <c r="AA17" s="4"/>
      <c r="AB17" s="4"/>
      <c r="AC17" s="4"/>
      <c r="AD17" s="20">
        <v>2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92">
        <v>2</v>
      </c>
      <c r="AO17" s="93"/>
      <c r="AP17" s="70">
        <v>0</v>
      </c>
      <c r="AQ17" s="93"/>
      <c r="AR17" s="70">
        <v>3</v>
      </c>
      <c r="AS17" s="71"/>
      <c r="AT17" s="4"/>
      <c r="AU17" s="4"/>
      <c r="AV17" s="4"/>
      <c r="AW17" s="4"/>
      <c r="AX17" s="112">
        <v>2</v>
      </c>
      <c r="AY17" s="113"/>
      <c r="AZ17" s="106">
        <v>0</v>
      </c>
      <c r="BA17" s="113"/>
      <c r="BB17" s="106">
        <v>0</v>
      </c>
      <c r="BC17" s="107"/>
      <c r="BD17" s="4"/>
      <c r="BE17" s="4"/>
      <c r="BF17" s="4"/>
      <c r="BG17" s="4"/>
      <c r="BH17" s="112">
        <v>2</v>
      </c>
      <c r="BI17" s="113"/>
      <c r="BJ17" s="106">
        <v>0</v>
      </c>
      <c r="BK17" s="113"/>
      <c r="BL17" s="106">
        <v>0</v>
      </c>
      <c r="BM17" s="107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4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114</v>
      </c>
      <c r="K24" s="25"/>
      <c r="L24" s="26"/>
      <c r="M24" s="38">
        <v>212</v>
      </c>
      <c r="N24" s="39"/>
      <c r="O24" s="40"/>
      <c r="P24" s="4"/>
      <c r="Q24" s="4"/>
      <c r="R24" s="4"/>
      <c r="S24" s="4"/>
      <c r="T24" s="24" t="s">
        <v>19</v>
      </c>
      <c r="U24" s="25"/>
      <c r="V24" s="26"/>
      <c r="W24" s="38">
        <v>111</v>
      </c>
      <c r="X24" s="102"/>
      <c r="Y24" s="103"/>
      <c r="Z24" s="4"/>
      <c r="AA24" s="4"/>
      <c r="AB24" s="4"/>
      <c r="AC24" s="4"/>
      <c r="AD24" s="24" t="s">
        <v>19</v>
      </c>
      <c r="AE24" s="25"/>
      <c r="AF24" s="26"/>
      <c r="AG24" s="38">
        <v>113</v>
      </c>
      <c r="AH24" s="39"/>
      <c r="AI24" s="40"/>
      <c r="AJ24" s="4"/>
      <c r="AK24" s="4"/>
      <c r="AL24" s="4"/>
      <c r="AM24" s="4"/>
      <c r="AN24" s="24" t="s">
        <v>19</v>
      </c>
      <c r="AO24" s="25"/>
      <c r="AP24" s="26"/>
      <c r="AQ24" s="38">
        <v>131</v>
      </c>
      <c r="AR24" s="102"/>
      <c r="AS24" s="103"/>
      <c r="AT24" s="4"/>
      <c r="AU24" s="4"/>
      <c r="AV24" s="4"/>
      <c r="AW24" s="4"/>
      <c r="AX24" s="24" t="s">
        <v>129</v>
      </c>
      <c r="AY24" s="25"/>
      <c r="AZ24" s="26"/>
      <c r="BA24" s="38" t="s">
        <v>110</v>
      </c>
      <c r="BB24" s="39"/>
      <c r="BC24" s="40"/>
      <c r="BD24" s="4"/>
      <c r="BE24" s="4"/>
      <c r="BF24" s="4"/>
      <c r="BG24" s="4"/>
      <c r="BH24" s="24" t="s">
        <v>133</v>
      </c>
      <c r="BI24" s="25"/>
      <c r="BJ24" s="26"/>
      <c r="BK24" s="38" t="s">
        <v>110</v>
      </c>
      <c r="BL24" s="39"/>
      <c r="BM24" s="40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54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SUM(N26,X26,AH26,AR26,BB26,BL26)</f>
        <v>885</v>
      </c>
      <c r="H25" s="2"/>
      <c r="I25" s="2"/>
      <c r="J25" s="30" t="s">
        <v>182</v>
      </c>
      <c r="K25" s="31"/>
      <c r="L25" s="31"/>
      <c r="M25" s="31"/>
      <c r="N25" s="32"/>
      <c r="O25" s="33"/>
      <c r="P25" s="4"/>
      <c r="Q25" s="4"/>
      <c r="R25" s="4"/>
      <c r="S25" s="4"/>
      <c r="T25" s="53" t="s">
        <v>36</v>
      </c>
      <c r="U25" s="54"/>
      <c r="V25" s="54"/>
      <c r="W25" s="54"/>
      <c r="X25" s="55"/>
      <c r="Y25" s="56"/>
      <c r="Z25" s="4"/>
      <c r="AA25" s="4"/>
      <c r="AB25" s="4"/>
      <c r="AC25" s="4"/>
      <c r="AD25" s="53" t="s">
        <v>196</v>
      </c>
      <c r="AE25" s="54"/>
      <c r="AF25" s="54"/>
      <c r="AG25" s="54"/>
      <c r="AH25" s="55"/>
      <c r="AI25" s="56"/>
      <c r="AJ25" s="4"/>
      <c r="AK25" s="4"/>
      <c r="AL25" s="4"/>
      <c r="AM25" s="4"/>
      <c r="AN25" s="53" t="s">
        <v>197</v>
      </c>
      <c r="AO25" s="54"/>
      <c r="AP25" s="54"/>
      <c r="AQ25" s="54"/>
      <c r="AR25" s="55"/>
      <c r="AS25" s="56"/>
      <c r="AT25" s="4"/>
      <c r="AU25" s="4"/>
      <c r="AV25" s="4"/>
      <c r="AW25" s="4"/>
      <c r="AX25" s="114" t="s">
        <v>130</v>
      </c>
      <c r="AY25" s="115"/>
      <c r="AZ25" s="115"/>
      <c r="BA25" s="115"/>
      <c r="BB25" s="116"/>
      <c r="BC25" s="117"/>
      <c r="BD25" s="4"/>
      <c r="BE25" s="4"/>
      <c r="BF25" s="4"/>
      <c r="BG25" s="4"/>
      <c r="BH25" s="114" t="s">
        <v>132</v>
      </c>
      <c r="BI25" s="115"/>
      <c r="BJ25" s="115"/>
      <c r="BK25" s="115"/>
      <c r="BL25" s="116"/>
      <c r="BM25" s="117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34">
        <v>3</v>
      </c>
      <c r="K26" s="35"/>
      <c r="L26" s="36">
        <v>4</v>
      </c>
      <c r="M26" s="35"/>
      <c r="N26" s="36">
        <v>150</v>
      </c>
      <c r="O26" s="37"/>
      <c r="P26" s="4"/>
      <c r="Q26" s="4"/>
      <c r="R26" s="4"/>
      <c r="S26" s="4"/>
      <c r="T26" s="57">
        <v>3</v>
      </c>
      <c r="U26" s="58"/>
      <c r="V26" s="59">
        <v>5</v>
      </c>
      <c r="W26" s="58"/>
      <c r="X26" s="59">
        <v>180</v>
      </c>
      <c r="Y26" s="91"/>
      <c r="Z26" s="4"/>
      <c r="AA26" s="4"/>
      <c r="AB26" s="4"/>
      <c r="AC26" s="4"/>
      <c r="AD26" s="57">
        <v>3</v>
      </c>
      <c r="AE26" s="58"/>
      <c r="AF26" s="59">
        <v>6</v>
      </c>
      <c r="AG26" s="58"/>
      <c r="AH26" s="59">
        <v>180</v>
      </c>
      <c r="AI26" s="91"/>
      <c r="AJ26" s="4"/>
      <c r="AK26" s="4"/>
      <c r="AL26" s="4"/>
      <c r="AM26" s="4"/>
      <c r="AN26" s="57">
        <v>3</v>
      </c>
      <c r="AO26" s="58"/>
      <c r="AP26" s="59">
        <v>6</v>
      </c>
      <c r="AQ26" s="58"/>
      <c r="AR26" s="59">
        <v>195</v>
      </c>
      <c r="AS26" s="91"/>
      <c r="AT26" s="4"/>
      <c r="AU26" s="4"/>
      <c r="AV26" s="4"/>
      <c r="AW26" s="4"/>
      <c r="AX26" s="110">
        <v>2</v>
      </c>
      <c r="AY26" s="111"/>
      <c r="AZ26" s="108">
        <v>2</v>
      </c>
      <c r="BA26" s="111"/>
      <c r="BB26" s="108">
        <v>90</v>
      </c>
      <c r="BC26" s="109"/>
      <c r="BD26" s="4"/>
      <c r="BE26" s="4"/>
      <c r="BF26" s="4"/>
      <c r="BG26" s="4"/>
      <c r="BH26" s="110">
        <v>2</v>
      </c>
      <c r="BI26" s="111"/>
      <c r="BJ26" s="108">
        <v>2</v>
      </c>
      <c r="BK26" s="111"/>
      <c r="BL26" s="108">
        <v>90</v>
      </c>
      <c r="BM26" s="109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thickBot="1" x14ac:dyDescent="0.35">
      <c r="B27" s="118"/>
      <c r="C27" s="1"/>
      <c r="D27" s="119"/>
      <c r="E27" s="11">
        <f>SUM(J26,T26,AD26,AN26,AX26,BH26,BR26)</f>
        <v>16</v>
      </c>
      <c r="F27" s="11">
        <f>SUM(J27:BW27)</f>
        <v>25</v>
      </c>
      <c r="G27" s="105"/>
      <c r="H27" s="2"/>
      <c r="I27" s="2"/>
      <c r="J27" s="20">
        <v>2</v>
      </c>
      <c r="K27" s="21"/>
      <c r="L27" s="22">
        <v>0</v>
      </c>
      <c r="M27" s="21"/>
      <c r="N27" s="22">
        <v>2</v>
      </c>
      <c r="O27" s="23"/>
      <c r="P27" s="4"/>
      <c r="Q27" s="4"/>
      <c r="R27" s="4"/>
      <c r="S27" s="4"/>
      <c r="T27" s="92">
        <v>2</v>
      </c>
      <c r="U27" s="93"/>
      <c r="V27" s="70">
        <v>0</v>
      </c>
      <c r="W27" s="93"/>
      <c r="X27" s="70">
        <v>3</v>
      </c>
      <c r="Y27" s="71"/>
      <c r="Z27" s="4"/>
      <c r="AA27" s="4"/>
      <c r="AB27" s="4"/>
      <c r="AC27" s="4"/>
      <c r="AD27" s="92">
        <v>1</v>
      </c>
      <c r="AE27" s="93"/>
      <c r="AF27" s="70">
        <v>2</v>
      </c>
      <c r="AG27" s="93"/>
      <c r="AH27" s="70">
        <v>3</v>
      </c>
      <c r="AI27" s="71"/>
      <c r="AJ27" s="4"/>
      <c r="AK27" s="4"/>
      <c r="AL27" s="4"/>
      <c r="AM27" s="4"/>
      <c r="AN27" s="92">
        <v>2</v>
      </c>
      <c r="AO27" s="93"/>
      <c r="AP27" s="70">
        <v>2</v>
      </c>
      <c r="AQ27" s="93"/>
      <c r="AR27" s="70">
        <v>2</v>
      </c>
      <c r="AS27" s="71"/>
      <c r="AT27" s="4"/>
      <c r="AU27" s="4"/>
      <c r="AV27" s="4"/>
      <c r="AW27" s="4"/>
      <c r="AX27" s="112">
        <v>2</v>
      </c>
      <c r="AY27" s="113"/>
      <c r="AZ27" s="106">
        <v>0</v>
      </c>
      <c r="BA27" s="113"/>
      <c r="BB27" s="106">
        <v>0</v>
      </c>
      <c r="BC27" s="107"/>
      <c r="BD27" s="4"/>
      <c r="BE27" s="4"/>
      <c r="BF27" s="4"/>
      <c r="BG27" s="4"/>
      <c r="BH27" s="112">
        <v>2</v>
      </c>
      <c r="BI27" s="113"/>
      <c r="BJ27" s="106">
        <v>0</v>
      </c>
      <c r="BK27" s="113"/>
      <c r="BL27" s="106">
        <v>0</v>
      </c>
      <c r="BM27" s="107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114</v>
      </c>
      <c r="K32" s="25"/>
      <c r="L32" s="26"/>
      <c r="M32" s="38">
        <v>231</v>
      </c>
      <c r="N32" s="102"/>
      <c r="O32" s="103"/>
      <c r="P32" s="4"/>
      <c r="Q32" s="4"/>
      <c r="R32" s="4"/>
      <c r="S32" s="4"/>
      <c r="T32" s="24" t="s">
        <v>114</v>
      </c>
      <c r="U32" s="25"/>
      <c r="V32" s="26"/>
      <c r="W32" s="38">
        <v>312</v>
      </c>
      <c r="X32" s="39"/>
      <c r="Y32" s="40"/>
      <c r="Z32" s="4"/>
      <c r="AA32" s="4"/>
      <c r="AB32" s="4"/>
      <c r="AC32" s="4"/>
      <c r="AD32" s="24" t="s">
        <v>19</v>
      </c>
      <c r="AE32" s="25"/>
      <c r="AF32" s="26"/>
      <c r="AG32" s="38">
        <v>132</v>
      </c>
      <c r="AH32" s="39"/>
      <c r="AI32" s="40"/>
      <c r="AJ32" s="4"/>
      <c r="AK32" s="4"/>
      <c r="AL32" s="4"/>
      <c r="AM32" s="4"/>
      <c r="AN32" s="24" t="s">
        <v>48</v>
      </c>
      <c r="AO32" s="25"/>
      <c r="AP32" s="26"/>
      <c r="AQ32" s="38">
        <v>111</v>
      </c>
      <c r="AR32" s="39"/>
      <c r="AS32" s="40"/>
      <c r="AT32" s="4"/>
      <c r="AU32" s="4"/>
      <c r="AV32" s="4"/>
      <c r="AW32" s="4"/>
      <c r="AX32" s="24" t="s">
        <v>136</v>
      </c>
      <c r="AY32" s="25"/>
      <c r="AZ32" s="26"/>
      <c r="BA32" s="38" t="s">
        <v>110</v>
      </c>
      <c r="BB32" s="39"/>
      <c r="BC32" s="40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870</v>
      </c>
      <c r="H33" s="2"/>
      <c r="I33" s="2"/>
      <c r="J33" s="30" t="s">
        <v>199</v>
      </c>
      <c r="K33" s="31"/>
      <c r="L33" s="31"/>
      <c r="M33" s="31"/>
      <c r="N33" s="32"/>
      <c r="O33" s="33"/>
      <c r="P33" s="4"/>
      <c r="Q33" s="4"/>
      <c r="R33" s="4"/>
      <c r="S33" s="4"/>
      <c r="T33" s="30" t="s">
        <v>250</v>
      </c>
      <c r="U33" s="31"/>
      <c r="V33" s="31"/>
      <c r="W33" s="31"/>
      <c r="X33" s="32"/>
      <c r="Y33" s="33"/>
      <c r="Z33" s="4"/>
      <c r="AA33" s="4"/>
      <c r="AB33" s="4"/>
      <c r="AC33" s="4"/>
      <c r="AD33" s="53" t="s">
        <v>198</v>
      </c>
      <c r="AE33" s="54"/>
      <c r="AF33" s="54"/>
      <c r="AG33" s="54"/>
      <c r="AH33" s="55"/>
      <c r="AI33" s="56"/>
      <c r="AJ33" s="4"/>
      <c r="AK33" s="4"/>
      <c r="AL33" s="4"/>
      <c r="AM33" s="4"/>
      <c r="AN33" s="146" t="s">
        <v>47</v>
      </c>
      <c r="AO33" s="147"/>
      <c r="AP33" s="147"/>
      <c r="AQ33" s="147"/>
      <c r="AR33" s="148"/>
      <c r="AS33" s="149"/>
      <c r="AT33" s="4"/>
      <c r="AU33" s="4"/>
      <c r="AV33" s="4"/>
      <c r="AW33" s="4"/>
      <c r="AX33" s="30" t="s">
        <v>28</v>
      </c>
      <c r="AY33" s="31"/>
      <c r="AZ33" s="31"/>
      <c r="BA33" s="31"/>
      <c r="BB33" s="32"/>
      <c r="BC33" s="33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34">
        <v>3</v>
      </c>
      <c r="K34" s="35"/>
      <c r="L34" s="36">
        <v>5</v>
      </c>
      <c r="M34" s="35"/>
      <c r="N34" s="36">
        <v>195</v>
      </c>
      <c r="O34" s="37"/>
      <c r="P34" s="4"/>
      <c r="Q34" s="4"/>
      <c r="R34" s="4"/>
      <c r="S34" s="4"/>
      <c r="T34" s="34">
        <v>3</v>
      </c>
      <c r="U34" s="35"/>
      <c r="V34" s="36">
        <v>4</v>
      </c>
      <c r="W34" s="35"/>
      <c r="X34" s="36">
        <v>150</v>
      </c>
      <c r="Y34" s="37"/>
      <c r="Z34" s="4"/>
      <c r="AA34" s="4"/>
      <c r="AB34" s="4"/>
      <c r="AC34" s="4"/>
      <c r="AD34" s="57">
        <v>3</v>
      </c>
      <c r="AE34" s="58"/>
      <c r="AF34" s="59">
        <v>5</v>
      </c>
      <c r="AG34" s="58"/>
      <c r="AH34" s="59">
        <v>165</v>
      </c>
      <c r="AI34" s="91"/>
      <c r="AJ34" s="4"/>
      <c r="AK34" s="4"/>
      <c r="AL34" s="4"/>
      <c r="AM34" s="4"/>
      <c r="AN34" s="138">
        <v>3</v>
      </c>
      <c r="AO34" s="139"/>
      <c r="AP34" s="140">
        <v>5</v>
      </c>
      <c r="AQ34" s="139"/>
      <c r="AR34" s="140">
        <v>180</v>
      </c>
      <c r="AS34" s="141"/>
      <c r="AT34" s="4"/>
      <c r="AU34" s="4"/>
      <c r="AV34" s="4"/>
      <c r="AW34" s="4"/>
      <c r="AX34" s="34">
        <v>3</v>
      </c>
      <c r="AY34" s="35"/>
      <c r="AZ34" s="36">
        <v>5</v>
      </c>
      <c r="BA34" s="35"/>
      <c r="BB34" s="36">
        <v>180</v>
      </c>
      <c r="BC34" s="37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SUM(J34,T34,AD34,AN34,AX34,BH34,BR34)</f>
        <v>15</v>
      </c>
      <c r="F35" s="11">
        <f>SUM(J35:BM35)</f>
        <v>24</v>
      </c>
      <c r="G35" s="105"/>
      <c r="H35" s="2"/>
      <c r="I35" s="2"/>
      <c r="J35" s="20">
        <v>2</v>
      </c>
      <c r="K35" s="21"/>
      <c r="L35" s="22">
        <v>1</v>
      </c>
      <c r="M35" s="21"/>
      <c r="N35" s="22">
        <v>2</v>
      </c>
      <c r="O35" s="23"/>
      <c r="P35" s="4"/>
      <c r="Q35" s="4"/>
      <c r="R35" s="4"/>
      <c r="S35" s="4"/>
      <c r="T35" s="20">
        <v>2</v>
      </c>
      <c r="U35" s="21"/>
      <c r="V35" s="22">
        <v>2</v>
      </c>
      <c r="W35" s="21"/>
      <c r="X35" s="22">
        <v>0</v>
      </c>
      <c r="Y35" s="23"/>
      <c r="Z35" s="4"/>
      <c r="AA35" s="4"/>
      <c r="AB35" s="4"/>
      <c r="AC35" s="4"/>
      <c r="AD35" s="92">
        <v>2</v>
      </c>
      <c r="AE35" s="93"/>
      <c r="AF35" s="70">
        <v>1</v>
      </c>
      <c r="AG35" s="93"/>
      <c r="AH35" s="70">
        <v>2</v>
      </c>
      <c r="AI35" s="71"/>
      <c r="AJ35" s="4"/>
      <c r="AK35" s="4"/>
      <c r="AL35" s="4"/>
      <c r="AM35" s="4"/>
      <c r="AN35" s="142">
        <v>2</v>
      </c>
      <c r="AO35" s="143"/>
      <c r="AP35" s="144">
        <v>1</v>
      </c>
      <c r="AQ35" s="143"/>
      <c r="AR35" s="144">
        <v>2</v>
      </c>
      <c r="AS35" s="145"/>
      <c r="AT35" s="4"/>
      <c r="AU35" s="4"/>
      <c r="AV35" s="4"/>
      <c r="AW35" s="4"/>
      <c r="AX35" s="20">
        <v>2</v>
      </c>
      <c r="AY35" s="21"/>
      <c r="AZ35" s="22">
        <v>1</v>
      </c>
      <c r="BA35" s="21"/>
      <c r="BB35" s="22">
        <v>2</v>
      </c>
      <c r="BC35" s="23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3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137</v>
      </c>
      <c r="K42" s="25"/>
      <c r="L42" s="26"/>
      <c r="M42" s="38" t="s">
        <v>110</v>
      </c>
      <c r="N42" s="39"/>
      <c r="O42" s="40"/>
      <c r="P42" s="4"/>
      <c r="Q42" s="4"/>
      <c r="R42" s="4"/>
      <c r="S42" s="4"/>
      <c r="T42" s="24" t="s">
        <v>19</v>
      </c>
      <c r="U42" s="25"/>
      <c r="V42" s="26"/>
      <c r="W42" s="38">
        <v>221</v>
      </c>
      <c r="X42" s="102"/>
      <c r="Y42" s="103"/>
      <c r="Z42" s="4"/>
      <c r="AA42" s="4"/>
      <c r="AB42" s="4"/>
      <c r="AC42" s="4"/>
      <c r="AD42" s="24" t="s">
        <v>121</v>
      </c>
      <c r="AE42" s="25"/>
      <c r="AF42" s="26"/>
      <c r="AG42" s="38" t="s">
        <v>109</v>
      </c>
      <c r="AH42" s="39"/>
      <c r="AI42" s="40"/>
      <c r="AJ42" s="4"/>
      <c r="AK42" s="4"/>
      <c r="AL42" s="4"/>
      <c r="AM42" s="4"/>
      <c r="AN42" s="24" t="s">
        <v>19</v>
      </c>
      <c r="AO42" s="25"/>
      <c r="AP42" s="26"/>
      <c r="AQ42" s="38">
        <v>233</v>
      </c>
      <c r="AR42" s="39"/>
      <c r="AS42" s="40"/>
      <c r="AT42" s="4"/>
      <c r="AU42" s="4"/>
      <c r="AV42" s="4"/>
      <c r="AW42" s="4"/>
      <c r="AX42" s="24" t="s">
        <v>48</v>
      </c>
      <c r="AY42" s="25"/>
      <c r="AZ42" s="26"/>
      <c r="BA42" s="38">
        <v>121</v>
      </c>
      <c r="BB42" s="39"/>
      <c r="BC42" s="40"/>
      <c r="BD42" s="4"/>
      <c r="BE42" s="4"/>
      <c r="BF42" s="4"/>
      <c r="BG42" s="4"/>
      <c r="BH42" s="24" t="s">
        <v>19</v>
      </c>
      <c r="BI42" s="25"/>
      <c r="BJ42" s="26"/>
      <c r="BK42" s="38">
        <v>291</v>
      </c>
      <c r="BL42" s="102"/>
      <c r="BM42" s="103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855</v>
      </c>
      <c r="H43" s="2"/>
      <c r="I43" s="2"/>
      <c r="J43" s="30" t="s">
        <v>29</v>
      </c>
      <c r="K43" s="31"/>
      <c r="L43" s="31"/>
      <c r="M43" s="31"/>
      <c r="N43" s="32"/>
      <c r="O43" s="33"/>
      <c r="P43" s="4"/>
      <c r="Q43" s="4"/>
      <c r="R43" s="4"/>
      <c r="S43" s="4"/>
      <c r="T43" s="53" t="s">
        <v>43</v>
      </c>
      <c r="U43" s="54"/>
      <c r="V43" s="54"/>
      <c r="W43" s="54"/>
      <c r="X43" s="55"/>
      <c r="Y43" s="56"/>
      <c r="Z43" s="4"/>
      <c r="AA43" s="4"/>
      <c r="AB43" s="4"/>
      <c r="AC43" s="4"/>
      <c r="AD43" s="114" t="s">
        <v>21</v>
      </c>
      <c r="AE43" s="115"/>
      <c r="AF43" s="115"/>
      <c r="AG43" s="115"/>
      <c r="AH43" s="116"/>
      <c r="AI43" s="117"/>
      <c r="AJ43" s="4"/>
      <c r="AK43" s="4"/>
      <c r="AL43" s="4"/>
      <c r="AM43" s="4"/>
      <c r="AN43" s="53" t="s">
        <v>40</v>
      </c>
      <c r="AO43" s="54"/>
      <c r="AP43" s="54"/>
      <c r="AQ43" s="54"/>
      <c r="AR43" s="55"/>
      <c r="AS43" s="56"/>
      <c r="AT43" s="4"/>
      <c r="AU43" s="4"/>
      <c r="AV43" s="4"/>
      <c r="AW43" s="4"/>
      <c r="AX43" s="146" t="s">
        <v>49</v>
      </c>
      <c r="AY43" s="147"/>
      <c r="AZ43" s="147"/>
      <c r="BA43" s="147"/>
      <c r="BB43" s="148"/>
      <c r="BC43" s="149"/>
      <c r="BD43" s="4"/>
      <c r="BE43" s="4"/>
      <c r="BF43" s="4"/>
      <c r="BG43" s="4"/>
      <c r="BH43" s="41" t="s">
        <v>248</v>
      </c>
      <c r="BI43" s="42"/>
      <c r="BJ43" s="42"/>
      <c r="BK43" s="42"/>
      <c r="BL43" s="43"/>
      <c r="BM43" s="4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34">
        <v>3</v>
      </c>
      <c r="K44" s="35"/>
      <c r="L44" s="36">
        <v>5</v>
      </c>
      <c r="M44" s="35"/>
      <c r="N44" s="36">
        <v>180</v>
      </c>
      <c r="O44" s="37"/>
      <c r="P44" s="4"/>
      <c r="Q44" s="4"/>
      <c r="R44" s="4"/>
      <c r="S44" s="4"/>
      <c r="T44" s="57">
        <v>3</v>
      </c>
      <c r="U44" s="58"/>
      <c r="V44" s="59">
        <v>5</v>
      </c>
      <c r="W44" s="58"/>
      <c r="X44" s="59">
        <v>180</v>
      </c>
      <c r="Y44" s="91"/>
      <c r="Z44" s="4"/>
      <c r="AA44" s="4"/>
      <c r="AB44" s="4"/>
      <c r="AC44" s="4"/>
      <c r="AD44" s="110">
        <v>2</v>
      </c>
      <c r="AE44" s="111"/>
      <c r="AF44" s="108">
        <v>2</v>
      </c>
      <c r="AG44" s="111"/>
      <c r="AH44" s="108">
        <v>90</v>
      </c>
      <c r="AI44" s="109"/>
      <c r="AJ44" s="4"/>
      <c r="AK44" s="4"/>
      <c r="AL44" s="4"/>
      <c r="AM44" s="4"/>
      <c r="AN44" s="57">
        <v>3</v>
      </c>
      <c r="AO44" s="58"/>
      <c r="AP44" s="59">
        <v>5</v>
      </c>
      <c r="AQ44" s="58"/>
      <c r="AR44" s="59">
        <v>165</v>
      </c>
      <c r="AS44" s="91"/>
      <c r="AT44" s="4"/>
      <c r="AU44" s="4"/>
      <c r="AV44" s="4"/>
      <c r="AW44" s="4"/>
      <c r="AX44" s="138">
        <v>3</v>
      </c>
      <c r="AY44" s="139"/>
      <c r="AZ44" s="140">
        <v>5</v>
      </c>
      <c r="BA44" s="139"/>
      <c r="BB44" s="140">
        <v>180</v>
      </c>
      <c r="BC44" s="141"/>
      <c r="BD44" s="4"/>
      <c r="BE44" s="4"/>
      <c r="BF44" s="4"/>
      <c r="BG44" s="4"/>
      <c r="BH44" s="45">
        <v>2</v>
      </c>
      <c r="BI44" s="46"/>
      <c r="BJ44" s="47">
        <v>2</v>
      </c>
      <c r="BK44" s="46"/>
      <c r="BL44" s="47">
        <v>60</v>
      </c>
      <c r="BM44" s="48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16</v>
      </c>
      <c r="F45" s="11">
        <f>SUM(J45:BM45)</f>
        <v>24</v>
      </c>
      <c r="G45" s="105"/>
      <c r="H45" s="2"/>
      <c r="I45" s="2"/>
      <c r="J45" s="20">
        <v>2</v>
      </c>
      <c r="K45" s="21"/>
      <c r="L45" s="22">
        <v>2</v>
      </c>
      <c r="M45" s="21"/>
      <c r="N45" s="22">
        <v>1</v>
      </c>
      <c r="O45" s="23"/>
      <c r="P45" s="4"/>
      <c r="Q45" s="4"/>
      <c r="R45" s="4"/>
      <c r="S45" s="4"/>
      <c r="T45" s="92">
        <v>2</v>
      </c>
      <c r="U45" s="93"/>
      <c r="V45" s="70">
        <v>1</v>
      </c>
      <c r="W45" s="93"/>
      <c r="X45" s="70">
        <v>2</v>
      </c>
      <c r="Y45" s="71"/>
      <c r="Z45" s="4"/>
      <c r="AA45" s="4"/>
      <c r="AB45" s="4"/>
      <c r="AC45" s="4"/>
      <c r="AD45" s="112">
        <v>2</v>
      </c>
      <c r="AE45" s="113"/>
      <c r="AF45" s="106">
        <v>0</v>
      </c>
      <c r="AG45" s="113"/>
      <c r="AH45" s="106">
        <v>0</v>
      </c>
      <c r="AI45" s="107"/>
      <c r="AJ45" s="4"/>
      <c r="AK45" s="4"/>
      <c r="AL45" s="4"/>
      <c r="AM45" s="4"/>
      <c r="AN45" s="92">
        <v>2</v>
      </c>
      <c r="AO45" s="93"/>
      <c r="AP45" s="70">
        <v>1</v>
      </c>
      <c r="AQ45" s="93"/>
      <c r="AR45" s="70">
        <v>2</v>
      </c>
      <c r="AS45" s="71"/>
      <c r="AT45" s="4"/>
      <c r="AU45" s="4"/>
      <c r="AV45" s="4"/>
      <c r="AW45" s="4"/>
      <c r="AX45" s="142">
        <v>2</v>
      </c>
      <c r="AY45" s="143"/>
      <c r="AZ45" s="144">
        <v>1</v>
      </c>
      <c r="BA45" s="143"/>
      <c r="BB45" s="144">
        <v>2</v>
      </c>
      <c r="BC45" s="145"/>
      <c r="BD45" s="4"/>
      <c r="BE45" s="4"/>
      <c r="BF45" s="4"/>
      <c r="BG45" s="4"/>
      <c r="BH45" s="49">
        <v>2</v>
      </c>
      <c r="BI45" s="50"/>
      <c r="BJ45" s="51">
        <v>0</v>
      </c>
      <c r="BK45" s="50"/>
      <c r="BL45" s="51">
        <v>0</v>
      </c>
      <c r="BM45" s="52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19</v>
      </c>
      <c r="K50" s="25"/>
      <c r="L50" s="26"/>
      <c r="M50" s="38">
        <v>211</v>
      </c>
      <c r="N50" s="39"/>
      <c r="O50" s="40"/>
      <c r="P50" s="4"/>
      <c r="Q50" s="4"/>
      <c r="R50" s="4"/>
      <c r="S50" s="4"/>
      <c r="T50" s="24" t="s">
        <v>19</v>
      </c>
      <c r="U50" s="25"/>
      <c r="V50" s="26"/>
      <c r="W50" s="38">
        <v>251</v>
      </c>
      <c r="X50" s="102"/>
      <c r="Y50" s="103"/>
      <c r="Z50" s="4"/>
      <c r="AA50" s="4"/>
      <c r="AB50" s="4"/>
      <c r="AC50" s="4"/>
      <c r="AD50" s="24" t="s">
        <v>19</v>
      </c>
      <c r="AE50" s="25"/>
      <c r="AF50" s="26"/>
      <c r="AG50" s="38">
        <v>261</v>
      </c>
      <c r="AH50" s="102"/>
      <c r="AI50" s="103"/>
      <c r="AJ50" s="4"/>
      <c r="AK50" s="4"/>
      <c r="AL50" s="4"/>
      <c r="AM50" s="4"/>
      <c r="AN50" s="24" t="s">
        <v>19</v>
      </c>
      <c r="AO50" s="25"/>
      <c r="AP50" s="26"/>
      <c r="AQ50" s="38">
        <v>112</v>
      </c>
      <c r="AR50" s="102"/>
      <c r="AS50" s="103"/>
      <c r="AT50" s="4"/>
      <c r="AU50" s="4"/>
      <c r="AV50" s="4"/>
      <c r="AW50" s="4"/>
      <c r="AX50" s="24" t="s">
        <v>19</v>
      </c>
      <c r="AY50" s="25"/>
      <c r="AZ50" s="26"/>
      <c r="BA50" s="38">
        <v>234</v>
      </c>
      <c r="BB50" s="102"/>
      <c r="BC50" s="103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SUM(N52,X52,AH52,AR52,BB52,BL52,BW52)</f>
        <v>885</v>
      </c>
      <c r="H51" s="2"/>
      <c r="I51" s="2"/>
      <c r="J51" s="53" t="s">
        <v>201</v>
      </c>
      <c r="K51" s="54"/>
      <c r="L51" s="54"/>
      <c r="M51" s="54"/>
      <c r="N51" s="55"/>
      <c r="O51" s="56"/>
      <c r="P51" s="4"/>
      <c r="Q51" s="4"/>
      <c r="R51" s="4"/>
      <c r="S51" s="4"/>
      <c r="T51" s="53" t="s">
        <v>67</v>
      </c>
      <c r="U51" s="54"/>
      <c r="V51" s="54"/>
      <c r="W51" s="54"/>
      <c r="X51" s="55"/>
      <c r="Y51" s="56"/>
      <c r="Z51" s="4"/>
      <c r="AA51" s="4"/>
      <c r="AB51" s="4"/>
      <c r="AC51" s="4"/>
      <c r="AD51" s="53" t="s">
        <v>41</v>
      </c>
      <c r="AE51" s="54"/>
      <c r="AF51" s="54"/>
      <c r="AG51" s="54"/>
      <c r="AH51" s="55"/>
      <c r="AI51" s="56"/>
      <c r="AJ51" s="4"/>
      <c r="AK51" s="4"/>
      <c r="AL51" s="4"/>
      <c r="AM51" s="4"/>
      <c r="AN51" s="53" t="s">
        <v>38</v>
      </c>
      <c r="AO51" s="54"/>
      <c r="AP51" s="54"/>
      <c r="AQ51" s="54"/>
      <c r="AR51" s="55"/>
      <c r="AS51" s="56"/>
      <c r="AT51" s="4"/>
      <c r="AU51" s="4"/>
      <c r="AV51" s="4"/>
      <c r="AW51" s="4"/>
      <c r="AX51" s="53" t="s">
        <v>200</v>
      </c>
      <c r="AY51" s="54"/>
      <c r="AZ51" s="54"/>
      <c r="BA51" s="54"/>
      <c r="BB51" s="55"/>
      <c r="BC51" s="56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57">
        <v>3</v>
      </c>
      <c r="K52" s="58"/>
      <c r="L52" s="59">
        <v>5</v>
      </c>
      <c r="M52" s="58"/>
      <c r="N52" s="59">
        <v>165</v>
      </c>
      <c r="O52" s="91"/>
      <c r="P52" s="4"/>
      <c r="Q52" s="4"/>
      <c r="R52" s="4"/>
      <c r="S52" s="4"/>
      <c r="T52" s="57">
        <v>3</v>
      </c>
      <c r="U52" s="58"/>
      <c r="V52" s="59">
        <v>5</v>
      </c>
      <c r="W52" s="58"/>
      <c r="X52" s="59">
        <v>180</v>
      </c>
      <c r="Y52" s="91"/>
      <c r="Z52" s="4"/>
      <c r="AA52" s="4"/>
      <c r="AB52" s="4"/>
      <c r="AC52" s="4"/>
      <c r="AD52" s="57">
        <v>3</v>
      </c>
      <c r="AE52" s="58"/>
      <c r="AF52" s="59">
        <v>5</v>
      </c>
      <c r="AG52" s="58"/>
      <c r="AH52" s="59">
        <v>165</v>
      </c>
      <c r="AI52" s="91"/>
      <c r="AJ52" s="4"/>
      <c r="AK52" s="4"/>
      <c r="AL52" s="4"/>
      <c r="AM52" s="4"/>
      <c r="AN52" s="57">
        <v>4</v>
      </c>
      <c r="AO52" s="58"/>
      <c r="AP52" s="59">
        <v>6</v>
      </c>
      <c r="AQ52" s="58"/>
      <c r="AR52" s="59">
        <v>195</v>
      </c>
      <c r="AS52" s="91"/>
      <c r="AT52" s="4"/>
      <c r="AU52" s="4"/>
      <c r="AV52" s="4"/>
      <c r="AW52" s="4"/>
      <c r="AX52" s="57">
        <v>3</v>
      </c>
      <c r="AY52" s="58"/>
      <c r="AZ52" s="59">
        <v>5</v>
      </c>
      <c r="BA52" s="58"/>
      <c r="BB52" s="59">
        <v>180</v>
      </c>
      <c r="BC52" s="91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J52+T52+AD52+AN52+AX52+BH52+BS52</f>
        <v>16</v>
      </c>
      <c r="F53" s="11">
        <f>L52+V52+AF52+AP52+AZ52+BJ52+BU52</f>
        <v>26</v>
      </c>
      <c r="G53" s="105"/>
      <c r="H53" s="2"/>
      <c r="I53" s="2"/>
      <c r="J53" s="92">
        <v>2</v>
      </c>
      <c r="K53" s="93"/>
      <c r="L53" s="70">
        <v>1</v>
      </c>
      <c r="M53" s="93"/>
      <c r="N53" s="70">
        <v>2</v>
      </c>
      <c r="O53" s="71"/>
      <c r="P53" s="4"/>
      <c r="Q53" s="4"/>
      <c r="R53" s="4"/>
      <c r="S53" s="4"/>
      <c r="T53" s="92">
        <v>2</v>
      </c>
      <c r="U53" s="93"/>
      <c r="V53" s="70">
        <v>1</v>
      </c>
      <c r="W53" s="93"/>
      <c r="X53" s="70">
        <v>2</v>
      </c>
      <c r="Y53" s="71"/>
      <c r="Z53" s="4"/>
      <c r="AA53" s="4"/>
      <c r="AB53" s="4"/>
      <c r="AC53" s="4"/>
      <c r="AD53" s="92">
        <v>2</v>
      </c>
      <c r="AE53" s="93"/>
      <c r="AF53" s="70">
        <v>1</v>
      </c>
      <c r="AG53" s="93"/>
      <c r="AH53" s="70">
        <v>2</v>
      </c>
      <c r="AI53" s="71"/>
      <c r="AJ53" s="4"/>
      <c r="AK53" s="4"/>
      <c r="AL53" s="4"/>
      <c r="AM53" s="4"/>
      <c r="AN53" s="92">
        <v>3</v>
      </c>
      <c r="AO53" s="93"/>
      <c r="AP53" s="70">
        <v>3</v>
      </c>
      <c r="AQ53" s="93"/>
      <c r="AR53" s="70">
        <v>0</v>
      </c>
      <c r="AS53" s="71"/>
      <c r="AT53" s="4"/>
      <c r="AU53" s="4"/>
      <c r="AV53" s="4"/>
      <c r="AW53" s="4"/>
      <c r="AX53" s="92">
        <v>2</v>
      </c>
      <c r="AY53" s="93"/>
      <c r="AZ53" s="70">
        <v>1</v>
      </c>
      <c r="BA53" s="93"/>
      <c r="BB53" s="70">
        <v>2</v>
      </c>
      <c r="BC53" s="71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2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167</v>
      </c>
      <c r="K60" s="25"/>
      <c r="L60" s="26"/>
      <c r="M60" s="38">
        <v>432</v>
      </c>
      <c r="N60" s="39"/>
      <c r="O60" s="40"/>
      <c r="P60" s="4"/>
      <c r="Q60" s="4"/>
      <c r="R60" s="4"/>
      <c r="S60" s="4"/>
      <c r="T60" s="24" t="s">
        <v>19</v>
      </c>
      <c r="U60" s="25"/>
      <c r="V60" s="26"/>
      <c r="W60" s="38">
        <v>241</v>
      </c>
      <c r="X60" s="39"/>
      <c r="Y60" s="40"/>
      <c r="Z60" s="4"/>
      <c r="AA60" s="4"/>
      <c r="AB60" s="4"/>
      <c r="AC60" s="4"/>
      <c r="AD60" s="24" t="s">
        <v>19</v>
      </c>
      <c r="AE60" s="25"/>
      <c r="AF60" s="26"/>
      <c r="AG60" s="38">
        <v>242</v>
      </c>
      <c r="AH60" s="102"/>
      <c r="AI60" s="103"/>
      <c r="AJ60" s="4"/>
      <c r="AK60" s="4"/>
      <c r="AL60" s="4"/>
      <c r="AM60" s="4"/>
      <c r="AN60" s="24" t="s">
        <v>19</v>
      </c>
      <c r="AO60" s="25"/>
      <c r="AP60" s="26"/>
      <c r="AQ60" s="38">
        <v>344</v>
      </c>
      <c r="AR60" s="39"/>
      <c r="AS60" s="40"/>
      <c r="AT60" s="4"/>
      <c r="AU60" s="4"/>
      <c r="AV60" s="4"/>
      <c r="AW60" s="4"/>
      <c r="AX60" s="24" t="s">
        <v>19</v>
      </c>
      <c r="AY60" s="25"/>
      <c r="AZ60" s="26"/>
      <c r="BA60" s="38">
        <v>363</v>
      </c>
      <c r="BB60" s="102"/>
      <c r="BC60" s="103"/>
      <c r="BD60" s="4"/>
      <c r="BE60" s="4"/>
      <c r="BF60" s="4"/>
      <c r="BG60" s="4"/>
      <c r="BH60" s="24" t="s">
        <v>131</v>
      </c>
      <c r="BI60" s="25"/>
      <c r="BJ60" s="26"/>
      <c r="BK60" s="38" t="s">
        <v>109</v>
      </c>
      <c r="BL60" s="39"/>
      <c r="BM60" s="40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930</v>
      </c>
      <c r="H61" s="2"/>
      <c r="I61" s="2"/>
      <c r="J61" s="30" t="s">
        <v>27</v>
      </c>
      <c r="K61" s="31"/>
      <c r="L61" s="31"/>
      <c r="M61" s="31"/>
      <c r="N61" s="32"/>
      <c r="O61" s="33"/>
      <c r="P61" s="4"/>
      <c r="Q61" s="4"/>
      <c r="R61" s="4"/>
      <c r="S61" s="4"/>
      <c r="T61" s="94" t="s">
        <v>214</v>
      </c>
      <c r="U61" s="95"/>
      <c r="V61" s="95"/>
      <c r="W61" s="95"/>
      <c r="X61" s="96"/>
      <c r="Y61" s="97"/>
      <c r="Z61" s="4"/>
      <c r="AA61" s="4"/>
      <c r="AB61" s="4"/>
      <c r="AC61" s="4"/>
      <c r="AD61" s="94" t="s">
        <v>215</v>
      </c>
      <c r="AE61" s="95"/>
      <c r="AF61" s="95"/>
      <c r="AG61" s="95"/>
      <c r="AH61" s="96"/>
      <c r="AI61" s="97"/>
      <c r="AJ61" s="4"/>
      <c r="AK61" s="4"/>
      <c r="AL61" s="4"/>
      <c r="AM61" s="4"/>
      <c r="AN61" s="53" t="s">
        <v>204</v>
      </c>
      <c r="AO61" s="54"/>
      <c r="AP61" s="54"/>
      <c r="AQ61" s="54"/>
      <c r="AR61" s="55"/>
      <c r="AS61" s="56"/>
      <c r="AT61" s="4"/>
      <c r="AU61" s="4"/>
      <c r="AV61" s="4"/>
      <c r="AW61" s="4"/>
      <c r="AX61" s="53" t="s">
        <v>72</v>
      </c>
      <c r="AY61" s="54"/>
      <c r="AZ61" s="54"/>
      <c r="BA61" s="54"/>
      <c r="BB61" s="55"/>
      <c r="BC61" s="56"/>
      <c r="BD61" s="4"/>
      <c r="BE61" s="4"/>
      <c r="BF61" s="4"/>
      <c r="BG61" s="4"/>
      <c r="BH61" s="114" t="s">
        <v>20</v>
      </c>
      <c r="BI61" s="115"/>
      <c r="BJ61" s="115"/>
      <c r="BK61" s="115"/>
      <c r="BL61" s="116"/>
      <c r="BM61" s="117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34">
        <v>3</v>
      </c>
      <c r="K62" s="35"/>
      <c r="L62" s="36">
        <v>4</v>
      </c>
      <c r="M62" s="35"/>
      <c r="N62" s="36">
        <v>150</v>
      </c>
      <c r="O62" s="37"/>
      <c r="P62" s="4"/>
      <c r="Q62" s="4"/>
      <c r="R62" s="4"/>
      <c r="S62" s="4"/>
      <c r="T62" s="98">
        <v>3</v>
      </c>
      <c r="U62" s="99"/>
      <c r="V62" s="100">
        <v>5</v>
      </c>
      <c r="W62" s="99"/>
      <c r="X62" s="100">
        <v>150</v>
      </c>
      <c r="Y62" s="101"/>
      <c r="Z62" s="4"/>
      <c r="AA62" s="4"/>
      <c r="AB62" s="4"/>
      <c r="AC62" s="4"/>
      <c r="AD62" s="98">
        <v>3</v>
      </c>
      <c r="AE62" s="99"/>
      <c r="AF62" s="100">
        <v>5</v>
      </c>
      <c r="AG62" s="99"/>
      <c r="AH62" s="100">
        <v>180</v>
      </c>
      <c r="AI62" s="101"/>
      <c r="AJ62" s="4"/>
      <c r="AK62" s="4"/>
      <c r="AL62" s="4"/>
      <c r="AM62" s="4"/>
      <c r="AN62" s="57">
        <v>3</v>
      </c>
      <c r="AO62" s="58"/>
      <c r="AP62" s="59">
        <v>5</v>
      </c>
      <c r="AQ62" s="58"/>
      <c r="AR62" s="59">
        <v>180</v>
      </c>
      <c r="AS62" s="91"/>
      <c r="AT62" s="4"/>
      <c r="AU62" s="4"/>
      <c r="AV62" s="4"/>
      <c r="AW62" s="4"/>
      <c r="AX62" s="57">
        <v>3</v>
      </c>
      <c r="AY62" s="58"/>
      <c r="AZ62" s="59">
        <v>5</v>
      </c>
      <c r="BA62" s="58"/>
      <c r="BB62" s="59">
        <v>180</v>
      </c>
      <c r="BC62" s="91"/>
      <c r="BD62" s="4"/>
      <c r="BE62" s="4"/>
      <c r="BF62" s="4"/>
      <c r="BG62" s="4"/>
      <c r="BH62" s="110">
        <v>2</v>
      </c>
      <c r="BI62" s="111"/>
      <c r="BJ62" s="108">
        <v>2</v>
      </c>
      <c r="BK62" s="111"/>
      <c r="BL62" s="108">
        <v>90</v>
      </c>
      <c r="BM62" s="109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17</v>
      </c>
      <c r="F63" s="11">
        <f>SUM(J63:BM63)</f>
        <v>26</v>
      </c>
      <c r="G63" s="105"/>
      <c r="H63" s="2"/>
      <c r="I63" s="2"/>
      <c r="J63" s="20">
        <v>2</v>
      </c>
      <c r="K63" s="21"/>
      <c r="L63" s="22">
        <v>1</v>
      </c>
      <c r="M63" s="21"/>
      <c r="N63" s="22">
        <v>1</v>
      </c>
      <c r="O63" s="23"/>
      <c r="P63" s="4"/>
      <c r="Q63" s="4"/>
      <c r="R63" s="4"/>
      <c r="S63" s="4"/>
      <c r="T63" s="72">
        <v>2</v>
      </c>
      <c r="U63" s="73"/>
      <c r="V63" s="68">
        <v>1</v>
      </c>
      <c r="W63" s="73"/>
      <c r="X63" s="68">
        <v>2</v>
      </c>
      <c r="Y63" s="69"/>
      <c r="Z63" s="4"/>
      <c r="AA63" s="4"/>
      <c r="AB63" s="4"/>
      <c r="AC63" s="4"/>
      <c r="AD63" s="72">
        <v>2</v>
      </c>
      <c r="AE63" s="73"/>
      <c r="AF63" s="68">
        <v>1</v>
      </c>
      <c r="AG63" s="73"/>
      <c r="AH63" s="68">
        <v>2</v>
      </c>
      <c r="AI63" s="69"/>
      <c r="AJ63" s="4"/>
      <c r="AK63" s="4"/>
      <c r="AL63" s="4"/>
      <c r="AM63" s="4"/>
      <c r="AN63" s="92">
        <v>2</v>
      </c>
      <c r="AO63" s="93"/>
      <c r="AP63" s="70">
        <v>1</v>
      </c>
      <c r="AQ63" s="93"/>
      <c r="AR63" s="70">
        <v>2</v>
      </c>
      <c r="AS63" s="71"/>
      <c r="AT63" s="4"/>
      <c r="AU63" s="4"/>
      <c r="AV63" s="4"/>
      <c r="AW63" s="4"/>
      <c r="AX63" s="92">
        <v>2</v>
      </c>
      <c r="AY63" s="93"/>
      <c r="AZ63" s="70">
        <v>1</v>
      </c>
      <c r="BA63" s="93"/>
      <c r="BB63" s="70">
        <v>2</v>
      </c>
      <c r="BC63" s="71"/>
      <c r="BD63" s="4"/>
      <c r="BE63" s="4"/>
      <c r="BF63" s="4"/>
      <c r="BG63" s="4"/>
      <c r="BH63" s="112">
        <v>2</v>
      </c>
      <c r="BI63" s="113"/>
      <c r="BJ63" s="106">
        <v>0</v>
      </c>
      <c r="BK63" s="113"/>
      <c r="BL63" s="106">
        <v>0</v>
      </c>
      <c r="BM63" s="107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ht="14.55" customHeight="1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19</v>
      </c>
      <c r="K68" s="25"/>
      <c r="L68" s="26"/>
      <c r="M68" s="38">
        <v>243</v>
      </c>
      <c r="N68" s="102"/>
      <c r="O68" s="103"/>
      <c r="P68" s="4"/>
      <c r="Q68" s="4"/>
      <c r="R68" s="4"/>
      <c r="S68" s="4"/>
      <c r="T68" s="24" t="s">
        <v>19</v>
      </c>
      <c r="U68" s="25"/>
      <c r="V68" s="26"/>
      <c r="W68" s="38">
        <v>446</v>
      </c>
      <c r="X68" s="102"/>
      <c r="Y68" s="103"/>
      <c r="Z68" s="4"/>
      <c r="AA68" s="4"/>
      <c r="AB68" s="4"/>
      <c r="AC68" s="4"/>
      <c r="AD68" s="24" t="s">
        <v>19</v>
      </c>
      <c r="AE68" s="25"/>
      <c r="AF68" s="26"/>
      <c r="AG68" s="38">
        <v>464</v>
      </c>
      <c r="AH68" s="102"/>
      <c r="AI68" s="103"/>
      <c r="AJ68" s="4"/>
      <c r="AK68" s="4"/>
      <c r="AL68" s="4"/>
      <c r="AM68" s="4"/>
      <c r="AN68" s="24" t="s">
        <v>19</v>
      </c>
      <c r="AO68" s="25"/>
      <c r="AP68" s="26"/>
      <c r="AQ68" s="38">
        <v>373</v>
      </c>
      <c r="AR68" s="102"/>
      <c r="AS68" s="103"/>
      <c r="AT68" s="4"/>
      <c r="AU68" s="4"/>
      <c r="AV68" s="4"/>
      <c r="AW68" s="4"/>
      <c r="AX68" s="24" t="s">
        <v>19</v>
      </c>
      <c r="AY68" s="25"/>
      <c r="AZ68" s="26"/>
      <c r="BA68" s="38">
        <v>392</v>
      </c>
      <c r="BB68" s="39"/>
      <c r="BC68" s="40"/>
      <c r="BD68" s="4"/>
      <c r="BE68" s="4"/>
      <c r="BF68" s="4"/>
      <c r="BG68" s="4"/>
      <c r="BH68" s="24" t="s">
        <v>135</v>
      </c>
      <c r="BI68" s="25"/>
      <c r="BJ68" s="26"/>
      <c r="BK68" s="38" t="s">
        <v>111</v>
      </c>
      <c r="BL68" s="39"/>
      <c r="BM68" s="40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870</v>
      </c>
      <c r="H69" s="2"/>
      <c r="I69" s="2"/>
      <c r="J69" s="94" t="s">
        <v>216</v>
      </c>
      <c r="K69" s="95"/>
      <c r="L69" s="95"/>
      <c r="M69" s="95"/>
      <c r="N69" s="96"/>
      <c r="O69" s="97"/>
      <c r="P69" s="4"/>
      <c r="Q69" s="4"/>
      <c r="R69" s="4"/>
      <c r="S69" s="4"/>
      <c r="T69" s="94" t="s">
        <v>206</v>
      </c>
      <c r="U69" s="95"/>
      <c r="V69" s="95"/>
      <c r="W69" s="95"/>
      <c r="X69" s="96"/>
      <c r="Y69" s="97"/>
      <c r="Z69" s="4"/>
      <c r="AA69" s="4"/>
      <c r="AB69" s="4"/>
      <c r="AC69" s="4"/>
      <c r="AD69" s="94" t="s">
        <v>74</v>
      </c>
      <c r="AE69" s="95"/>
      <c r="AF69" s="95"/>
      <c r="AG69" s="95"/>
      <c r="AH69" s="96"/>
      <c r="AI69" s="97"/>
      <c r="AJ69" s="4"/>
      <c r="AK69" s="4"/>
      <c r="AL69" s="4"/>
      <c r="AM69" s="4"/>
      <c r="AN69" s="94" t="s">
        <v>205</v>
      </c>
      <c r="AO69" s="95"/>
      <c r="AP69" s="95"/>
      <c r="AQ69" s="95"/>
      <c r="AR69" s="96"/>
      <c r="AS69" s="97"/>
      <c r="AT69" s="4"/>
      <c r="AU69" s="4"/>
      <c r="AV69" s="4"/>
      <c r="AW69" s="4"/>
      <c r="AX69" s="41" t="s">
        <v>249</v>
      </c>
      <c r="AY69" s="42"/>
      <c r="AZ69" s="42"/>
      <c r="BA69" s="42"/>
      <c r="BB69" s="43"/>
      <c r="BC69" s="44"/>
      <c r="BD69" s="4"/>
      <c r="BE69" s="4"/>
      <c r="BF69" s="4"/>
      <c r="BG69" s="4"/>
      <c r="BH69" s="114" t="s">
        <v>134</v>
      </c>
      <c r="BI69" s="115"/>
      <c r="BJ69" s="115"/>
      <c r="BK69" s="115"/>
      <c r="BL69" s="116"/>
      <c r="BM69" s="117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98">
        <v>3</v>
      </c>
      <c r="K70" s="99"/>
      <c r="L70" s="100">
        <v>5</v>
      </c>
      <c r="M70" s="99"/>
      <c r="N70" s="100">
        <v>180</v>
      </c>
      <c r="O70" s="101"/>
      <c r="P70" s="4"/>
      <c r="Q70" s="4"/>
      <c r="R70" s="4"/>
      <c r="S70" s="4"/>
      <c r="T70" s="98">
        <v>3</v>
      </c>
      <c r="U70" s="99"/>
      <c r="V70" s="100">
        <v>5</v>
      </c>
      <c r="W70" s="99"/>
      <c r="X70" s="100">
        <v>180</v>
      </c>
      <c r="Y70" s="101"/>
      <c r="Z70" s="4"/>
      <c r="AA70" s="4"/>
      <c r="AB70" s="4"/>
      <c r="AC70" s="4"/>
      <c r="AD70" s="98">
        <v>3</v>
      </c>
      <c r="AE70" s="99"/>
      <c r="AF70" s="100">
        <v>5</v>
      </c>
      <c r="AG70" s="99"/>
      <c r="AH70" s="100">
        <v>180</v>
      </c>
      <c r="AI70" s="101"/>
      <c r="AJ70" s="4"/>
      <c r="AK70" s="4"/>
      <c r="AL70" s="4"/>
      <c r="AM70" s="4"/>
      <c r="AN70" s="98">
        <v>3</v>
      </c>
      <c r="AO70" s="99"/>
      <c r="AP70" s="100">
        <v>5</v>
      </c>
      <c r="AQ70" s="99"/>
      <c r="AR70" s="100">
        <v>180</v>
      </c>
      <c r="AS70" s="101"/>
      <c r="AT70" s="4"/>
      <c r="AU70" s="4"/>
      <c r="AV70" s="4"/>
      <c r="AW70" s="4"/>
      <c r="AX70" s="45">
        <v>2</v>
      </c>
      <c r="AY70" s="46"/>
      <c r="AZ70" s="47">
        <v>2</v>
      </c>
      <c r="BA70" s="46"/>
      <c r="BB70" s="47">
        <v>60</v>
      </c>
      <c r="BC70" s="48"/>
      <c r="BD70" s="4"/>
      <c r="BE70" s="4"/>
      <c r="BF70" s="4"/>
      <c r="BG70" s="4"/>
      <c r="BH70" s="110">
        <v>2</v>
      </c>
      <c r="BI70" s="111"/>
      <c r="BJ70" s="108">
        <v>2</v>
      </c>
      <c r="BK70" s="111"/>
      <c r="BL70" s="108">
        <v>90</v>
      </c>
      <c r="BM70" s="109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SUM(J70,T70,AD70,AN70,AX70,BH70)</f>
        <v>16</v>
      </c>
      <c r="F71" s="11">
        <f>L70+V70+AF70+AP70+AZ70+BJ70</f>
        <v>24</v>
      </c>
      <c r="G71" s="105"/>
      <c r="H71" s="2"/>
      <c r="I71" s="2"/>
      <c r="J71" s="72">
        <v>2</v>
      </c>
      <c r="K71" s="73"/>
      <c r="L71" s="68">
        <v>0</v>
      </c>
      <c r="M71" s="73"/>
      <c r="N71" s="68">
        <v>3</v>
      </c>
      <c r="O71" s="69"/>
      <c r="P71" s="4"/>
      <c r="Q71" s="4"/>
      <c r="R71" s="4"/>
      <c r="S71" s="4"/>
      <c r="T71" s="72">
        <v>2</v>
      </c>
      <c r="U71" s="73"/>
      <c r="V71" s="68">
        <v>1</v>
      </c>
      <c r="W71" s="73"/>
      <c r="X71" s="68">
        <v>2</v>
      </c>
      <c r="Y71" s="69"/>
      <c r="Z71" s="4"/>
      <c r="AA71" s="4"/>
      <c r="AB71" s="4"/>
      <c r="AC71" s="4"/>
      <c r="AD71" s="72">
        <v>2</v>
      </c>
      <c r="AE71" s="73"/>
      <c r="AF71" s="68">
        <v>1</v>
      </c>
      <c r="AG71" s="73"/>
      <c r="AH71" s="68">
        <v>2</v>
      </c>
      <c r="AI71" s="69"/>
      <c r="AJ71" s="4"/>
      <c r="AK71" s="4"/>
      <c r="AL71" s="4"/>
      <c r="AM71" s="4"/>
      <c r="AN71" s="72">
        <v>2</v>
      </c>
      <c r="AO71" s="73"/>
      <c r="AP71" s="68">
        <v>1</v>
      </c>
      <c r="AQ71" s="73"/>
      <c r="AR71" s="68">
        <v>2</v>
      </c>
      <c r="AS71" s="69"/>
      <c r="AT71" s="4"/>
      <c r="AU71" s="4"/>
      <c r="AV71" s="4"/>
      <c r="AW71" s="4"/>
      <c r="AX71" s="49">
        <v>2</v>
      </c>
      <c r="AY71" s="50"/>
      <c r="AZ71" s="51">
        <v>0</v>
      </c>
      <c r="BA71" s="50"/>
      <c r="BB71" s="51">
        <v>0</v>
      </c>
      <c r="BC71" s="52"/>
      <c r="BD71" s="4"/>
      <c r="BE71" s="4"/>
      <c r="BF71" s="4"/>
      <c r="BG71" s="4"/>
      <c r="BH71" s="112">
        <v>2</v>
      </c>
      <c r="BI71" s="113"/>
      <c r="BJ71" s="106">
        <v>0</v>
      </c>
      <c r="BK71" s="113"/>
      <c r="BL71" s="106">
        <v>0</v>
      </c>
      <c r="BM71" s="107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x14ac:dyDescent="0.3"/>
    <row r="77" spans="2:135" ht="10.050000000000001" customHeight="1" thickBot="1" x14ac:dyDescent="0.35">
      <c r="B77" s="118" t="s">
        <v>1</v>
      </c>
      <c r="C77" s="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2:135" ht="15" customHeight="1" x14ac:dyDescent="0.3">
      <c r="B78" s="118"/>
      <c r="C78" s="1"/>
      <c r="D78" s="119" t="s">
        <v>5</v>
      </c>
      <c r="E78" s="11"/>
      <c r="F78" s="11"/>
      <c r="G78" s="2"/>
      <c r="H78" s="2"/>
      <c r="I78" s="2"/>
      <c r="J78" s="24" t="s">
        <v>252</v>
      </c>
      <c r="K78" s="25"/>
      <c r="L78" s="26"/>
      <c r="M78" s="38" t="s">
        <v>111</v>
      </c>
      <c r="N78" s="39"/>
      <c r="O78" s="40"/>
      <c r="P78" s="4"/>
      <c r="Q78" s="4"/>
      <c r="R78" s="4"/>
      <c r="S78" s="4"/>
      <c r="T78" s="24" t="s">
        <v>254</v>
      </c>
      <c r="U78" s="25"/>
      <c r="V78" s="26"/>
      <c r="W78" s="38" t="s">
        <v>111</v>
      </c>
      <c r="X78" s="39"/>
      <c r="Y78" s="40"/>
      <c r="Z78" s="4"/>
      <c r="AA78" s="4"/>
      <c r="AB78" s="4"/>
      <c r="AC78" s="4"/>
      <c r="AD78" s="24" t="s">
        <v>19</v>
      </c>
      <c r="AE78" s="25"/>
      <c r="AF78" s="26"/>
      <c r="AG78" s="38">
        <v>445</v>
      </c>
      <c r="AH78" s="102"/>
      <c r="AI78" s="103"/>
      <c r="AJ78" s="4"/>
      <c r="AK78" s="4"/>
      <c r="AL78" s="4"/>
      <c r="AM78" s="4"/>
      <c r="AN78" s="24" t="s">
        <v>19</v>
      </c>
      <c r="AO78" s="25"/>
      <c r="AP78" s="26"/>
      <c r="AQ78" s="38">
        <v>493</v>
      </c>
      <c r="AR78" s="102"/>
      <c r="AS78" s="103"/>
      <c r="AT78" s="4"/>
      <c r="AU78" s="4"/>
      <c r="AV78" s="4"/>
      <c r="AW78" s="4"/>
      <c r="AX78" s="24" t="s">
        <v>141</v>
      </c>
      <c r="AY78" s="25"/>
      <c r="AZ78" s="26"/>
      <c r="BA78" s="38" t="s">
        <v>111</v>
      </c>
      <c r="BB78" s="39"/>
      <c r="BC78" s="40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79" s="118"/>
      <c r="C79" s="1"/>
      <c r="D79" s="119"/>
      <c r="E79" s="120" t="s">
        <v>16</v>
      </c>
      <c r="F79" s="120" t="s">
        <v>17</v>
      </c>
      <c r="G79" s="13">
        <f>SUM(N80,X80,AH80,AR80,BB80,BL98,BL80)</f>
        <v>810</v>
      </c>
      <c r="H79" s="2"/>
      <c r="I79" s="2"/>
      <c r="J79" s="76" t="s">
        <v>140</v>
      </c>
      <c r="K79" s="77"/>
      <c r="L79" s="77"/>
      <c r="M79" s="77"/>
      <c r="N79" s="77"/>
      <c r="O79" s="78"/>
      <c r="P79" s="4"/>
      <c r="Q79" s="4"/>
      <c r="R79" s="4"/>
      <c r="S79" s="4"/>
      <c r="T79" s="76" t="s">
        <v>143</v>
      </c>
      <c r="U79" s="77"/>
      <c r="V79" s="77"/>
      <c r="W79" s="77"/>
      <c r="X79" s="77"/>
      <c r="Y79" s="78"/>
      <c r="Z79" s="4"/>
      <c r="AA79" s="4"/>
      <c r="AB79" s="4"/>
      <c r="AC79" s="4"/>
      <c r="AD79" s="94" t="s">
        <v>217</v>
      </c>
      <c r="AE79" s="95"/>
      <c r="AF79" s="95"/>
      <c r="AG79" s="95"/>
      <c r="AH79" s="96"/>
      <c r="AI79" s="97"/>
      <c r="AJ79" s="4"/>
      <c r="AK79" s="4"/>
      <c r="AL79" s="4"/>
      <c r="AM79" s="4"/>
      <c r="AN79" s="87" t="s">
        <v>63</v>
      </c>
      <c r="AO79" s="88"/>
      <c r="AP79" s="88"/>
      <c r="AQ79" s="88"/>
      <c r="AR79" s="88"/>
      <c r="AS79" s="89"/>
      <c r="AT79" s="4"/>
      <c r="AU79" s="4"/>
      <c r="AV79" s="4"/>
      <c r="AW79" s="4"/>
      <c r="AX79" s="114" t="s">
        <v>142</v>
      </c>
      <c r="AY79" s="115"/>
      <c r="AZ79" s="115"/>
      <c r="BA79" s="115"/>
      <c r="BB79" s="116"/>
      <c r="BC79" s="117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80" s="118"/>
      <c r="C80" s="1"/>
      <c r="D80" s="119"/>
      <c r="E80" s="120"/>
      <c r="F80" s="120"/>
      <c r="G80" s="105"/>
      <c r="H80" s="121"/>
      <c r="I80" s="122"/>
      <c r="J80" s="79">
        <v>3</v>
      </c>
      <c r="K80" s="80"/>
      <c r="L80" s="81">
        <v>5</v>
      </c>
      <c r="M80" s="80"/>
      <c r="N80" s="81">
        <v>180</v>
      </c>
      <c r="O80" s="82"/>
      <c r="P80" s="4"/>
      <c r="Q80" s="4"/>
      <c r="R80" s="4"/>
      <c r="S80" s="4"/>
      <c r="T80" s="79">
        <v>3</v>
      </c>
      <c r="U80" s="80"/>
      <c r="V80" s="81">
        <v>5</v>
      </c>
      <c r="W80" s="80"/>
      <c r="X80" s="81">
        <v>180</v>
      </c>
      <c r="Y80" s="82"/>
      <c r="Z80" s="4"/>
      <c r="AA80" s="4"/>
      <c r="AB80" s="4"/>
      <c r="AC80" s="4"/>
      <c r="AD80" s="98">
        <v>3</v>
      </c>
      <c r="AE80" s="99"/>
      <c r="AF80" s="100">
        <v>5</v>
      </c>
      <c r="AG80" s="99"/>
      <c r="AH80" s="100">
        <v>180</v>
      </c>
      <c r="AI80" s="101"/>
      <c r="AJ80" s="4"/>
      <c r="AK80" s="4"/>
      <c r="AL80" s="4"/>
      <c r="AM80" s="4"/>
      <c r="AN80" s="45">
        <v>3</v>
      </c>
      <c r="AO80" s="46"/>
      <c r="AP80" s="47">
        <v>5</v>
      </c>
      <c r="AQ80" s="46"/>
      <c r="AR80" s="47">
        <v>180</v>
      </c>
      <c r="AS80" s="48"/>
      <c r="AT80" s="4"/>
      <c r="AU80" s="4"/>
      <c r="AV80" s="4"/>
      <c r="AW80" s="4"/>
      <c r="AX80" s="110">
        <v>2</v>
      </c>
      <c r="AY80" s="111"/>
      <c r="AZ80" s="108">
        <v>2</v>
      </c>
      <c r="BA80" s="111"/>
      <c r="BB80" s="108">
        <v>90</v>
      </c>
      <c r="BC80" s="109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2:135" ht="15" thickBot="1" x14ac:dyDescent="0.35">
      <c r="B81" s="118"/>
      <c r="C81" s="1"/>
      <c r="D81" s="119"/>
      <c r="E81" s="11">
        <f>SUM(J80,T80,AD80,AN80,AX80,BH80)</f>
        <v>14</v>
      </c>
      <c r="F81" s="11">
        <f>SUM(J81:BM81)</f>
        <v>22</v>
      </c>
      <c r="G81" s="105"/>
      <c r="H81" s="2"/>
      <c r="I81" s="2"/>
      <c r="J81" s="83">
        <v>2</v>
      </c>
      <c r="K81" s="84"/>
      <c r="L81" s="85">
        <v>1</v>
      </c>
      <c r="M81" s="84"/>
      <c r="N81" s="85">
        <v>2</v>
      </c>
      <c r="O81" s="86"/>
      <c r="P81" s="4"/>
      <c r="Q81" s="4"/>
      <c r="R81" s="4"/>
      <c r="S81" s="4"/>
      <c r="T81" s="83">
        <v>2</v>
      </c>
      <c r="U81" s="84"/>
      <c r="V81" s="85">
        <v>1</v>
      </c>
      <c r="W81" s="84"/>
      <c r="X81" s="85">
        <v>2</v>
      </c>
      <c r="Y81" s="86"/>
      <c r="Z81" s="4"/>
      <c r="AA81" s="4"/>
      <c r="AB81" s="4"/>
      <c r="AC81" s="4"/>
      <c r="AD81" s="72">
        <v>2</v>
      </c>
      <c r="AE81" s="73"/>
      <c r="AF81" s="68">
        <v>1</v>
      </c>
      <c r="AG81" s="73"/>
      <c r="AH81" s="68">
        <v>2</v>
      </c>
      <c r="AI81" s="69"/>
      <c r="AJ81" s="4"/>
      <c r="AK81" s="4"/>
      <c r="AL81" s="4"/>
      <c r="AM81" s="4"/>
      <c r="AN81" s="49">
        <v>2</v>
      </c>
      <c r="AO81" s="50"/>
      <c r="AP81" s="51">
        <v>0</v>
      </c>
      <c r="AQ81" s="50"/>
      <c r="AR81" s="51">
        <v>3</v>
      </c>
      <c r="AS81" s="52"/>
      <c r="AT81" s="4"/>
      <c r="AU81" s="4"/>
      <c r="AV81" s="4"/>
      <c r="AW81" s="4"/>
      <c r="AX81" s="112">
        <v>2</v>
      </c>
      <c r="AY81" s="113"/>
      <c r="AZ81" s="106">
        <v>0</v>
      </c>
      <c r="BA81" s="113"/>
      <c r="BB81" s="106">
        <v>0</v>
      </c>
      <c r="BC81" s="107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2:135" ht="10.050000000000001" customHeight="1" x14ac:dyDescent="0.3">
      <c r="B82" s="118"/>
      <c r="C82" s="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2:135" ht="10.050000000000001" customHeight="1" x14ac:dyDescent="0.3">
      <c r="B83" s="118"/>
      <c r="C83" s="3"/>
    </row>
    <row r="84" spans="2:135" ht="10.050000000000001" customHeight="1" x14ac:dyDescent="0.3">
      <c r="B84" s="118"/>
      <c r="C84" s="3"/>
    </row>
    <row r="85" spans="2:135" ht="10.050000000000001" customHeight="1" thickBot="1" x14ac:dyDescent="0.35">
      <c r="B85" s="118"/>
      <c r="C85" s="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2:135" ht="15" customHeight="1" x14ac:dyDescent="0.3">
      <c r="B86" s="118"/>
      <c r="C86" s="1"/>
      <c r="D86" s="119" t="s">
        <v>6</v>
      </c>
      <c r="E86" s="11"/>
      <c r="F86" s="11"/>
      <c r="G86" s="2"/>
      <c r="H86" s="2"/>
      <c r="I86" s="2"/>
      <c r="J86" s="24" t="s">
        <v>255</v>
      </c>
      <c r="K86" s="25"/>
      <c r="L86" s="26"/>
      <c r="M86" s="38" t="s">
        <v>111</v>
      </c>
      <c r="N86" s="39"/>
      <c r="O86" s="40"/>
      <c r="P86" s="4"/>
      <c r="Q86" s="4"/>
      <c r="R86" s="4"/>
      <c r="S86" s="4"/>
      <c r="T86" s="24" t="s">
        <v>256</v>
      </c>
      <c r="U86" s="25"/>
      <c r="V86" s="26"/>
      <c r="W86" s="38" t="s">
        <v>112</v>
      </c>
      <c r="X86" s="39"/>
      <c r="Y86" s="40"/>
      <c r="Z86" s="4"/>
      <c r="AA86" s="4"/>
      <c r="AB86" s="4"/>
      <c r="AC86" s="4"/>
      <c r="AD86" s="24" t="s">
        <v>19</v>
      </c>
      <c r="AE86" s="25"/>
      <c r="AF86" s="26"/>
      <c r="AG86" s="38">
        <v>447</v>
      </c>
      <c r="AH86" s="102"/>
      <c r="AI86" s="103"/>
      <c r="AJ86" s="4"/>
      <c r="AK86" s="4"/>
      <c r="AL86" s="4"/>
      <c r="AM86" s="4"/>
      <c r="AN86" s="24" t="s">
        <v>19</v>
      </c>
      <c r="AO86" s="25"/>
      <c r="AP86" s="26"/>
      <c r="AQ86" s="38">
        <v>494</v>
      </c>
      <c r="AR86" s="39"/>
      <c r="AS86" s="40"/>
      <c r="AT86" s="4"/>
      <c r="AU86" s="4"/>
      <c r="AV86" s="4"/>
      <c r="AW86" s="4"/>
      <c r="AX86" s="24" t="s">
        <v>144</v>
      </c>
      <c r="AY86" s="25"/>
      <c r="AZ86" s="26"/>
      <c r="BA86" s="38" t="s">
        <v>111</v>
      </c>
      <c r="BB86" s="39"/>
      <c r="BC86" s="40"/>
      <c r="BD86" s="4"/>
      <c r="BE86" s="4"/>
      <c r="BF86" s="4"/>
      <c r="BG86" s="4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2:135" ht="48.75" customHeight="1" x14ac:dyDescent="0.3">
      <c r="B87" s="118"/>
      <c r="C87" s="1"/>
      <c r="D87" s="119"/>
      <c r="E87" s="120" t="s">
        <v>16</v>
      </c>
      <c r="F87" s="120" t="s">
        <v>17</v>
      </c>
      <c r="G87" s="13">
        <f>SUM(N88,X88,AH88,AR88,BB88,BL106)</f>
        <v>810</v>
      </c>
      <c r="H87" s="2"/>
      <c r="I87" s="2"/>
      <c r="J87" s="76" t="s">
        <v>145</v>
      </c>
      <c r="K87" s="77"/>
      <c r="L87" s="77"/>
      <c r="M87" s="77"/>
      <c r="N87" s="77"/>
      <c r="O87" s="78"/>
      <c r="P87" s="4"/>
      <c r="Q87" s="4"/>
      <c r="R87" s="4"/>
      <c r="S87" s="4"/>
      <c r="T87" s="76" t="s">
        <v>146</v>
      </c>
      <c r="U87" s="77"/>
      <c r="V87" s="77"/>
      <c r="W87" s="77"/>
      <c r="X87" s="77"/>
      <c r="Y87" s="78"/>
      <c r="Z87" s="4"/>
      <c r="AA87" s="4"/>
      <c r="AB87" s="4"/>
      <c r="AC87" s="4"/>
      <c r="AD87" s="94" t="s">
        <v>218</v>
      </c>
      <c r="AE87" s="95"/>
      <c r="AF87" s="95"/>
      <c r="AG87" s="95"/>
      <c r="AH87" s="96"/>
      <c r="AI87" s="97"/>
      <c r="AJ87" s="4"/>
      <c r="AK87" s="4"/>
      <c r="AL87" s="4"/>
      <c r="AM87" s="4"/>
      <c r="AN87" s="87" t="s">
        <v>64</v>
      </c>
      <c r="AO87" s="88"/>
      <c r="AP87" s="88"/>
      <c r="AQ87" s="88"/>
      <c r="AR87" s="88"/>
      <c r="AS87" s="89"/>
      <c r="AT87" s="4"/>
      <c r="AU87" s="4"/>
      <c r="AV87" s="4"/>
      <c r="AW87" s="4"/>
      <c r="AX87" s="114" t="s">
        <v>106</v>
      </c>
      <c r="AY87" s="115"/>
      <c r="AZ87" s="115"/>
      <c r="BA87" s="115"/>
      <c r="BB87" s="116"/>
      <c r="BC87" s="117"/>
      <c r="BD87" s="4"/>
      <c r="BE87" s="4"/>
      <c r="BF87" s="4"/>
      <c r="BG87" s="4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2:135" x14ac:dyDescent="0.3">
      <c r="B88" s="118"/>
      <c r="C88" s="1"/>
      <c r="D88" s="119"/>
      <c r="E88" s="120"/>
      <c r="F88" s="120"/>
      <c r="G88" s="105"/>
      <c r="H88" s="121"/>
      <c r="I88" s="122"/>
      <c r="J88" s="79">
        <v>3</v>
      </c>
      <c r="K88" s="80"/>
      <c r="L88" s="81">
        <v>5</v>
      </c>
      <c r="M88" s="80"/>
      <c r="N88" s="81">
        <v>180</v>
      </c>
      <c r="O88" s="82"/>
      <c r="P88" s="4"/>
      <c r="Q88" s="4"/>
      <c r="R88" s="4"/>
      <c r="S88" s="4"/>
      <c r="T88" s="79">
        <v>3</v>
      </c>
      <c r="U88" s="80"/>
      <c r="V88" s="81">
        <v>5</v>
      </c>
      <c r="W88" s="80"/>
      <c r="X88" s="81">
        <v>180</v>
      </c>
      <c r="Y88" s="82"/>
      <c r="Z88" s="4"/>
      <c r="AA88" s="4"/>
      <c r="AB88" s="4"/>
      <c r="AC88" s="4"/>
      <c r="AD88" s="98">
        <v>3</v>
      </c>
      <c r="AE88" s="99"/>
      <c r="AF88" s="100">
        <v>5</v>
      </c>
      <c r="AG88" s="99"/>
      <c r="AH88" s="100">
        <v>180</v>
      </c>
      <c r="AI88" s="101"/>
      <c r="AJ88" s="4"/>
      <c r="AK88" s="4"/>
      <c r="AL88" s="4"/>
      <c r="AM88" s="4"/>
      <c r="AN88" s="45">
        <v>3</v>
      </c>
      <c r="AO88" s="46"/>
      <c r="AP88" s="47">
        <v>5</v>
      </c>
      <c r="AQ88" s="46"/>
      <c r="AR88" s="47">
        <v>180</v>
      </c>
      <c r="AS88" s="48"/>
      <c r="AT88" s="4"/>
      <c r="AU88" s="4"/>
      <c r="AV88" s="4"/>
      <c r="AW88" s="4"/>
      <c r="AX88" s="110">
        <v>2</v>
      </c>
      <c r="AY88" s="111"/>
      <c r="AZ88" s="108">
        <v>2</v>
      </c>
      <c r="BA88" s="111"/>
      <c r="BB88" s="108">
        <v>90</v>
      </c>
      <c r="BC88" s="109"/>
      <c r="BD88" s="4"/>
      <c r="BE88" s="4"/>
      <c r="BF88" s="4"/>
      <c r="BG88" s="4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2:135" ht="15" thickBot="1" x14ac:dyDescent="0.35">
      <c r="B89" s="118"/>
      <c r="C89" s="1"/>
      <c r="D89" s="119"/>
      <c r="E89" s="11">
        <f>SUM(J88,T88,AD88,AN88,AX88)</f>
        <v>14</v>
      </c>
      <c r="F89" s="11">
        <f>SUM(J89:BC89)</f>
        <v>22</v>
      </c>
      <c r="G89" s="105"/>
      <c r="H89" s="2"/>
      <c r="I89" s="2"/>
      <c r="J89" s="83">
        <v>2</v>
      </c>
      <c r="K89" s="84"/>
      <c r="L89" s="85">
        <v>1</v>
      </c>
      <c r="M89" s="84"/>
      <c r="N89" s="85">
        <v>2</v>
      </c>
      <c r="O89" s="86"/>
      <c r="P89" s="4"/>
      <c r="Q89" s="4"/>
      <c r="R89" s="4"/>
      <c r="S89" s="4"/>
      <c r="T89" s="83">
        <v>2</v>
      </c>
      <c r="U89" s="84"/>
      <c r="V89" s="85">
        <v>1</v>
      </c>
      <c r="W89" s="84"/>
      <c r="X89" s="85">
        <v>2</v>
      </c>
      <c r="Y89" s="86"/>
      <c r="Z89" s="4"/>
      <c r="AA89" s="4"/>
      <c r="AB89" s="4"/>
      <c r="AC89" s="4"/>
      <c r="AD89" s="72">
        <v>2</v>
      </c>
      <c r="AE89" s="73"/>
      <c r="AF89" s="68">
        <v>1</v>
      </c>
      <c r="AG89" s="73"/>
      <c r="AH89" s="68">
        <v>2</v>
      </c>
      <c r="AI89" s="69"/>
      <c r="AJ89" s="4"/>
      <c r="AK89" s="4"/>
      <c r="AL89" s="4"/>
      <c r="AM89" s="4"/>
      <c r="AN89" s="49">
        <v>2</v>
      </c>
      <c r="AO89" s="50"/>
      <c r="AP89" s="51">
        <v>0</v>
      </c>
      <c r="AQ89" s="50"/>
      <c r="AR89" s="51">
        <v>3</v>
      </c>
      <c r="AS89" s="52"/>
      <c r="AT89" s="4"/>
      <c r="AU89" s="4"/>
      <c r="AV89" s="4"/>
      <c r="AW89" s="4"/>
      <c r="AX89" s="112">
        <v>2</v>
      </c>
      <c r="AY89" s="113"/>
      <c r="AZ89" s="106">
        <v>0</v>
      </c>
      <c r="BA89" s="113"/>
      <c r="BB89" s="106">
        <v>0</v>
      </c>
      <c r="BC89" s="107"/>
      <c r="BD89" s="4"/>
      <c r="BE89" s="4"/>
      <c r="BF89" s="4"/>
      <c r="BG89" s="4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2:135" ht="10.050000000000001" customHeight="1" x14ac:dyDescent="0.3">
      <c r="B90" s="118"/>
      <c r="C90" s="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2:135" ht="10.050000000000001" customHeight="1" x14ac:dyDescent="0.3"/>
    <row r="92" spans="2:135" ht="10.050000000000001" customHeight="1" x14ac:dyDescent="0.3"/>
    <row r="93" spans="2:135" ht="10.050000000000001" customHeight="1" x14ac:dyDescent="0.3"/>
    <row r="94" spans="2:135" ht="15" thickBot="1" x14ac:dyDescent="0.35"/>
    <row r="95" spans="2:135" ht="15.6" customHeight="1" thickTop="1" thickBot="1" x14ac:dyDescent="0.35">
      <c r="BI95" s="63" t="s">
        <v>15</v>
      </c>
      <c r="BJ95" s="150" t="s">
        <v>65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6"/>
    </row>
    <row r="96" spans="2:135" ht="14.55" customHeight="1" x14ac:dyDescent="0.3">
      <c r="BI96" s="64"/>
      <c r="BJ96" s="137"/>
      <c r="BK96" s="17"/>
      <c r="BL96" s="16"/>
      <c r="BR96" s="123" t="s">
        <v>7</v>
      </c>
      <c r="BS96" s="124"/>
      <c r="BT96" s="124"/>
      <c r="BU96" s="124"/>
      <c r="BV96" s="125"/>
      <c r="BW96" s="126"/>
      <c r="CA96" s="8"/>
    </row>
    <row r="97" spans="61:79" ht="14.55" customHeight="1" x14ac:dyDescent="0.3">
      <c r="BI97" s="64"/>
      <c r="BJ97" s="137"/>
      <c r="BK97" s="17"/>
      <c r="BL97" s="16"/>
      <c r="BR97" s="127" t="s">
        <v>8</v>
      </c>
      <c r="BS97" s="128"/>
      <c r="BT97" s="128"/>
      <c r="BU97" s="128"/>
      <c r="BV97" s="129"/>
      <c r="BW97" s="130"/>
      <c r="CA97" s="8"/>
    </row>
    <row r="98" spans="61:79" x14ac:dyDescent="0.3">
      <c r="BI98" s="64"/>
      <c r="BJ98" s="137"/>
      <c r="BK98" s="17"/>
      <c r="BL98" s="16"/>
      <c r="BR98" s="66" t="s">
        <v>9</v>
      </c>
      <c r="BS98" s="67"/>
      <c r="BT98" s="131" t="s">
        <v>18</v>
      </c>
      <c r="BU98" s="67"/>
      <c r="BV98" s="131" t="s">
        <v>10</v>
      </c>
      <c r="BW98" s="132"/>
      <c r="CA98" s="8"/>
    </row>
    <row r="99" spans="61:79" ht="15" thickBot="1" x14ac:dyDescent="0.35">
      <c r="BI99" s="64"/>
      <c r="BJ99" s="137"/>
      <c r="BK99" s="17"/>
      <c r="BL99" s="16"/>
      <c r="BR99" s="133" t="s">
        <v>11</v>
      </c>
      <c r="BS99" s="134"/>
      <c r="BT99" s="135" t="s">
        <v>12</v>
      </c>
      <c r="BU99" s="134"/>
      <c r="BV99" s="135" t="s">
        <v>13</v>
      </c>
      <c r="BW99" s="136"/>
      <c r="CA99" s="8"/>
    </row>
    <row r="100" spans="61:79" ht="48.75" customHeight="1" x14ac:dyDescent="0.3">
      <c r="BI100" s="64"/>
      <c r="BJ100" s="90" t="s">
        <v>31</v>
      </c>
      <c r="BL100" s="74" t="s">
        <v>22</v>
      </c>
      <c r="BN100" s="62" t="s">
        <v>14</v>
      </c>
      <c r="BO100" s="62"/>
      <c r="BP100" s="62"/>
      <c r="BQ100" s="62"/>
      <c r="BS100" s="151" t="s">
        <v>46</v>
      </c>
      <c r="BU100" s="152" t="s">
        <v>30</v>
      </c>
      <c r="BW100" s="153" t="s">
        <v>62</v>
      </c>
      <c r="CA100" s="8"/>
    </row>
    <row r="101" spans="61:79" x14ac:dyDescent="0.3">
      <c r="BI101" s="64"/>
      <c r="BJ101" s="90"/>
      <c r="BL101" s="74"/>
      <c r="BN101" s="62"/>
      <c r="BO101" s="62"/>
      <c r="BP101" s="62"/>
      <c r="BQ101" s="62"/>
      <c r="BS101" s="60"/>
      <c r="BU101" s="75"/>
      <c r="BW101" s="61"/>
      <c r="CA101" s="8"/>
    </row>
    <row r="102" spans="61:79" ht="14.55" customHeight="1" x14ac:dyDescent="0.3">
      <c r="BI102" s="64"/>
      <c r="BJ102" s="90"/>
      <c r="BL102" s="74"/>
      <c r="BN102" s="62"/>
      <c r="BO102" s="62"/>
      <c r="BP102" s="62"/>
      <c r="BQ102" s="62"/>
      <c r="BS102" s="60"/>
      <c r="BU102" s="75"/>
      <c r="BW102" s="61"/>
      <c r="CA102" s="8"/>
    </row>
    <row r="103" spans="61:79" ht="14.55" customHeight="1" x14ac:dyDescent="0.3">
      <c r="BI103" s="64"/>
      <c r="BJ103" s="90"/>
      <c r="BL103" s="74"/>
      <c r="BN103" s="62"/>
      <c r="BO103" s="62"/>
      <c r="BP103" s="62"/>
      <c r="BQ103" s="62"/>
      <c r="BS103" s="60"/>
      <c r="BU103" s="75"/>
      <c r="BW103" s="61"/>
      <c r="CA103" s="8"/>
    </row>
    <row r="104" spans="61:79" ht="14.55" customHeight="1" x14ac:dyDescent="0.3">
      <c r="BI104" s="64"/>
      <c r="BJ104" s="90"/>
      <c r="BK104" s="7"/>
      <c r="BL104" s="74"/>
      <c r="BM104" s="7"/>
      <c r="BN104" s="62"/>
      <c r="BO104" s="62"/>
      <c r="BP104" s="62"/>
      <c r="BQ104" s="62"/>
      <c r="BR104" s="7"/>
      <c r="BS104" s="60"/>
      <c r="BT104" s="7"/>
      <c r="BU104" s="75"/>
      <c r="BV104" s="7"/>
      <c r="BW104" s="61"/>
      <c r="CA104" s="8"/>
    </row>
    <row r="105" spans="61:79" x14ac:dyDescent="0.3">
      <c r="BI105" s="64"/>
      <c r="BJ105" s="90"/>
      <c r="BK105" s="7"/>
      <c r="BL105" s="74"/>
      <c r="BM105" s="7"/>
      <c r="BN105" s="62"/>
      <c r="BO105" s="62"/>
      <c r="BP105" s="62"/>
      <c r="BQ105" s="62"/>
      <c r="BR105" s="7"/>
      <c r="BS105" s="60"/>
      <c r="BT105" s="7"/>
      <c r="BU105" s="75"/>
      <c r="BV105" s="7"/>
      <c r="BW105" s="61"/>
      <c r="CA105" s="8"/>
    </row>
    <row r="106" spans="61:79" x14ac:dyDescent="0.3">
      <c r="BI106" s="64"/>
      <c r="BJ106" s="90"/>
      <c r="BK106" s="7"/>
      <c r="BL106" s="74"/>
      <c r="BM106" s="7"/>
      <c r="BN106" s="62"/>
      <c r="BO106" s="62"/>
      <c r="BP106" s="62"/>
      <c r="BQ106" s="62"/>
      <c r="BR106" s="7"/>
      <c r="BS106" s="60"/>
      <c r="BT106" s="7"/>
      <c r="BU106" s="75"/>
      <c r="BV106" s="7"/>
      <c r="BW106" s="61"/>
      <c r="CA106" s="8"/>
    </row>
    <row r="107" spans="61:79" x14ac:dyDescent="0.3">
      <c r="BI107" s="64"/>
      <c r="BJ107" s="90"/>
      <c r="BK107" s="7"/>
      <c r="BL107" s="74"/>
      <c r="BM107" s="7"/>
      <c r="BN107" s="62"/>
      <c r="BO107" s="62"/>
      <c r="BP107" s="62"/>
      <c r="BQ107" s="62"/>
      <c r="BR107" s="7"/>
      <c r="BS107" s="60"/>
      <c r="BT107" s="7"/>
      <c r="BU107" s="75"/>
      <c r="BV107" s="7"/>
      <c r="BW107" s="61"/>
      <c r="CA107" s="8"/>
    </row>
    <row r="108" spans="61:79" ht="15" thickBot="1" x14ac:dyDescent="0.35">
      <c r="BI108" s="65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10"/>
    </row>
    <row r="109" spans="61:79" ht="15" thickTop="1" x14ac:dyDescent="0.3"/>
  </sheetData>
  <mergeCells count="736">
    <mergeCell ref="DT89:DU89"/>
    <mergeCell ref="DZ89:EA89"/>
    <mergeCell ref="EB89:EC89"/>
    <mergeCell ref="ED89:EE89"/>
    <mergeCell ref="BI95:BI108"/>
    <mergeCell ref="BR96:BW96"/>
    <mergeCell ref="BR97:BW97"/>
    <mergeCell ref="BR98:BS98"/>
    <mergeCell ref="BT98:BU98"/>
    <mergeCell ref="BV98:BW98"/>
    <mergeCell ref="BR99:BS99"/>
    <mergeCell ref="BT99:BU99"/>
    <mergeCell ref="BV99:BW99"/>
    <mergeCell ref="BJ95:BJ99"/>
    <mergeCell ref="BJ100:BJ107"/>
    <mergeCell ref="BL100:BL107"/>
    <mergeCell ref="BN100:BQ107"/>
    <mergeCell ref="BS100:BS107"/>
    <mergeCell ref="BU100:BU107"/>
    <mergeCell ref="BW100:BW107"/>
    <mergeCell ref="AR89:AS89"/>
    <mergeCell ref="AX89:AY89"/>
    <mergeCell ref="AZ89:BA89"/>
    <mergeCell ref="BB89:BC89"/>
    <mergeCell ref="DP89:DQ89"/>
    <mergeCell ref="DR89:DS89"/>
    <mergeCell ref="X89:Y89"/>
    <mergeCell ref="AD89:AE89"/>
    <mergeCell ref="AF89:AG89"/>
    <mergeCell ref="AH89:AI89"/>
    <mergeCell ref="AN89:AO89"/>
    <mergeCell ref="AP89:AQ89"/>
    <mergeCell ref="AP88:AQ88"/>
    <mergeCell ref="AR88:AS88"/>
    <mergeCell ref="AX88:AY88"/>
    <mergeCell ref="AZ88:BA88"/>
    <mergeCell ref="BB88:BC88"/>
    <mergeCell ref="DP88:DQ88"/>
    <mergeCell ref="V88:W88"/>
    <mergeCell ref="X88:Y88"/>
    <mergeCell ref="AD88:AE88"/>
    <mergeCell ref="AF88:AG88"/>
    <mergeCell ref="AH88:AI88"/>
    <mergeCell ref="AN88:AO88"/>
    <mergeCell ref="G88:G89"/>
    <mergeCell ref="H88:I88"/>
    <mergeCell ref="J88:K88"/>
    <mergeCell ref="DZ86:EE86"/>
    <mergeCell ref="E87:E88"/>
    <mergeCell ref="F87:F88"/>
    <mergeCell ref="J87:O87"/>
    <mergeCell ref="T87:Y87"/>
    <mergeCell ref="AD87:AI87"/>
    <mergeCell ref="AN87:AS87"/>
    <mergeCell ref="AX87:BC87"/>
    <mergeCell ref="DP87:DU87"/>
    <mergeCell ref="DZ87:EE87"/>
    <mergeCell ref="AG86:AI86"/>
    <mergeCell ref="AN86:AP86"/>
    <mergeCell ref="AQ86:AS86"/>
    <mergeCell ref="AX86:AZ86"/>
    <mergeCell ref="BA86:BC86"/>
    <mergeCell ref="DP86:DU86"/>
    <mergeCell ref="DR88:DS88"/>
    <mergeCell ref="DT88:DU88"/>
    <mergeCell ref="DZ88:EA88"/>
    <mergeCell ref="EB88:EC88"/>
    <mergeCell ref="ED88:EE88"/>
    <mergeCell ref="M86:O86"/>
    <mergeCell ref="T86:V86"/>
    <mergeCell ref="W86:Y86"/>
    <mergeCell ref="AD86:AF86"/>
    <mergeCell ref="BB81:BC81"/>
    <mergeCell ref="DP81:DQ81"/>
    <mergeCell ref="DR81:DS81"/>
    <mergeCell ref="AH81:AI81"/>
    <mergeCell ref="AN81:AO81"/>
    <mergeCell ref="AP81:AQ81"/>
    <mergeCell ref="AR81:AS81"/>
    <mergeCell ref="AX81:AY81"/>
    <mergeCell ref="AZ81:BA81"/>
    <mergeCell ref="N81:O81"/>
    <mergeCell ref="T81:U81"/>
    <mergeCell ref="DP80:DQ80"/>
    <mergeCell ref="DR80:DS80"/>
    <mergeCell ref="DT80:DU80"/>
    <mergeCell ref="DZ80:EA80"/>
    <mergeCell ref="EB80:EC80"/>
    <mergeCell ref="DT81:DU81"/>
    <mergeCell ref="DZ81:EA81"/>
    <mergeCell ref="EB81:EC81"/>
    <mergeCell ref="ED81:EE81"/>
    <mergeCell ref="BB80:BC80"/>
    <mergeCell ref="AD80:AE80"/>
    <mergeCell ref="AF80:AG80"/>
    <mergeCell ref="AH80:AI80"/>
    <mergeCell ref="AN80:AO80"/>
    <mergeCell ref="AP80:AQ80"/>
    <mergeCell ref="AR80:AS80"/>
    <mergeCell ref="AD81:AE81"/>
    <mergeCell ref="AF81:AG81"/>
    <mergeCell ref="DP78:DU78"/>
    <mergeCell ref="DZ78:EE78"/>
    <mergeCell ref="E79:E80"/>
    <mergeCell ref="F79:F80"/>
    <mergeCell ref="J79:O79"/>
    <mergeCell ref="T79:Y79"/>
    <mergeCell ref="AD79:AI79"/>
    <mergeCell ref="AN79:AS79"/>
    <mergeCell ref="AD78:AF78"/>
    <mergeCell ref="AG78:AI78"/>
    <mergeCell ref="AN78:AP78"/>
    <mergeCell ref="AQ78:AS78"/>
    <mergeCell ref="AX78:AZ78"/>
    <mergeCell ref="BA78:BC78"/>
    <mergeCell ref="AX79:BC79"/>
    <mergeCell ref="DP79:DU79"/>
    <mergeCell ref="DZ79:EE79"/>
    <mergeCell ref="G80:G81"/>
    <mergeCell ref="H80:I80"/>
    <mergeCell ref="J80:K80"/>
    <mergeCell ref="L80:M80"/>
    <mergeCell ref="ED80:EE80"/>
    <mergeCell ref="AX80:AY80"/>
    <mergeCell ref="AZ80:BA80"/>
    <mergeCell ref="B77:B90"/>
    <mergeCell ref="D78:D81"/>
    <mergeCell ref="J78:L78"/>
    <mergeCell ref="M78:O78"/>
    <mergeCell ref="T78:V78"/>
    <mergeCell ref="W78:Y78"/>
    <mergeCell ref="V80:W80"/>
    <mergeCell ref="X80:Y80"/>
    <mergeCell ref="J81:K81"/>
    <mergeCell ref="L81:M81"/>
    <mergeCell ref="N80:O80"/>
    <mergeCell ref="T80:U80"/>
    <mergeCell ref="V81:W81"/>
    <mergeCell ref="X81:Y81"/>
    <mergeCell ref="L88:M88"/>
    <mergeCell ref="N88:O88"/>
    <mergeCell ref="T88:U88"/>
    <mergeCell ref="J89:K89"/>
    <mergeCell ref="L89:M89"/>
    <mergeCell ref="N89:O89"/>
    <mergeCell ref="T89:U89"/>
    <mergeCell ref="V89:W89"/>
    <mergeCell ref="D86:D89"/>
    <mergeCell ref="J86:L86"/>
    <mergeCell ref="DP71:DQ71"/>
    <mergeCell ref="DR71:DS71"/>
    <mergeCell ref="DT71:DU71"/>
    <mergeCell ref="DZ71:EA71"/>
    <mergeCell ref="EB71:EC71"/>
    <mergeCell ref="ED71:EE71"/>
    <mergeCell ref="AX71:AY71"/>
    <mergeCell ref="AZ71:BA71"/>
    <mergeCell ref="BB71:BC71"/>
    <mergeCell ref="BH71:BI71"/>
    <mergeCell ref="BJ71:BK71"/>
    <mergeCell ref="BL71:BM71"/>
    <mergeCell ref="AF71:AG71"/>
    <mergeCell ref="AH71:AI71"/>
    <mergeCell ref="AN71:AO71"/>
    <mergeCell ref="AP71:AQ71"/>
    <mergeCell ref="AR71:AS71"/>
    <mergeCell ref="J71:K71"/>
    <mergeCell ref="L71:M71"/>
    <mergeCell ref="N71:O71"/>
    <mergeCell ref="T71:U71"/>
    <mergeCell ref="V71:W71"/>
    <mergeCell ref="X71:Y71"/>
    <mergeCell ref="DP70:DQ70"/>
    <mergeCell ref="DR70:DS70"/>
    <mergeCell ref="DT70:DU70"/>
    <mergeCell ref="DZ70:EA70"/>
    <mergeCell ref="EB70:EC70"/>
    <mergeCell ref="ED70:EE70"/>
    <mergeCell ref="AX70:AY70"/>
    <mergeCell ref="AZ70:BA70"/>
    <mergeCell ref="BB70:BC70"/>
    <mergeCell ref="BH70:BI70"/>
    <mergeCell ref="BJ70:BK70"/>
    <mergeCell ref="BL70:BM70"/>
    <mergeCell ref="DP68:DU68"/>
    <mergeCell ref="DZ68:EE68"/>
    <mergeCell ref="E69:E70"/>
    <mergeCell ref="F69:F70"/>
    <mergeCell ref="J69:O69"/>
    <mergeCell ref="T69:Y69"/>
    <mergeCell ref="AD69:AI69"/>
    <mergeCell ref="AN69:AS69"/>
    <mergeCell ref="AX69:BC69"/>
    <mergeCell ref="BH69:BM69"/>
    <mergeCell ref="AN68:AP68"/>
    <mergeCell ref="AQ68:AS68"/>
    <mergeCell ref="AX68:AZ68"/>
    <mergeCell ref="BA68:BC68"/>
    <mergeCell ref="BH68:BJ68"/>
    <mergeCell ref="BK68:BM68"/>
    <mergeCell ref="AD70:AE70"/>
    <mergeCell ref="AF70:AG70"/>
    <mergeCell ref="AH70:AI70"/>
    <mergeCell ref="AN70:AO70"/>
    <mergeCell ref="AP70:AQ70"/>
    <mergeCell ref="AR70:AS70"/>
    <mergeCell ref="DP69:DU69"/>
    <mergeCell ref="DZ69:EE69"/>
    <mergeCell ref="D68:D71"/>
    <mergeCell ref="J68:L68"/>
    <mergeCell ref="M68:O68"/>
    <mergeCell ref="T68:V68"/>
    <mergeCell ref="W68:Y68"/>
    <mergeCell ref="AD68:AF68"/>
    <mergeCell ref="AG68:AI68"/>
    <mergeCell ref="BH63:BI63"/>
    <mergeCell ref="BJ63:BK63"/>
    <mergeCell ref="AN63:AO63"/>
    <mergeCell ref="AP63:AQ63"/>
    <mergeCell ref="AR63:AS63"/>
    <mergeCell ref="AX63:AY63"/>
    <mergeCell ref="AZ63:BA63"/>
    <mergeCell ref="BB63:BC63"/>
    <mergeCell ref="G70:G71"/>
    <mergeCell ref="H70:I70"/>
    <mergeCell ref="J70:K70"/>
    <mergeCell ref="L70:M70"/>
    <mergeCell ref="N70:O70"/>
    <mergeCell ref="T70:U70"/>
    <mergeCell ref="V70:W70"/>
    <mergeCell ref="X70:Y70"/>
    <mergeCell ref="AD71:AE71"/>
    <mergeCell ref="AZ62:BA62"/>
    <mergeCell ref="BB62:BC62"/>
    <mergeCell ref="BH62:BI62"/>
    <mergeCell ref="BJ62:BK62"/>
    <mergeCell ref="X62:Y62"/>
    <mergeCell ref="AD62:AE62"/>
    <mergeCell ref="DZ63:EA63"/>
    <mergeCell ref="EB63:EC63"/>
    <mergeCell ref="ED63:EE63"/>
    <mergeCell ref="BL63:BM63"/>
    <mergeCell ref="DP63:DQ63"/>
    <mergeCell ref="DR63:DS63"/>
    <mergeCell ref="DT63:DU63"/>
    <mergeCell ref="H62:I62"/>
    <mergeCell ref="J62:K62"/>
    <mergeCell ref="L62:M62"/>
    <mergeCell ref="N62:O62"/>
    <mergeCell ref="T62:U62"/>
    <mergeCell ref="V62:W62"/>
    <mergeCell ref="ED62:EE62"/>
    <mergeCell ref="J63:K63"/>
    <mergeCell ref="L63:M63"/>
    <mergeCell ref="N63:O63"/>
    <mergeCell ref="T63:U63"/>
    <mergeCell ref="V63:W63"/>
    <mergeCell ref="X63:Y63"/>
    <mergeCell ref="AD63:AE63"/>
    <mergeCell ref="AF63:AG63"/>
    <mergeCell ref="AH63:AI63"/>
    <mergeCell ref="BL62:BM62"/>
    <mergeCell ref="DP62:DQ62"/>
    <mergeCell ref="DR62:DS62"/>
    <mergeCell ref="DT62:DU62"/>
    <mergeCell ref="DZ62:EA62"/>
    <mergeCell ref="EB62:EC62"/>
    <mergeCell ref="AR62:AS62"/>
    <mergeCell ref="AX62:AY62"/>
    <mergeCell ref="BK60:BM60"/>
    <mergeCell ref="DP60:DU60"/>
    <mergeCell ref="DZ60:EE60"/>
    <mergeCell ref="E61:E62"/>
    <mergeCell ref="F61:F62"/>
    <mergeCell ref="J61:O61"/>
    <mergeCell ref="T61:Y61"/>
    <mergeCell ref="AD61:AI61"/>
    <mergeCell ref="AN61:AS61"/>
    <mergeCell ref="AX61:BC61"/>
    <mergeCell ref="AG60:AI60"/>
    <mergeCell ref="AN60:AP60"/>
    <mergeCell ref="AQ60:AS60"/>
    <mergeCell ref="AX60:AZ60"/>
    <mergeCell ref="BA60:BC60"/>
    <mergeCell ref="BH60:BJ60"/>
    <mergeCell ref="AF62:AG62"/>
    <mergeCell ref="AH62:AI62"/>
    <mergeCell ref="AN62:AO62"/>
    <mergeCell ref="AP62:AQ62"/>
    <mergeCell ref="BH61:BM61"/>
    <mergeCell ref="DP61:DU61"/>
    <mergeCell ref="DZ61:EE61"/>
    <mergeCell ref="G62:G63"/>
    <mergeCell ref="DZ53:EA53"/>
    <mergeCell ref="EB53:EC53"/>
    <mergeCell ref="ED53:EE53"/>
    <mergeCell ref="B59:B72"/>
    <mergeCell ref="D60:D63"/>
    <mergeCell ref="J60:L60"/>
    <mergeCell ref="M60:O60"/>
    <mergeCell ref="T60:V60"/>
    <mergeCell ref="W60:Y60"/>
    <mergeCell ref="AD60:AF60"/>
    <mergeCell ref="AX53:AY53"/>
    <mergeCell ref="AZ53:BA53"/>
    <mergeCell ref="BB53:BC53"/>
    <mergeCell ref="DP53:DQ53"/>
    <mergeCell ref="DR53:DS53"/>
    <mergeCell ref="DT53:DU53"/>
    <mergeCell ref="AD53:AE53"/>
    <mergeCell ref="AF53:AG53"/>
    <mergeCell ref="AH53:AI53"/>
    <mergeCell ref="AN53:AO53"/>
    <mergeCell ref="AP53:AQ53"/>
    <mergeCell ref="AR53:AS53"/>
    <mergeCell ref="J53:K53"/>
    <mergeCell ref="L53:M53"/>
    <mergeCell ref="X53:Y53"/>
    <mergeCell ref="E51:E52"/>
    <mergeCell ref="F51:F52"/>
    <mergeCell ref="J51:O51"/>
    <mergeCell ref="T51:Y51"/>
    <mergeCell ref="ED52:EE52"/>
    <mergeCell ref="AN52:AO52"/>
    <mergeCell ref="AP52:AQ52"/>
    <mergeCell ref="AR52:AS52"/>
    <mergeCell ref="AX52:AY52"/>
    <mergeCell ref="AZ52:BA52"/>
    <mergeCell ref="BB52:BC52"/>
    <mergeCell ref="AX51:BC51"/>
    <mergeCell ref="DP51:DU51"/>
    <mergeCell ref="DZ51:EE51"/>
    <mergeCell ref="DP52:DQ52"/>
    <mergeCell ref="DR52:DS52"/>
    <mergeCell ref="DT52:DU52"/>
    <mergeCell ref="DZ52:EA52"/>
    <mergeCell ref="EB52:EC52"/>
    <mergeCell ref="X52:Y52"/>
    <mergeCell ref="AD52:AE52"/>
    <mergeCell ref="AF52:AG52"/>
    <mergeCell ref="AH52:AI52"/>
    <mergeCell ref="G52:G53"/>
    <mergeCell ref="H52:I52"/>
    <mergeCell ref="J52:K52"/>
    <mergeCell ref="L52:M52"/>
    <mergeCell ref="N52:O52"/>
    <mergeCell ref="T52:U52"/>
    <mergeCell ref="V52:W52"/>
    <mergeCell ref="N53:O53"/>
    <mergeCell ref="T53:U53"/>
    <mergeCell ref="V53:W53"/>
    <mergeCell ref="DZ50:EE50"/>
    <mergeCell ref="DZ45:EA45"/>
    <mergeCell ref="EB45:EC45"/>
    <mergeCell ref="ED45:EE45"/>
    <mergeCell ref="D50:D53"/>
    <mergeCell ref="J50:L50"/>
    <mergeCell ref="M50:O50"/>
    <mergeCell ref="T50:V50"/>
    <mergeCell ref="W50:Y50"/>
    <mergeCell ref="AD50:AF50"/>
    <mergeCell ref="AG50:AI50"/>
    <mergeCell ref="BH45:BI45"/>
    <mergeCell ref="BJ45:BK45"/>
    <mergeCell ref="BL45:BM45"/>
    <mergeCell ref="DP45:DQ45"/>
    <mergeCell ref="DR45:DS45"/>
    <mergeCell ref="DT45:DU45"/>
    <mergeCell ref="AN45:AO45"/>
    <mergeCell ref="AP45:AQ45"/>
    <mergeCell ref="AR45:AS45"/>
    <mergeCell ref="AX45:AY45"/>
    <mergeCell ref="AZ45:BA45"/>
    <mergeCell ref="AD51:AI51"/>
    <mergeCell ref="AN51:AS51"/>
    <mergeCell ref="AR44:AS44"/>
    <mergeCell ref="AX44:AY44"/>
    <mergeCell ref="AZ44:BA44"/>
    <mergeCell ref="BB44:BC44"/>
    <mergeCell ref="BH44:BI44"/>
    <mergeCell ref="BJ44:BK44"/>
    <mergeCell ref="X44:Y44"/>
    <mergeCell ref="BA50:BC50"/>
    <mergeCell ref="DP50:DU50"/>
    <mergeCell ref="AN50:AP50"/>
    <mergeCell ref="AQ50:AS50"/>
    <mergeCell ref="AX50:AZ50"/>
    <mergeCell ref="G44:G45"/>
    <mergeCell ref="H44:I44"/>
    <mergeCell ref="J44:K44"/>
    <mergeCell ref="L44:M44"/>
    <mergeCell ref="N44:O44"/>
    <mergeCell ref="T44:U44"/>
    <mergeCell ref="V44:W44"/>
    <mergeCell ref="BB45:BC45"/>
    <mergeCell ref="ED44:EE44"/>
    <mergeCell ref="J45:K45"/>
    <mergeCell ref="L45:M45"/>
    <mergeCell ref="N45:O45"/>
    <mergeCell ref="T45:U45"/>
    <mergeCell ref="V45:W45"/>
    <mergeCell ref="X45:Y45"/>
    <mergeCell ref="AD45:AE45"/>
    <mergeCell ref="AF45:AG45"/>
    <mergeCell ref="AH45:AI45"/>
    <mergeCell ref="BL44:BM44"/>
    <mergeCell ref="DP44:DQ44"/>
    <mergeCell ref="DR44:DS44"/>
    <mergeCell ref="DT44:DU44"/>
    <mergeCell ref="DZ44:EA44"/>
    <mergeCell ref="EB44:EC44"/>
    <mergeCell ref="BK42:BM42"/>
    <mergeCell ref="DP42:DU42"/>
    <mergeCell ref="DZ42:EE42"/>
    <mergeCell ref="E43:E44"/>
    <mergeCell ref="F43:F44"/>
    <mergeCell ref="J43:O43"/>
    <mergeCell ref="T43:Y43"/>
    <mergeCell ref="AD43:AI43"/>
    <mergeCell ref="AN43:AS43"/>
    <mergeCell ref="AX43:BC43"/>
    <mergeCell ref="AG42:AI42"/>
    <mergeCell ref="AN42:AP42"/>
    <mergeCell ref="AQ42:AS42"/>
    <mergeCell ref="AX42:AZ42"/>
    <mergeCell ref="BA42:BC42"/>
    <mergeCell ref="BH42:BJ42"/>
    <mergeCell ref="AD44:AE44"/>
    <mergeCell ref="AF44:AG44"/>
    <mergeCell ref="AH44:AI44"/>
    <mergeCell ref="AN44:AO44"/>
    <mergeCell ref="AP44:AQ44"/>
    <mergeCell ref="BH43:BM43"/>
    <mergeCell ref="DP43:DU43"/>
    <mergeCell ref="DZ43:EE43"/>
    <mergeCell ref="DZ35:EA35"/>
    <mergeCell ref="EB35:EC35"/>
    <mergeCell ref="ED35:EE35"/>
    <mergeCell ref="B41:B54"/>
    <mergeCell ref="D42:D45"/>
    <mergeCell ref="J42:L42"/>
    <mergeCell ref="M42:O42"/>
    <mergeCell ref="T42:V42"/>
    <mergeCell ref="W42:Y42"/>
    <mergeCell ref="AD42:AF42"/>
    <mergeCell ref="AX35:AY35"/>
    <mergeCell ref="AZ35:BA35"/>
    <mergeCell ref="BB35:BC35"/>
    <mergeCell ref="DP35:DQ35"/>
    <mergeCell ref="DR35:DS35"/>
    <mergeCell ref="DT35:DU35"/>
    <mergeCell ref="AD35:AE35"/>
    <mergeCell ref="AF35:AG35"/>
    <mergeCell ref="AH35:AI35"/>
    <mergeCell ref="AN35:AO35"/>
    <mergeCell ref="AP35:AQ35"/>
    <mergeCell ref="AR35:AS35"/>
    <mergeCell ref="J35:K35"/>
    <mergeCell ref="L35:M35"/>
    <mergeCell ref="X35:Y35"/>
    <mergeCell ref="E33:E34"/>
    <mergeCell ref="F33:F34"/>
    <mergeCell ref="J33:O33"/>
    <mergeCell ref="T33:Y33"/>
    <mergeCell ref="ED34:EE34"/>
    <mergeCell ref="AN34:AO34"/>
    <mergeCell ref="AP34:AQ34"/>
    <mergeCell ref="AR34:AS34"/>
    <mergeCell ref="AX34:AY34"/>
    <mergeCell ref="AZ34:BA34"/>
    <mergeCell ref="BB34:BC34"/>
    <mergeCell ref="AX33:BC33"/>
    <mergeCell ref="DP33:DU33"/>
    <mergeCell ref="DZ33:EE33"/>
    <mergeCell ref="DP34:DQ34"/>
    <mergeCell ref="DR34:DS34"/>
    <mergeCell ref="DT34:DU34"/>
    <mergeCell ref="DZ34:EA34"/>
    <mergeCell ref="EB34:EC34"/>
    <mergeCell ref="X34:Y34"/>
    <mergeCell ref="AD34:AE34"/>
    <mergeCell ref="AF34:AG34"/>
    <mergeCell ref="AH34:AI34"/>
    <mergeCell ref="G34:G35"/>
    <mergeCell ref="H34:I34"/>
    <mergeCell ref="J34:K34"/>
    <mergeCell ref="L34:M34"/>
    <mergeCell ref="N34:O34"/>
    <mergeCell ref="T34:U34"/>
    <mergeCell ref="V34:W34"/>
    <mergeCell ref="N35:O35"/>
    <mergeCell ref="T35:U35"/>
    <mergeCell ref="V35:W35"/>
    <mergeCell ref="DZ32:EE32"/>
    <mergeCell ref="DZ27:EA27"/>
    <mergeCell ref="EB27:EC27"/>
    <mergeCell ref="ED27:EE27"/>
    <mergeCell ref="D32:D35"/>
    <mergeCell ref="J32:L32"/>
    <mergeCell ref="M32:O32"/>
    <mergeCell ref="T32:V32"/>
    <mergeCell ref="W32:Y32"/>
    <mergeCell ref="AD32:AF32"/>
    <mergeCell ref="AG32:AI32"/>
    <mergeCell ref="BH27:BI27"/>
    <mergeCell ref="BJ27:BK27"/>
    <mergeCell ref="BL27:BM27"/>
    <mergeCell ref="DP27:DQ27"/>
    <mergeCell ref="DR27:DS27"/>
    <mergeCell ref="DT27:DU27"/>
    <mergeCell ref="AN27:AO27"/>
    <mergeCell ref="AP27:AQ27"/>
    <mergeCell ref="AR27:AS27"/>
    <mergeCell ref="AX27:AY27"/>
    <mergeCell ref="AZ27:BA27"/>
    <mergeCell ref="AD33:AI33"/>
    <mergeCell ref="AN33:AS33"/>
    <mergeCell ref="AX26:AY26"/>
    <mergeCell ref="AZ26:BA26"/>
    <mergeCell ref="BB26:BC26"/>
    <mergeCell ref="BH26:BI26"/>
    <mergeCell ref="BJ26:BK26"/>
    <mergeCell ref="X26:Y26"/>
    <mergeCell ref="BA32:BC32"/>
    <mergeCell ref="DP32:DU32"/>
    <mergeCell ref="AN32:AP32"/>
    <mergeCell ref="AQ32:AS32"/>
    <mergeCell ref="AX32:AZ32"/>
    <mergeCell ref="H26:I26"/>
    <mergeCell ref="J26:K26"/>
    <mergeCell ref="L26:M26"/>
    <mergeCell ref="N26:O26"/>
    <mergeCell ref="T26:U26"/>
    <mergeCell ref="V26:W26"/>
    <mergeCell ref="BB27:BC27"/>
    <mergeCell ref="ED26:EE26"/>
    <mergeCell ref="J27:K27"/>
    <mergeCell ref="L27:M27"/>
    <mergeCell ref="N27:O27"/>
    <mergeCell ref="T27:U27"/>
    <mergeCell ref="V27:W27"/>
    <mergeCell ref="X27:Y27"/>
    <mergeCell ref="AD27:AE27"/>
    <mergeCell ref="AF27:AG27"/>
    <mergeCell ref="AH27:AI27"/>
    <mergeCell ref="BL26:BM26"/>
    <mergeCell ref="DP26:DQ26"/>
    <mergeCell ref="DR26:DS26"/>
    <mergeCell ref="DT26:DU26"/>
    <mergeCell ref="DZ26:EA26"/>
    <mergeCell ref="EB26:EC26"/>
    <mergeCell ref="AR26:AS26"/>
    <mergeCell ref="DP24:DU24"/>
    <mergeCell ref="DZ24:EE24"/>
    <mergeCell ref="E25:E26"/>
    <mergeCell ref="F25:F26"/>
    <mergeCell ref="J25:O25"/>
    <mergeCell ref="T25:Y25"/>
    <mergeCell ref="AD25:AI25"/>
    <mergeCell ref="AN25:AS25"/>
    <mergeCell ref="AX25:BC25"/>
    <mergeCell ref="AG24:AI24"/>
    <mergeCell ref="AN24:AP24"/>
    <mergeCell ref="AQ24:AS24"/>
    <mergeCell ref="AX24:AZ24"/>
    <mergeCell ref="BA24:BC24"/>
    <mergeCell ref="BH24:BJ24"/>
    <mergeCell ref="AD26:AE26"/>
    <mergeCell ref="AF26:AG26"/>
    <mergeCell ref="AH26:AI26"/>
    <mergeCell ref="AN26:AO26"/>
    <mergeCell ref="AP26:AQ26"/>
    <mergeCell ref="BH25:BM25"/>
    <mergeCell ref="DP25:DU25"/>
    <mergeCell ref="DZ25:EE25"/>
    <mergeCell ref="G26:G27"/>
    <mergeCell ref="AD16:AE16"/>
    <mergeCell ref="DZ17:EA17"/>
    <mergeCell ref="EB17:EC17"/>
    <mergeCell ref="ED17:EE17"/>
    <mergeCell ref="B23:B36"/>
    <mergeCell ref="D24:D27"/>
    <mergeCell ref="J24:L24"/>
    <mergeCell ref="M24:O24"/>
    <mergeCell ref="T24:V24"/>
    <mergeCell ref="W24:Y24"/>
    <mergeCell ref="AD24:AF24"/>
    <mergeCell ref="BH17:BI17"/>
    <mergeCell ref="BJ17:BK17"/>
    <mergeCell ref="BL17:BM17"/>
    <mergeCell ref="DP17:DQ17"/>
    <mergeCell ref="DR17:DS17"/>
    <mergeCell ref="DT17:DU17"/>
    <mergeCell ref="AN17:AO17"/>
    <mergeCell ref="AP17:AQ17"/>
    <mergeCell ref="AR17:AS17"/>
    <mergeCell ref="AX17:AY17"/>
    <mergeCell ref="AZ17:BA17"/>
    <mergeCell ref="BB17:BC17"/>
    <mergeCell ref="BK24:BM24"/>
    <mergeCell ref="H16:I16"/>
    <mergeCell ref="J16:K16"/>
    <mergeCell ref="L16:M16"/>
    <mergeCell ref="N16:O16"/>
    <mergeCell ref="T16:U16"/>
    <mergeCell ref="V16:W16"/>
    <mergeCell ref="ED16:EE16"/>
    <mergeCell ref="J17:K17"/>
    <mergeCell ref="L17:M17"/>
    <mergeCell ref="N17:O17"/>
    <mergeCell ref="T17:U17"/>
    <mergeCell ref="V17:W17"/>
    <mergeCell ref="X17:Y17"/>
    <mergeCell ref="AD17:AE17"/>
    <mergeCell ref="AF17:AG17"/>
    <mergeCell ref="AH17:AI17"/>
    <mergeCell ref="BL16:BM16"/>
    <mergeCell ref="DP16:DQ16"/>
    <mergeCell ref="DR16:DS16"/>
    <mergeCell ref="DT16:DU16"/>
    <mergeCell ref="DZ16:EA16"/>
    <mergeCell ref="EB16:EC16"/>
    <mergeCell ref="AR16:AS16"/>
    <mergeCell ref="X16:Y16"/>
    <mergeCell ref="BH14:BJ14"/>
    <mergeCell ref="AF16:AG16"/>
    <mergeCell ref="AH16:AI16"/>
    <mergeCell ref="AN16:AO16"/>
    <mergeCell ref="AP16:AQ16"/>
    <mergeCell ref="BH15:BM15"/>
    <mergeCell ref="BK14:BM14"/>
    <mergeCell ref="DP15:DU15"/>
    <mergeCell ref="DZ15:EE15"/>
    <mergeCell ref="AX16:AY16"/>
    <mergeCell ref="AZ16:BA16"/>
    <mergeCell ref="BB16:BC16"/>
    <mergeCell ref="BH16:BI16"/>
    <mergeCell ref="BJ16:BK16"/>
    <mergeCell ref="DP14:DU14"/>
    <mergeCell ref="DZ14:EE14"/>
    <mergeCell ref="D14:D17"/>
    <mergeCell ref="J14:L14"/>
    <mergeCell ref="M14:O14"/>
    <mergeCell ref="T14:V14"/>
    <mergeCell ref="W14:Y14"/>
    <mergeCell ref="AD14:AF14"/>
    <mergeCell ref="AR9:AS9"/>
    <mergeCell ref="AX9:AY9"/>
    <mergeCell ref="X9:Y9"/>
    <mergeCell ref="AD9:AE9"/>
    <mergeCell ref="AF9:AG9"/>
    <mergeCell ref="AH9:AI9"/>
    <mergeCell ref="AN9:AO9"/>
    <mergeCell ref="AP9:AQ9"/>
    <mergeCell ref="E15:E16"/>
    <mergeCell ref="AD15:AI15"/>
    <mergeCell ref="AN15:AS15"/>
    <mergeCell ref="AX15:BC15"/>
    <mergeCell ref="AG14:AI14"/>
    <mergeCell ref="AN14:AP14"/>
    <mergeCell ref="AQ14:AS14"/>
    <mergeCell ref="AX14:AZ14"/>
    <mergeCell ref="BA14:BC14"/>
    <mergeCell ref="G16:G17"/>
    <mergeCell ref="E7:E8"/>
    <mergeCell ref="F7:F8"/>
    <mergeCell ref="J7:O7"/>
    <mergeCell ref="T7:Y7"/>
    <mergeCell ref="AD7:AI7"/>
    <mergeCell ref="AN7:AS7"/>
    <mergeCell ref="AX7:BC7"/>
    <mergeCell ref="DP7:DU7"/>
    <mergeCell ref="DZ7:EE7"/>
    <mergeCell ref="G8:G9"/>
    <mergeCell ref="H8:I8"/>
    <mergeCell ref="J8:K8"/>
    <mergeCell ref="L8:M8"/>
    <mergeCell ref="N8:O8"/>
    <mergeCell ref="T8:U8"/>
    <mergeCell ref="DR8:DS8"/>
    <mergeCell ref="DT8:DU8"/>
    <mergeCell ref="DZ8:EA8"/>
    <mergeCell ref="EB8:EC8"/>
    <mergeCell ref="ED8:EE8"/>
    <mergeCell ref="J9:K9"/>
    <mergeCell ref="L9:M9"/>
    <mergeCell ref="BL9:BM9"/>
    <mergeCell ref="V8:W8"/>
    <mergeCell ref="DP6:DU6"/>
    <mergeCell ref="DZ6:EE6"/>
    <mergeCell ref="X8:Y8"/>
    <mergeCell ref="AD8:AE8"/>
    <mergeCell ref="AF8:AG8"/>
    <mergeCell ref="AH8:AI8"/>
    <mergeCell ref="AN8:AO8"/>
    <mergeCell ref="DT9:DU9"/>
    <mergeCell ref="DZ9:EA9"/>
    <mergeCell ref="EB9:EC9"/>
    <mergeCell ref="ED9:EE9"/>
    <mergeCell ref="BB9:BC9"/>
    <mergeCell ref="DP9:DQ9"/>
    <mergeCell ref="DR9:DS9"/>
    <mergeCell ref="DP8:DQ8"/>
    <mergeCell ref="AZ9:BA9"/>
    <mergeCell ref="BH6:BJ6"/>
    <mergeCell ref="BK6:BM6"/>
    <mergeCell ref="BH7:BM7"/>
    <mergeCell ref="BH8:BI8"/>
    <mergeCell ref="BJ8:BK8"/>
    <mergeCell ref="BL8:BM8"/>
    <mergeCell ref="BH9:BI9"/>
    <mergeCell ref="BJ9:BK9"/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AQ6:AS6"/>
    <mergeCell ref="AX6:AZ6"/>
    <mergeCell ref="BA6:BC6"/>
    <mergeCell ref="N9:O9"/>
    <mergeCell ref="T9:U9"/>
    <mergeCell ref="V9:W9"/>
    <mergeCell ref="AP8:AQ8"/>
    <mergeCell ref="AR8:AS8"/>
    <mergeCell ref="AX8:AY8"/>
    <mergeCell ref="AZ8:BA8"/>
    <mergeCell ref="BB8:BC8"/>
    <mergeCell ref="F15:F16"/>
    <mergeCell ref="J15:O15"/>
    <mergeCell ref="T15:Y15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B2:EE109"/>
  <sheetViews>
    <sheetView topLeftCell="A18" zoomScale="80" zoomScaleNormal="80" workbookViewId="0">
      <selection activeCell="K30" sqref="K30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244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5" spans="2:135" ht="10.050000000000001" customHeight="1" thickBot="1" x14ac:dyDescent="0.35">
      <c r="B5" s="118" t="s">
        <v>0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114</v>
      </c>
      <c r="K6" s="25"/>
      <c r="L6" s="26"/>
      <c r="M6" s="38">
        <v>111</v>
      </c>
      <c r="N6" s="39"/>
      <c r="O6" s="40"/>
      <c r="P6" s="4"/>
      <c r="Q6" s="4"/>
      <c r="R6" s="4"/>
      <c r="S6" s="4"/>
      <c r="T6" s="24" t="s">
        <v>162</v>
      </c>
      <c r="U6" s="25"/>
      <c r="V6" s="26"/>
      <c r="W6" s="27" t="s">
        <v>169</v>
      </c>
      <c r="X6" s="28"/>
      <c r="Y6" s="29"/>
      <c r="Z6" s="4"/>
      <c r="AA6" s="4"/>
      <c r="AB6" s="4"/>
      <c r="AC6" s="4"/>
      <c r="AD6" s="24" t="s">
        <v>90</v>
      </c>
      <c r="AE6" s="25"/>
      <c r="AF6" s="26"/>
      <c r="AG6" s="27" t="s">
        <v>116</v>
      </c>
      <c r="AH6" s="28"/>
      <c r="AI6" s="29"/>
      <c r="AJ6" s="4"/>
      <c r="AK6" s="4"/>
      <c r="AL6" s="4"/>
      <c r="AM6" s="4"/>
      <c r="AN6" s="24" t="s">
        <v>19</v>
      </c>
      <c r="AO6" s="25"/>
      <c r="AP6" s="26"/>
      <c r="AQ6" s="27" t="s">
        <v>33</v>
      </c>
      <c r="AR6" s="28"/>
      <c r="AS6" s="29"/>
      <c r="AT6" s="4"/>
      <c r="AU6" s="4"/>
      <c r="AV6" s="4"/>
      <c r="AW6" s="4"/>
      <c r="AX6" s="24" t="s">
        <v>119</v>
      </c>
      <c r="AY6" s="25"/>
      <c r="AZ6" s="26"/>
      <c r="BA6" s="38" t="s">
        <v>109</v>
      </c>
      <c r="BB6" s="39"/>
      <c r="BC6" s="40"/>
      <c r="BD6" s="4"/>
      <c r="BE6" s="4"/>
      <c r="BF6" s="4"/>
      <c r="BG6" s="4"/>
      <c r="BH6" s="24" t="s">
        <v>114</v>
      </c>
      <c r="BI6" s="25"/>
      <c r="BJ6" s="26"/>
      <c r="BK6" s="38">
        <v>123</v>
      </c>
      <c r="BL6" s="39"/>
      <c r="BM6" s="40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SUM(N8,X8,AH8,AR8,BB8,BL8,BV8)</f>
        <v>855</v>
      </c>
      <c r="H7" s="2"/>
      <c r="I7" s="2"/>
      <c r="J7" s="30" t="s">
        <v>161</v>
      </c>
      <c r="K7" s="31"/>
      <c r="L7" s="31"/>
      <c r="M7" s="31"/>
      <c r="N7" s="32"/>
      <c r="O7" s="33"/>
      <c r="P7" s="4"/>
      <c r="Q7" s="4"/>
      <c r="R7" s="4"/>
      <c r="S7" s="4"/>
      <c r="T7" s="30" t="s">
        <v>163</v>
      </c>
      <c r="U7" s="31"/>
      <c r="V7" s="31"/>
      <c r="W7" s="31"/>
      <c r="X7" s="32"/>
      <c r="Y7" s="33"/>
      <c r="Z7" s="4"/>
      <c r="AA7" s="4"/>
      <c r="AB7" s="4"/>
      <c r="AC7" s="4"/>
      <c r="AD7" s="30" t="s">
        <v>118</v>
      </c>
      <c r="AE7" s="31"/>
      <c r="AF7" s="31"/>
      <c r="AG7" s="31"/>
      <c r="AH7" s="32"/>
      <c r="AI7" s="33"/>
      <c r="AJ7" s="4"/>
      <c r="AK7" s="4"/>
      <c r="AL7" s="4"/>
      <c r="AM7" s="4"/>
      <c r="AN7" s="53" t="s">
        <v>32</v>
      </c>
      <c r="AO7" s="54"/>
      <c r="AP7" s="54"/>
      <c r="AQ7" s="54"/>
      <c r="AR7" s="55"/>
      <c r="AS7" s="56"/>
      <c r="AT7" s="4"/>
      <c r="AU7" s="4"/>
      <c r="AV7" s="4"/>
      <c r="AW7" s="4"/>
      <c r="AX7" s="114" t="s">
        <v>120</v>
      </c>
      <c r="AY7" s="115"/>
      <c r="AZ7" s="115"/>
      <c r="BA7" s="115"/>
      <c r="BB7" s="116"/>
      <c r="BC7" s="117"/>
      <c r="BD7" s="4"/>
      <c r="BE7" s="4"/>
      <c r="BF7" s="4"/>
      <c r="BG7" s="4"/>
      <c r="BH7" s="30" t="s">
        <v>23</v>
      </c>
      <c r="BI7" s="31"/>
      <c r="BJ7" s="31"/>
      <c r="BK7" s="31"/>
      <c r="BL7" s="32"/>
      <c r="BM7" s="33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34">
        <v>3</v>
      </c>
      <c r="K8" s="35"/>
      <c r="L8" s="36">
        <v>4</v>
      </c>
      <c r="M8" s="35"/>
      <c r="N8" s="36">
        <v>150</v>
      </c>
      <c r="O8" s="37"/>
      <c r="P8" s="4"/>
      <c r="Q8" s="4"/>
      <c r="R8" s="4"/>
      <c r="S8" s="4"/>
      <c r="T8" s="34">
        <v>3</v>
      </c>
      <c r="U8" s="35"/>
      <c r="V8" s="36">
        <v>5</v>
      </c>
      <c r="W8" s="35"/>
      <c r="X8" s="36">
        <v>135</v>
      </c>
      <c r="Y8" s="37"/>
      <c r="Z8" s="4"/>
      <c r="AA8" s="4"/>
      <c r="AB8" s="4"/>
      <c r="AC8" s="4"/>
      <c r="AD8" s="34">
        <v>3</v>
      </c>
      <c r="AE8" s="35"/>
      <c r="AF8" s="36">
        <v>4</v>
      </c>
      <c r="AG8" s="35"/>
      <c r="AH8" s="36">
        <v>150</v>
      </c>
      <c r="AI8" s="37"/>
      <c r="AJ8" s="4"/>
      <c r="AK8" s="4"/>
      <c r="AL8" s="4"/>
      <c r="AM8" s="4"/>
      <c r="AN8" s="57">
        <v>3</v>
      </c>
      <c r="AO8" s="58"/>
      <c r="AP8" s="59">
        <v>5</v>
      </c>
      <c r="AQ8" s="58"/>
      <c r="AR8" s="59">
        <v>180</v>
      </c>
      <c r="AS8" s="91"/>
      <c r="AT8" s="4"/>
      <c r="AU8" s="4"/>
      <c r="AV8" s="4"/>
      <c r="AW8" s="4"/>
      <c r="AX8" s="110">
        <v>2</v>
      </c>
      <c r="AY8" s="111"/>
      <c r="AZ8" s="108">
        <v>2</v>
      </c>
      <c r="BA8" s="111"/>
      <c r="BB8" s="108">
        <v>90</v>
      </c>
      <c r="BC8" s="109"/>
      <c r="BD8" s="4"/>
      <c r="BE8" s="4"/>
      <c r="BF8" s="4"/>
      <c r="BG8" s="4"/>
      <c r="BH8" s="34">
        <v>3</v>
      </c>
      <c r="BI8" s="35"/>
      <c r="BJ8" s="36">
        <v>4</v>
      </c>
      <c r="BK8" s="35"/>
      <c r="BL8" s="36">
        <v>150</v>
      </c>
      <c r="BM8" s="37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SUM(J8,T8,AD8,AN8,AX8,BH8,BR8)</f>
        <v>17</v>
      </c>
      <c r="F9" s="11">
        <f>SUM(J9:BW9)</f>
        <v>24</v>
      </c>
      <c r="G9" s="105"/>
      <c r="H9" s="2"/>
      <c r="I9" s="2"/>
      <c r="J9" s="20">
        <v>3</v>
      </c>
      <c r="K9" s="21"/>
      <c r="L9" s="22">
        <v>1</v>
      </c>
      <c r="M9" s="21"/>
      <c r="N9" s="22">
        <v>0</v>
      </c>
      <c r="O9" s="23"/>
      <c r="P9" s="4"/>
      <c r="Q9" s="4"/>
      <c r="R9" s="4"/>
      <c r="S9" s="4"/>
      <c r="T9" s="20">
        <v>2</v>
      </c>
      <c r="U9" s="21"/>
      <c r="V9" s="22">
        <v>3</v>
      </c>
      <c r="W9" s="21"/>
      <c r="X9" s="22">
        <v>0</v>
      </c>
      <c r="Y9" s="23"/>
      <c r="Z9" s="4"/>
      <c r="AA9" s="4"/>
      <c r="AB9" s="4"/>
      <c r="AC9" s="4"/>
      <c r="AD9" s="20">
        <v>2</v>
      </c>
      <c r="AE9" s="21"/>
      <c r="AF9" s="22">
        <v>0</v>
      </c>
      <c r="AG9" s="21"/>
      <c r="AH9" s="22">
        <v>2</v>
      </c>
      <c r="AI9" s="23"/>
      <c r="AJ9" s="4"/>
      <c r="AK9" s="4"/>
      <c r="AL9" s="4"/>
      <c r="AM9" s="4"/>
      <c r="AN9" s="92">
        <v>2</v>
      </c>
      <c r="AO9" s="93"/>
      <c r="AP9" s="70">
        <v>0</v>
      </c>
      <c r="AQ9" s="93"/>
      <c r="AR9" s="70">
        <v>3</v>
      </c>
      <c r="AS9" s="71"/>
      <c r="AT9" s="4"/>
      <c r="AU9" s="4"/>
      <c r="AV9" s="4"/>
      <c r="AW9" s="4"/>
      <c r="AX9" s="112">
        <v>2</v>
      </c>
      <c r="AY9" s="113"/>
      <c r="AZ9" s="106">
        <v>0</v>
      </c>
      <c r="BA9" s="113"/>
      <c r="BB9" s="106">
        <v>0</v>
      </c>
      <c r="BC9" s="107"/>
      <c r="BD9" s="4"/>
      <c r="BE9" s="4"/>
      <c r="BF9" s="4"/>
      <c r="BG9" s="4"/>
      <c r="BH9" s="20">
        <v>2</v>
      </c>
      <c r="BI9" s="21"/>
      <c r="BJ9" s="22">
        <v>0</v>
      </c>
      <c r="BK9" s="21"/>
      <c r="BL9" s="22">
        <v>2</v>
      </c>
      <c r="BM9" s="23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114</v>
      </c>
      <c r="K14" s="25"/>
      <c r="L14" s="26"/>
      <c r="M14" s="38">
        <v>112</v>
      </c>
      <c r="N14" s="39"/>
      <c r="O14" s="40"/>
      <c r="P14" s="4"/>
      <c r="Q14" s="4"/>
      <c r="R14" s="4"/>
      <c r="S14" s="4"/>
      <c r="T14" s="24" t="s">
        <v>114</v>
      </c>
      <c r="U14" s="25"/>
      <c r="V14" s="26"/>
      <c r="W14" s="38">
        <v>131</v>
      </c>
      <c r="X14" s="39"/>
      <c r="Y14" s="40"/>
      <c r="Z14" s="4"/>
      <c r="AA14" s="4"/>
      <c r="AB14" s="4"/>
      <c r="AC14" s="4"/>
      <c r="AD14" s="24" t="s">
        <v>19</v>
      </c>
      <c r="AE14" s="25"/>
      <c r="AF14" s="26"/>
      <c r="AG14" s="38">
        <v>315</v>
      </c>
      <c r="AH14" s="39"/>
      <c r="AI14" s="40"/>
      <c r="AJ14" s="4"/>
      <c r="AK14" s="4"/>
      <c r="AL14" s="4"/>
      <c r="AM14" s="4"/>
      <c r="AN14" s="24" t="s">
        <v>19</v>
      </c>
      <c r="AO14" s="25"/>
      <c r="AP14" s="26"/>
      <c r="AQ14" s="27" t="s">
        <v>35</v>
      </c>
      <c r="AR14" s="28"/>
      <c r="AS14" s="29"/>
      <c r="AT14" s="4"/>
      <c r="AU14" s="4"/>
      <c r="AV14" s="4"/>
      <c r="AW14" s="4"/>
      <c r="AX14" s="24" t="s">
        <v>122</v>
      </c>
      <c r="AY14" s="25"/>
      <c r="AZ14" s="26"/>
      <c r="BA14" s="38" t="s">
        <v>109</v>
      </c>
      <c r="BB14" s="39"/>
      <c r="BC14" s="40"/>
      <c r="BD14" s="4"/>
      <c r="BE14" s="4"/>
      <c r="BF14" s="4"/>
      <c r="BG14" s="4"/>
      <c r="BH14" s="24" t="s">
        <v>127</v>
      </c>
      <c r="BI14" s="25"/>
      <c r="BJ14" s="26"/>
      <c r="BK14" s="38" t="s">
        <v>110</v>
      </c>
      <c r="BL14" s="39"/>
      <c r="BM14" s="40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855</v>
      </c>
      <c r="H15" s="2"/>
      <c r="I15" s="2"/>
      <c r="J15" s="30" t="s">
        <v>126</v>
      </c>
      <c r="K15" s="31"/>
      <c r="L15" s="31"/>
      <c r="M15" s="31"/>
      <c r="N15" s="32"/>
      <c r="O15" s="33"/>
      <c r="P15" s="4"/>
      <c r="Q15" s="4"/>
      <c r="R15" s="4"/>
      <c r="S15" s="4"/>
      <c r="T15" s="30" t="s">
        <v>189</v>
      </c>
      <c r="U15" s="31"/>
      <c r="V15" s="31"/>
      <c r="W15" s="31"/>
      <c r="X15" s="32"/>
      <c r="Y15" s="33"/>
      <c r="Z15" s="4"/>
      <c r="AA15" s="4"/>
      <c r="AB15" s="4"/>
      <c r="AC15" s="4"/>
      <c r="AD15" s="30" t="s">
        <v>26</v>
      </c>
      <c r="AE15" s="31"/>
      <c r="AF15" s="31"/>
      <c r="AG15" s="31"/>
      <c r="AH15" s="32"/>
      <c r="AI15" s="33"/>
      <c r="AJ15" s="4"/>
      <c r="AK15" s="4"/>
      <c r="AL15" s="4"/>
      <c r="AM15" s="4"/>
      <c r="AN15" s="53" t="s">
        <v>34</v>
      </c>
      <c r="AO15" s="54"/>
      <c r="AP15" s="54"/>
      <c r="AQ15" s="54"/>
      <c r="AR15" s="55"/>
      <c r="AS15" s="56"/>
      <c r="AT15" s="4"/>
      <c r="AU15" s="4"/>
      <c r="AV15" s="4"/>
      <c r="AW15" s="4"/>
      <c r="AX15" s="114" t="s">
        <v>123</v>
      </c>
      <c r="AY15" s="115"/>
      <c r="AZ15" s="115"/>
      <c r="BA15" s="115"/>
      <c r="BB15" s="116"/>
      <c r="BC15" s="117"/>
      <c r="BD15" s="4"/>
      <c r="BE15" s="4"/>
      <c r="BF15" s="4"/>
      <c r="BG15" s="4"/>
      <c r="BH15" s="114" t="s">
        <v>128</v>
      </c>
      <c r="BI15" s="115"/>
      <c r="BJ15" s="115"/>
      <c r="BK15" s="115"/>
      <c r="BL15" s="116"/>
      <c r="BM15" s="117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34">
        <v>3</v>
      </c>
      <c r="K16" s="35"/>
      <c r="L16" s="36">
        <v>4</v>
      </c>
      <c r="M16" s="35"/>
      <c r="N16" s="36">
        <v>150</v>
      </c>
      <c r="O16" s="37"/>
      <c r="P16" s="4"/>
      <c r="Q16" s="4"/>
      <c r="R16" s="4"/>
      <c r="S16" s="4"/>
      <c r="T16" s="34">
        <v>3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3</v>
      </c>
      <c r="AE16" s="35"/>
      <c r="AF16" s="36">
        <v>4</v>
      </c>
      <c r="AG16" s="35"/>
      <c r="AH16" s="36">
        <v>150</v>
      </c>
      <c r="AI16" s="37"/>
      <c r="AJ16" s="4"/>
      <c r="AK16" s="4"/>
      <c r="AL16" s="4"/>
      <c r="AM16" s="4"/>
      <c r="AN16" s="57">
        <v>3</v>
      </c>
      <c r="AO16" s="58"/>
      <c r="AP16" s="59">
        <v>5</v>
      </c>
      <c r="AQ16" s="58"/>
      <c r="AR16" s="59">
        <v>180</v>
      </c>
      <c r="AS16" s="91"/>
      <c r="AT16" s="4"/>
      <c r="AU16" s="4"/>
      <c r="AV16" s="4"/>
      <c r="AW16" s="4"/>
      <c r="AX16" s="110">
        <v>2</v>
      </c>
      <c r="AY16" s="111"/>
      <c r="AZ16" s="108">
        <v>2</v>
      </c>
      <c r="BA16" s="111"/>
      <c r="BB16" s="108">
        <v>90</v>
      </c>
      <c r="BC16" s="109"/>
      <c r="BD16" s="4"/>
      <c r="BE16" s="4"/>
      <c r="BF16" s="4"/>
      <c r="BG16" s="4"/>
      <c r="BH16" s="110">
        <v>2</v>
      </c>
      <c r="BI16" s="111"/>
      <c r="BJ16" s="108">
        <v>2</v>
      </c>
      <c r="BK16" s="111"/>
      <c r="BL16" s="108">
        <v>90</v>
      </c>
      <c r="BM16" s="109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SUM(J16,T16,AD16,AN16,AX16,BH16,BR16)</f>
        <v>16</v>
      </c>
      <c r="F17" s="11">
        <f>SUM(J17:BW17)</f>
        <v>22</v>
      </c>
      <c r="G17" s="105"/>
      <c r="H17" s="2"/>
      <c r="I17" s="2"/>
      <c r="J17" s="20">
        <v>3</v>
      </c>
      <c r="K17" s="21"/>
      <c r="L17" s="22">
        <v>1</v>
      </c>
      <c r="M17" s="21"/>
      <c r="N17" s="22">
        <v>0</v>
      </c>
      <c r="O17" s="23"/>
      <c r="P17" s="4"/>
      <c r="Q17" s="4"/>
      <c r="R17" s="4"/>
      <c r="S17" s="4"/>
      <c r="T17" s="20">
        <v>2</v>
      </c>
      <c r="U17" s="21"/>
      <c r="V17" s="22">
        <v>2</v>
      </c>
      <c r="W17" s="21"/>
      <c r="X17" s="22">
        <v>1</v>
      </c>
      <c r="Y17" s="23"/>
      <c r="Z17" s="4"/>
      <c r="AA17" s="4"/>
      <c r="AB17" s="4"/>
      <c r="AC17" s="4"/>
      <c r="AD17" s="20">
        <v>2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92">
        <v>2</v>
      </c>
      <c r="AO17" s="93"/>
      <c r="AP17" s="70">
        <v>0</v>
      </c>
      <c r="AQ17" s="93"/>
      <c r="AR17" s="70">
        <v>3</v>
      </c>
      <c r="AS17" s="71"/>
      <c r="AT17" s="4"/>
      <c r="AU17" s="4"/>
      <c r="AV17" s="4"/>
      <c r="AW17" s="4"/>
      <c r="AX17" s="112">
        <v>2</v>
      </c>
      <c r="AY17" s="113"/>
      <c r="AZ17" s="106">
        <v>0</v>
      </c>
      <c r="BA17" s="113"/>
      <c r="BB17" s="106">
        <v>0</v>
      </c>
      <c r="BC17" s="107"/>
      <c r="BD17" s="4"/>
      <c r="BE17" s="4"/>
      <c r="BF17" s="4"/>
      <c r="BG17" s="4"/>
      <c r="BH17" s="112">
        <v>2</v>
      </c>
      <c r="BI17" s="113"/>
      <c r="BJ17" s="106">
        <v>0</v>
      </c>
      <c r="BK17" s="113"/>
      <c r="BL17" s="106">
        <v>0</v>
      </c>
      <c r="BM17" s="107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4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114</v>
      </c>
      <c r="K24" s="25"/>
      <c r="L24" s="26"/>
      <c r="M24" s="38">
        <v>212</v>
      </c>
      <c r="N24" s="39"/>
      <c r="O24" s="40"/>
      <c r="P24" s="4"/>
      <c r="Q24" s="4"/>
      <c r="R24" s="4"/>
      <c r="S24" s="4"/>
      <c r="T24" s="24" t="s">
        <v>19</v>
      </c>
      <c r="U24" s="25"/>
      <c r="V24" s="26"/>
      <c r="W24" s="38">
        <v>111</v>
      </c>
      <c r="X24" s="102"/>
      <c r="Y24" s="103"/>
      <c r="Z24" s="4"/>
      <c r="AA24" s="4"/>
      <c r="AB24" s="4"/>
      <c r="AC24" s="4"/>
      <c r="AD24" s="24" t="s">
        <v>19</v>
      </c>
      <c r="AE24" s="25"/>
      <c r="AF24" s="26"/>
      <c r="AG24" s="38">
        <v>113</v>
      </c>
      <c r="AH24" s="39"/>
      <c r="AI24" s="40"/>
      <c r="AJ24" s="4"/>
      <c r="AK24" s="4"/>
      <c r="AL24" s="4"/>
      <c r="AM24" s="4"/>
      <c r="AN24" s="24" t="s">
        <v>19</v>
      </c>
      <c r="AO24" s="25"/>
      <c r="AP24" s="26"/>
      <c r="AQ24" s="38">
        <v>131</v>
      </c>
      <c r="AR24" s="102"/>
      <c r="AS24" s="103"/>
      <c r="AT24" s="4"/>
      <c r="AU24" s="4"/>
      <c r="AV24" s="4"/>
      <c r="AW24" s="4"/>
      <c r="AX24" s="24" t="s">
        <v>129</v>
      </c>
      <c r="AY24" s="25"/>
      <c r="AZ24" s="26"/>
      <c r="BA24" s="38" t="s">
        <v>110</v>
      </c>
      <c r="BB24" s="39"/>
      <c r="BC24" s="40"/>
      <c r="BD24" s="4"/>
      <c r="BE24" s="4"/>
      <c r="BF24" s="4"/>
      <c r="BG24" s="4"/>
      <c r="BH24" s="24" t="s">
        <v>133</v>
      </c>
      <c r="BI24" s="25"/>
      <c r="BJ24" s="26"/>
      <c r="BK24" s="38" t="s">
        <v>110</v>
      </c>
      <c r="BL24" s="39"/>
      <c r="BM24" s="40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54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SUM(N26,X26,AH26,AR26,BB26,BL26)</f>
        <v>885</v>
      </c>
      <c r="H25" s="2"/>
      <c r="I25" s="2"/>
      <c r="J25" s="30" t="s">
        <v>182</v>
      </c>
      <c r="K25" s="31"/>
      <c r="L25" s="31"/>
      <c r="M25" s="31"/>
      <c r="N25" s="32"/>
      <c r="O25" s="33"/>
      <c r="P25" s="4"/>
      <c r="Q25" s="4"/>
      <c r="R25" s="4"/>
      <c r="S25" s="4"/>
      <c r="T25" s="53" t="s">
        <v>36</v>
      </c>
      <c r="U25" s="54"/>
      <c r="V25" s="54"/>
      <c r="W25" s="54"/>
      <c r="X25" s="55"/>
      <c r="Y25" s="56"/>
      <c r="Z25" s="4"/>
      <c r="AA25" s="4"/>
      <c r="AB25" s="4"/>
      <c r="AC25" s="4"/>
      <c r="AD25" s="53" t="s">
        <v>196</v>
      </c>
      <c r="AE25" s="54"/>
      <c r="AF25" s="54"/>
      <c r="AG25" s="54"/>
      <c r="AH25" s="55"/>
      <c r="AI25" s="56"/>
      <c r="AJ25" s="4"/>
      <c r="AK25" s="4"/>
      <c r="AL25" s="4"/>
      <c r="AM25" s="4"/>
      <c r="AN25" s="53" t="s">
        <v>197</v>
      </c>
      <c r="AO25" s="54"/>
      <c r="AP25" s="54"/>
      <c r="AQ25" s="54"/>
      <c r="AR25" s="55"/>
      <c r="AS25" s="56"/>
      <c r="AT25" s="4"/>
      <c r="AU25" s="4"/>
      <c r="AV25" s="4"/>
      <c r="AW25" s="4"/>
      <c r="AX25" s="114" t="s">
        <v>130</v>
      </c>
      <c r="AY25" s="115"/>
      <c r="AZ25" s="115"/>
      <c r="BA25" s="115"/>
      <c r="BB25" s="116"/>
      <c r="BC25" s="117"/>
      <c r="BD25" s="4"/>
      <c r="BE25" s="4"/>
      <c r="BF25" s="4"/>
      <c r="BG25" s="4"/>
      <c r="BH25" s="114" t="s">
        <v>132</v>
      </c>
      <c r="BI25" s="115"/>
      <c r="BJ25" s="115"/>
      <c r="BK25" s="115"/>
      <c r="BL25" s="116"/>
      <c r="BM25" s="117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34">
        <v>3</v>
      </c>
      <c r="K26" s="35"/>
      <c r="L26" s="36">
        <v>4</v>
      </c>
      <c r="M26" s="35"/>
      <c r="N26" s="36">
        <v>150</v>
      </c>
      <c r="O26" s="37"/>
      <c r="P26" s="4"/>
      <c r="Q26" s="4"/>
      <c r="R26" s="4"/>
      <c r="S26" s="4"/>
      <c r="T26" s="57">
        <v>3</v>
      </c>
      <c r="U26" s="58"/>
      <c r="V26" s="59">
        <v>5</v>
      </c>
      <c r="W26" s="58"/>
      <c r="X26" s="59">
        <v>180</v>
      </c>
      <c r="Y26" s="91"/>
      <c r="Z26" s="4"/>
      <c r="AA26" s="4"/>
      <c r="AB26" s="4"/>
      <c r="AC26" s="4"/>
      <c r="AD26" s="57">
        <v>3</v>
      </c>
      <c r="AE26" s="58"/>
      <c r="AF26" s="59">
        <v>6</v>
      </c>
      <c r="AG26" s="58"/>
      <c r="AH26" s="59">
        <v>180</v>
      </c>
      <c r="AI26" s="91"/>
      <c r="AJ26" s="4"/>
      <c r="AK26" s="4"/>
      <c r="AL26" s="4"/>
      <c r="AM26" s="4"/>
      <c r="AN26" s="57">
        <v>3</v>
      </c>
      <c r="AO26" s="58"/>
      <c r="AP26" s="59">
        <v>6</v>
      </c>
      <c r="AQ26" s="58"/>
      <c r="AR26" s="59">
        <v>195</v>
      </c>
      <c r="AS26" s="91"/>
      <c r="AT26" s="4"/>
      <c r="AU26" s="4"/>
      <c r="AV26" s="4"/>
      <c r="AW26" s="4"/>
      <c r="AX26" s="110">
        <v>2</v>
      </c>
      <c r="AY26" s="111"/>
      <c r="AZ26" s="108">
        <v>2</v>
      </c>
      <c r="BA26" s="111"/>
      <c r="BB26" s="108">
        <v>90</v>
      </c>
      <c r="BC26" s="109"/>
      <c r="BD26" s="4"/>
      <c r="BE26" s="4"/>
      <c r="BF26" s="4"/>
      <c r="BG26" s="4"/>
      <c r="BH26" s="110">
        <v>2</v>
      </c>
      <c r="BI26" s="111"/>
      <c r="BJ26" s="108">
        <v>2</v>
      </c>
      <c r="BK26" s="111"/>
      <c r="BL26" s="108">
        <v>90</v>
      </c>
      <c r="BM26" s="109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thickBot="1" x14ac:dyDescent="0.35">
      <c r="B27" s="118"/>
      <c r="C27" s="1"/>
      <c r="D27" s="119"/>
      <c r="E27" s="11">
        <f>SUM(J26,T26,AD26,AN26,AX26,BH26,BR26)</f>
        <v>16</v>
      </c>
      <c r="F27" s="11">
        <f>SUM(J27:BW27)</f>
        <v>25</v>
      </c>
      <c r="G27" s="105"/>
      <c r="H27" s="2"/>
      <c r="I27" s="2"/>
      <c r="J27" s="20">
        <v>2</v>
      </c>
      <c r="K27" s="21"/>
      <c r="L27" s="22">
        <v>0</v>
      </c>
      <c r="M27" s="21"/>
      <c r="N27" s="22">
        <v>2</v>
      </c>
      <c r="O27" s="23"/>
      <c r="P27" s="4"/>
      <c r="Q27" s="4"/>
      <c r="R27" s="4"/>
      <c r="S27" s="4"/>
      <c r="T27" s="92">
        <v>2</v>
      </c>
      <c r="U27" s="93"/>
      <c r="V27" s="70">
        <v>0</v>
      </c>
      <c r="W27" s="93"/>
      <c r="X27" s="70">
        <v>3</v>
      </c>
      <c r="Y27" s="71"/>
      <c r="Z27" s="4"/>
      <c r="AA27" s="4"/>
      <c r="AB27" s="4"/>
      <c r="AC27" s="4"/>
      <c r="AD27" s="92">
        <v>1</v>
      </c>
      <c r="AE27" s="93"/>
      <c r="AF27" s="70">
        <v>2</v>
      </c>
      <c r="AG27" s="93"/>
      <c r="AH27" s="70">
        <v>3</v>
      </c>
      <c r="AI27" s="71"/>
      <c r="AJ27" s="4"/>
      <c r="AK27" s="4"/>
      <c r="AL27" s="4"/>
      <c r="AM27" s="4"/>
      <c r="AN27" s="92">
        <v>2</v>
      </c>
      <c r="AO27" s="93"/>
      <c r="AP27" s="70">
        <v>2</v>
      </c>
      <c r="AQ27" s="93"/>
      <c r="AR27" s="70">
        <v>2</v>
      </c>
      <c r="AS27" s="71"/>
      <c r="AT27" s="4"/>
      <c r="AU27" s="4"/>
      <c r="AV27" s="4"/>
      <c r="AW27" s="4"/>
      <c r="AX27" s="112">
        <v>2</v>
      </c>
      <c r="AY27" s="113"/>
      <c r="AZ27" s="106">
        <v>0</v>
      </c>
      <c r="BA27" s="113"/>
      <c r="BB27" s="106">
        <v>0</v>
      </c>
      <c r="BC27" s="107"/>
      <c r="BD27" s="4"/>
      <c r="BE27" s="4"/>
      <c r="BF27" s="4"/>
      <c r="BG27" s="4"/>
      <c r="BH27" s="112">
        <v>2</v>
      </c>
      <c r="BI27" s="113"/>
      <c r="BJ27" s="106">
        <v>0</v>
      </c>
      <c r="BK27" s="113"/>
      <c r="BL27" s="106">
        <v>0</v>
      </c>
      <c r="BM27" s="107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114</v>
      </c>
      <c r="K32" s="25"/>
      <c r="L32" s="26"/>
      <c r="M32" s="38">
        <v>231</v>
      </c>
      <c r="N32" s="102"/>
      <c r="O32" s="103"/>
      <c r="P32" s="4"/>
      <c r="Q32" s="4"/>
      <c r="R32" s="4"/>
      <c r="S32" s="4"/>
      <c r="T32" s="24" t="s">
        <v>114</v>
      </c>
      <c r="U32" s="25"/>
      <c r="V32" s="26"/>
      <c r="W32" s="38">
        <v>312</v>
      </c>
      <c r="X32" s="39"/>
      <c r="Y32" s="40"/>
      <c r="Z32" s="4"/>
      <c r="AA32" s="4"/>
      <c r="AB32" s="4"/>
      <c r="AC32" s="4"/>
      <c r="AD32" s="24" t="s">
        <v>19</v>
      </c>
      <c r="AE32" s="25"/>
      <c r="AF32" s="26"/>
      <c r="AG32" s="38">
        <v>132</v>
      </c>
      <c r="AH32" s="39"/>
      <c r="AI32" s="40"/>
      <c r="AJ32" s="4"/>
      <c r="AK32" s="4"/>
      <c r="AL32" s="4"/>
      <c r="AM32" s="4"/>
      <c r="AN32" s="24" t="s">
        <v>48</v>
      </c>
      <c r="AO32" s="25"/>
      <c r="AP32" s="26"/>
      <c r="AQ32" s="38">
        <v>111</v>
      </c>
      <c r="AR32" s="39"/>
      <c r="AS32" s="40"/>
      <c r="AT32" s="4"/>
      <c r="AU32" s="4"/>
      <c r="AV32" s="4"/>
      <c r="AW32" s="4"/>
      <c r="AX32" s="24" t="s">
        <v>136</v>
      </c>
      <c r="AY32" s="25"/>
      <c r="AZ32" s="26"/>
      <c r="BA32" s="38" t="s">
        <v>110</v>
      </c>
      <c r="BB32" s="39"/>
      <c r="BC32" s="40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870</v>
      </c>
      <c r="H33" s="2"/>
      <c r="I33" s="2"/>
      <c r="J33" s="30" t="s">
        <v>199</v>
      </c>
      <c r="K33" s="31"/>
      <c r="L33" s="31"/>
      <c r="M33" s="31"/>
      <c r="N33" s="32"/>
      <c r="O33" s="33"/>
      <c r="P33" s="4"/>
      <c r="Q33" s="4"/>
      <c r="R33" s="4"/>
      <c r="S33" s="4"/>
      <c r="T33" s="30" t="s">
        <v>250</v>
      </c>
      <c r="U33" s="31"/>
      <c r="V33" s="31"/>
      <c r="W33" s="31"/>
      <c r="X33" s="32"/>
      <c r="Y33" s="33"/>
      <c r="Z33" s="4"/>
      <c r="AA33" s="4"/>
      <c r="AB33" s="4"/>
      <c r="AC33" s="4"/>
      <c r="AD33" s="53" t="s">
        <v>198</v>
      </c>
      <c r="AE33" s="54"/>
      <c r="AF33" s="54"/>
      <c r="AG33" s="54"/>
      <c r="AH33" s="55"/>
      <c r="AI33" s="56"/>
      <c r="AJ33" s="4"/>
      <c r="AK33" s="4"/>
      <c r="AL33" s="4"/>
      <c r="AM33" s="4"/>
      <c r="AN33" s="146" t="s">
        <v>47</v>
      </c>
      <c r="AO33" s="147"/>
      <c r="AP33" s="147"/>
      <c r="AQ33" s="147"/>
      <c r="AR33" s="148"/>
      <c r="AS33" s="149"/>
      <c r="AT33" s="4"/>
      <c r="AU33" s="4"/>
      <c r="AV33" s="4"/>
      <c r="AW33" s="4"/>
      <c r="AX33" s="154" t="s">
        <v>28</v>
      </c>
      <c r="AY33" s="155"/>
      <c r="AZ33" s="155"/>
      <c r="BA33" s="155"/>
      <c r="BB33" s="156"/>
      <c r="BC33" s="157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34">
        <v>3</v>
      </c>
      <c r="K34" s="35"/>
      <c r="L34" s="36">
        <v>5</v>
      </c>
      <c r="M34" s="35"/>
      <c r="N34" s="36">
        <v>195</v>
      </c>
      <c r="O34" s="37"/>
      <c r="P34" s="4"/>
      <c r="Q34" s="4"/>
      <c r="R34" s="4"/>
      <c r="S34" s="4"/>
      <c r="T34" s="34">
        <v>3</v>
      </c>
      <c r="U34" s="35"/>
      <c r="V34" s="36">
        <v>4</v>
      </c>
      <c r="W34" s="35"/>
      <c r="X34" s="36">
        <v>150</v>
      </c>
      <c r="Y34" s="37"/>
      <c r="Z34" s="4"/>
      <c r="AA34" s="4"/>
      <c r="AB34" s="4"/>
      <c r="AC34" s="4"/>
      <c r="AD34" s="57">
        <v>3</v>
      </c>
      <c r="AE34" s="58"/>
      <c r="AF34" s="59">
        <v>5</v>
      </c>
      <c r="AG34" s="58"/>
      <c r="AH34" s="59">
        <v>165</v>
      </c>
      <c r="AI34" s="91"/>
      <c r="AJ34" s="4"/>
      <c r="AK34" s="4"/>
      <c r="AL34" s="4"/>
      <c r="AM34" s="4"/>
      <c r="AN34" s="138">
        <v>3</v>
      </c>
      <c r="AO34" s="139"/>
      <c r="AP34" s="140">
        <v>5</v>
      </c>
      <c r="AQ34" s="139"/>
      <c r="AR34" s="140">
        <v>180</v>
      </c>
      <c r="AS34" s="141"/>
      <c r="AT34" s="4"/>
      <c r="AU34" s="4"/>
      <c r="AV34" s="4"/>
      <c r="AW34" s="4"/>
      <c r="AX34" s="79">
        <v>3</v>
      </c>
      <c r="AY34" s="80"/>
      <c r="AZ34" s="81">
        <v>5</v>
      </c>
      <c r="BA34" s="80"/>
      <c r="BB34" s="81">
        <v>180</v>
      </c>
      <c r="BC34" s="82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SUM(J34,T34,AD34,AN34,AX34,BH34,BR34)</f>
        <v>15</v>
      </c>
      <c r="F35" s="11">
        <f>SUM(J35:BM35)</f>
        <v>24</v>
      </c>
      <c r="G35" s="105"/>
      <c r="H35" s="2"/>
      <c r="I35" s="2"/>
      <c r="J35" s="20">
        <v>2</v>
      </c>
      <c r="K35" s="21"/>
      <c r="L35" s="22">
        <v>1</v>
      </c>
      <c r="M35" s="21"/>
      <c r="N35" s="22">
        <v>2</v>
      </c>
      <c r="O35" s="23"/>
      <c r="P35" s="4"/>
      <c r="Q35" s="4"/>
      <c r="R35" s="4"/>
      <c r="S35" s="4"/>
      <c r="T35" s="20">
        <v>2</v>
      </c>
      <c r="U35" s="21"/>
      <c r="V35" s="22">
        <v>2</v>
      </c>
      <c r="W35" s="21"/>
      <c r="X35" s="22">
        <v>0</v>
      </c>
      <c r="Y35" s="23"/>
      <c r="Z35" s="4"/>
      <c r="AA35" s="4"/>
      <c r="AB35" s="4"/>
      <c r="AC35" s="4"/>
      <c r="AD35" s="92">
        <v>2</v>
      </c>
      <c r="AE35" s="93"/>
      <c r="AF35" s="70">
        <v>1</v>
      </c>
      <c r="AG35" s="93"/>
      <c r="AH35" s="70">
        <v>2</v>
      </c>
      <c r="AI35" s="71"/>
      <c r="AJ35" s="4"/>
      <c r="AK35" s="4"/>
      <c r="AL35" s="4"/>
      <c r="AM35" s="4"/>
      <c r="AN35" s="142">
        <v>2</v>
      </c>
      <c r="AO35" s="143"/>
      <c r="AP35" s="144">
        <v>1</v>
      </c>
      <c r="AQ35" s="143"/>
      <c r="AR35" s="144">
        <v>2</v>
      </c>
      <c r="AS35" s="145"/>
      <c r="AT35" s="4"/>
      <c r="AU35" s="4"/>
      <c r="AV35" s="4"/>
      <c r="AW35" s="4"/>
      <c r="AX35" s="83">
        <v>2</v>
      </c>
      <c r="AY35" s="84"/>
      <c r="AZ35" s="85">
        <v>2</v>
      </c>
      <c r="BA35" s="84"/>
      <c r="BB35" s="85">
        <v>1</v>
      </c>
      <c r="BC35" s="86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3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137</v>
      </c>
      <c r="K42" s="25"/>
      <c r="L42" s="26"/>
      <c r="M42" s="38" t="s">
        <v>110</v>
      </c>
      <c r="N42" s="39"/>
      <c r="O42" s="40"/>
      <c r="P42" s="4"/>
      <c r="Q42" s="4"/>
      <c r="R42" s="4"/>
      <c r="S42" s="4"/>
      <c r="T42" s="24" t="s">
        <v>19</v>
      </c>
      <c r="U42" s="25"/>
      <c r="V42" s="26"/>
      <c r="W42" s="38">
        <v>221</v>
      </c>
      <c r="X42" s="102"/>
      <c r="Y42" s="103"/>
      <c r="Z42" s="4"/>
      <c r="AA42" s="4"/>
      <c r="AB42" s="4"/>
      <c r="AC42" s="4"/>
      <c r="AD42" s="24" t="s">
        <v>121</v>
      </c>
      <c r="AE42" s="25"/>
      <c r="AF42" s="26"/>
      <c r="AG42" s="38" t="s">
        <v>109</v>
      </c>
      <c r="AH42" s="39"/>
      <c r="AI42" s="40"/>
      <c r="AJ42" s="4"/>
      <c r="AK42" s="4"/>
      <c r="AL42" s="4"/>
      <c r="AM42" s="4"/>
      <c r="AN42" s="24" t="s">
        <v>19</v>
      </c>
      <c r="AO42" s="25"/>
      <c r="AP42" s="26"/>
      <c r="AQ42" s="38">
        <v>233</v>
      </c>
      <c r="AR42" s="39"/>
      <c r="AS42" s="40"/>
      <c r="AT42" s="4"/>
      <c r="AU42" s="4"/>
      <c r="AV42" s="4"/>
      <c r="AW42" s="4"/>
      <c r="AX42" s="24" t="s">
        <v>48</v>
      </c>
      <c r="AY42" s="25"/>
      <c r="AZ42" s="26"/>
      <c r="BA42" s="38">
        <v>121</v>
      </c>
      <c r="BB42" s="39"/>
      <c r="BC42" s="40"/>
      <c r="BD42" s="4"/>
      <c r="BE42" s="4"/>
      <c r="BF42" s="4"/>
      <c r="BG42" s="4"/>
      <c r="BH42" s="24" t="s">
        <v>48</v>
      </c>
      <c r="BI42" s="25"/>
      <c r="BJ42" s="26"/>
      <c r="BK42" s="38">
        <v>291</v>
      </c>
      <c r="BL42" s="102"/>
      <c r="BM42" s="103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855</v>
      </c>
      <c r="H43" s="2"/>
      <c r="I43" s="2"/>
      <c r="J43" s="154" t="s">
        <v>29</v>
      </c>
      <c r="K43" s="155"/>
      <c r="L43" s="155"/>
      <c r="M43" s="155"/>
      <c r="N43" s="156"/>
      <c r="O43" s="157"/>
      <c r="P43" s="4"/>
      <c r="Q43" s="4"/>
      <c r="R43" s="4"/>
      <c r="S43" s="4"/>
      <c r="T43" s="53" t="s">
        <v>43</v>
      </c>
      <c r="U43" s="54"/>
      <c r="V43" s="54"/>
      <c r="W43" s="54"/>
      <c r="X43" s="55"/>
      <c r="Y43" s="56"/>
      <c r="Z43" s="4"/>
      <c r="AA43" s="4"/>
      <c r="AB43" s="4"/>
      <c r="AC43" s="4"/>
      <c r="AD43" s="114" t="s">
        <v>21</v>
      </c>
      <c r="AE43" s="115"/>
      <c r="AF43" s="115"/>
      <c r="AG43" s="115"/>
      <c r="AH43" s="116"/>
      <c r="AI43" s="117"/>
      <c r="AJ43" s="4"/>
      <c r="AK43" s="4"/>
      <c r="AL43" s="4"/>
      <c r="AM43" s="4"/>
      <c r="AN43" s="53" t="s">
        <v>40</v>
      </c>
      <c r="AO43" s="54"/>
      <c r="AP43" s="54"/>
      <c r="AQ43" s="54"/>
      <c r="AR43" s="55"/>
      <c r="AS43" s="56"/>
      <c r="AT43" s="4"/>
      <c r="AU43" s="4"/>
      <c r="AV43" s="4"/>
      <c r="AW43" s="4"/>
      <c r="AX43" s="146" t="s">
        <v>49</v>
      </c>
      <c r="AY43" s="147"/>
      <c r="AZ43" s="147"/>
      <c r="BA43" s="147"/>
      <c r="BB43" s="148"/>
      <c r="BC43" s="149"/>
      <c r="BD43" s="4"/>
      <c r="BE43" s="4"/>
      <c r="BF43" s="4"/>
      <c r="BG43" s="4"/>
      <c r="BH43" s="41" t="s">
        <v>231</v>
      </c>
      <c r="BI43" s="42"/>
      <c r="BJ43" s="42"/>
      <c r="BK43" s="42"/>
      <c r="BL43" s="43"/>
      <c r="BM43" s="4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79">
        <v>3</v>
      </c>
      <c r="K44" s="80"/>
      <c r="L44" s="81">
        <v>5</v>
      </c>
      <c r="M44" s="80"/>
      <c r="N44" s="81">
        <v>180</v>
      </c>
      <c r="O44" s="82"/>
      <c r="P44" s="4"/>
      <c r="Q44" s="4"/>
      <c r="R44" s="4"/>
      <c r="S44" s="4"/>
      <c r="T44" s="57">
        <v>3</v>
      </c>
      <c r="U44" s="58"/>
      <c r="V44" s="59">
        <v>5</v>
      </c>
      <c r="W44" s="58"/>
      <c r="X44" s="59">
        <v>180</v>
      </c>
      <c r="Y44" s="91"/>
      <c r="Z44" s="4"/>
      <c r="AA44" s="4"/>
      <c r="AB44" s="4"/>
      <c r="AC44" s="4"/>
      <c r="AD44" s="110">
        <v>2</v>
      </c>
      <c r="AE44" s="111"/>
      <c r="AF44" s="108">
        <v>2</v>
      </c>
      <c r="AG44" s="111"/>
      <c r="AH44" s="108">
        <v>90</v>
      </c>
      <c r="AI44" s="109"/>
      <c r="AJ44" s="4"/>
      <c r="AK44" s="4"/>
      <c r="AL44" s="4"/>
      <c r="AM44" s="4"/>
      <c r="AN44" s="57">
        <v>3</v>
      </c>
      <c r="AO44" s="58"/>
      <c r="AP44" s="59">
        <v>5</v>
      </c>
      <c r="AQ44" s="58"/>
      <c r="AR44" s="59">
        <v>165</v>
      </c>
      <c r="AS44" s="91"/>
      <c r="AT44" s="4"/>
      <c r="AU44" s="4"/>
      <c r="AV44" s="4"/>
      <c r="AW44" s="4"/>
      <c r="AX44" s="138">
        <v>3</v>
      </c>
      <c r="AY44" s="139"/>
      <c r="AZ44" s="140">
        <v>5</v>
      </c>
      <c r="BA44" s="139"/>
      <c r="BB44" s="140">
        <v>180</v>
      </c>
      <c r="BC44" s="141"/>
      <c r="BD44" s="4"/>
      <c r="BE44" s="4"/>
      <c r="BF44" s="4"/>
      <c r="BG44" s="4"/>
      <c r="BH44" s="45">
        <v>2</v>
      </c>
      <c r="BI44" s="46"/>
      <c r="BJ44" s="47">
        <v>2</v>
      </c>
      <c r="BK44" s="46"/>
      <c r="BL44" s="47">
        <v>60</v>
      </c>
      <c r="BM44" s="48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16</v>
      </c>
      <c r="F45" s="11">
        <f>SUM(J45:BM45)</f>
        <v>24</v>
      </c>
      <c r="G45" s="105"/>
      <c r="H45" s="2"/>
      <c r="I45" s="2"/>
      <c r="J45" s="83">
        <v>2</v>
      </c>
      <c r="K45" s="84"/>
      <c r="L45" s="85">
        <v>2</v>
      </c>
      <c r="M45" s="84"/>
      <c r="N45" s="85">
        <v>1</v>
      </c>
      <c r="O45" s="86"/>
      <c r="P45" s="4"/>
      <c r="Q45" s="4"/>
      <c r="R45" s="4"/>
      <c r="S45" s="4"/>
      <c r="T45" s="92">
        <v>2</v>
      </c>
      <c r="U45" s="93"/>
      <c r="V45" s="70">
        <v>1</v>
      </c>
      <c r="W45" s="93"/>
      <c r="X45" s="70">
        <v>2</v>
      </c>
      <c r="Y45" s="71"/>
      <c r="Z45" s="4"/>
      <c r="AA45" s="4"/>
      <c r="AB45" s="4"/>
      <c r="AC45" s="4"/>
      <c r="AD45" s="112">
        <v>2</v>
      </c>
      <c r="AE45" s="113"/>
      <c r="AF45" s="106">
        <v>0</v>
      </c>
      <c r="AG45" s="113"/>
      <c r="AH45" s="106">
        <v>0</v>
      </c>
      <c r="AI45" s="107"/>
      <c r="AJ45" s="4"/>
      <c r="AK45" s="4"/>
      <c r="AL45" s="4"/>
      <c r="AM45" s="4"/>
      <c r="AN45" s="92">
        <v>2</v>
      </c>
      <c r="AO45" s="93"/>
      <c r="AP45" s="70">
        <v>1</v>
      </c>
      <c r="AQ45" s="93"/>
      <c r="AR45" s="70">
        <v>2</v>
      </c>
      <c r="AS45" s="71"/>
      <c r="AT45" s="4"/>
      <c r="AU45" s="4"/>
      <c r="AV45" s="4"/>
      <c r="AW45" s="4"/>
      <c r="AX45" s="142">
        <v>2</v>
      </c>
      <c r="AY45" s="143"/>
      <c r="AZ45" s="144">
        <v>1</v>
      </c>
      <c r="BA45" s="143"/>
      <c r="BB45" s="144">
        <v>2</v>
      </c>
      <c r="BC45" s="145"/>
      <c r="BD45" s="4"/>
      <c r="BE45" s="4"/>
      <c r="BF45" s="4"/>
      <c r="BG45" s="4"/>
      <c r="BH45" s="49">
        <v>2</v>
      </c>
      <c r="BI45" s="50"/>
      <c r="BJ45" s="51">
        <v>0</v>
      </c>
      <c r="BK45" s="50"/>
      <c r="BL45" s="51">
        <v>0</v>
      </c>
      <c r="BM45" s="52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19</v>
      </c>
      <c r="K50" s="25"/>
      <c r="L50" s="26"/>
      <c r="M50" s="38">
        <v>281</v>
      </c>
      <c r="N50" s="39"/>
      <c r="O50" s="40"/>
      <c r="P50" s="4"/>
      <c r="Q50" s="4"/>
      <c r="R50" s="4"/>
      <c r="S50" s="4"/>
      <c r="T50" s="24" t="s">
        <v>19</v>
      </c>
      <c r="U50" s="25"/>
      <c r="V50" s="26"/>
      <c r="W50" s="38">
        <v>251</v>
      </c>
      <c r="X50" s="102"/>
      <c r="Y50" s="103"/>
      <c r="Z50" s="4"/>
      <c r="AA50" s="4"/>
      <c r="AB50" s="4"/>
      <c r="AC50" s="4"/>
      <c r="AD50" s="24" t="s">
        <v>19</v>
      </c>
      <c r="AE50" s="25"/>
      <c r="AF50" s="26"/>
      <c r="AG50" s="38">
        <v>261</v>
      </c>
      <c r="AH50" s="102"/>
      <c r="AI50" s="103"/>
      <c r="AJ50" s="4"/>
      <c r="AK50" s="4"/>
      <c r="AL50" s="4"/>
      <c r="AM50" s="4"/>
      <c r="AN50" s="24" t="s">
        <v>19</v>
      </c>
      <c r="AO50" s="25"/>
      <c r="AP50" s="26"/>
      <c r="AQ50" s="38">
        <v>112</v>
      </c>
      <c r="AR50" s="102"/>
      <c r="AS50" s="103"/>
      <c r="AT50" s="4"/>
      <c r="AU50" s="4"/>
      <c r="AV50" s="4"/>
      <c r="AW50" s="4"/>
      <c r="AX50" s="24" t="s">
        <v>19</v>
      </c>
      <c r="AY50" s="25"/>
      <c r="AZ50" s="26"/>
      <c r="BA50" s="38">
        <v>234</v>
      </c>
      <c r="BB50" s="102"/>
      <c r="BC50" s="103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SUM(N52,X52,AH52,AR52,BB52,BL52,BW52)</f>
        <v>900</v>
      </c>
      <c r="H51" s="2"/>
      <c r="I51" s="2"/>
      <c r="J51" s="53" t="s">
        <v>219</v>
      </c>
      <c r="K51" s="54"/>
      <c r="L51" s="54"/>
      <c r="M51" s="54"/>
      <c r="N51" s="55"/>
      <c r="O51" s="56"/>
      <c r="P51" s="4"/>
      <c r="Q51" s="4"/>
      <c r="R51" s="4"/>
      <c r="S51" s="4"/>
      <c r="T51" s="53" t="s">
        <v>67</v>
      </c>
      <c r="U51" s="54"/>
      <c r="V51" s="54"/>
      <c r="W51" s="54"/>
      <c r="X51" s="55"/>
      <c r="Y51" s="56"/>
      <c r="Z51" s="4"/>
      <c r="AA51" s="4"/>
      <c r="AB51" s="4"/>
      <c r="AC51" s="4"/>
      <c r="AD51" s="53" t="s">
        <v>41</v>
      </c>
      <c r="AE51" s="54"/>
      <c r="AF51" s="54"/>
      <c r="AG51" s="54"/>
      <c r="AH51" s="55"/>
      <c r="AI51" s="56"/>
      <c r="AJ51" s="4"/>
      <c r="AK51" s="4"/>
      <c r="AL51" s="4"/>
      <c r="AM51" s="4"/>
      <c r="AN51" s="53" t="s">
        <v>38</v>
      </c>
      <c r="AO51" s="54"/>
      <c r="AP51" s="54"/>
      <c r="AQ51" s="54"/>
      <c r="AR51" s="55"/>
      <c r="AS51" s="56"/>
      <c r="AT51" s="4"/>
      <c r="AU51" s="4"/>
      <c r="AV51" s="4"/>
      <c r="AW51" s="4"/>
      <c r="AX51" s="53" t="s">
        <v>200</v>
      </c>
      <c r="AY51" s="54"/>
      <c r="AZ51" s="54"/>
      <c r="BA51" s="54"/>
      <c r="BB51" s="55"/>
      <c r="BC51" s="56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57">
        <v>3</v>
      </c>
      <c r="K52" s="58"/>
      <c r="L52" s="59">
        <v>5</v>
      </c>
      <c r="M52" s="58"/>
      <c r="N52" s="59">
        <v>180</v>
      </c>
      <c r="O52" s="91"/>
      <c r="P52" s="4"/>
      <c r="Q52" s="4"/>
      <c r="R52" s="4"/>
      <c r="S52" s="4"/>
      <c r="T52" s="57">
        <v>3</v>
      </c>
      <c r="U52" s="58"/>
      <c r="V52" s="59">
        <v>5</v>
      </c>
      <c r="W52" s="58"/>
      <c r="X52" s="59">
        <v>180</v>
      </c>
      <c r="Y52" s="91"/>
      <c r="Z52" s="4"/>
      <c r="AA52" s="4"/>
      <c r="AB52" s="4"/>
      <c r="AC52" s="4"/>
      <c r="AD52" s="57">
        <v>3</v>
      </c>
      <c r="AE52" s="58"/>
      <c r="AF52" s="59">
        <v>5</v>
      </c>
      <c r="AG52" s="58"/>
      <c r="AH52" s="59">
        <v>165</v>
      </c>
      <c r="AI52" s="91"/>
      <c r="AJ52" s="4"/>
      <c r="AK52" s="4"/>
      <c r="AL52" s="4"/>
      <c r="AM52" s="4"/>
      <c r="AN52" s="57">
        <v>4</v>
      </c>
      <c r="AO52" s="58"/>
      <c r="AP52" s="59">
        <v>6</v>
      </c>
      <c r="AQ52" s="58"/>
      <c r="AR52" s="59">
        <v>195</v>
      </c>
      <c r="AS52" s="91"/>
      <c r="AT52" s="4"/>
      <c r="AU52" s="4"/>
      <c r="AV52" s="4"/>
      <c r="AW52" s="4"/>
      <c r="AX52" s="57">
        <v>3</v>
      </c>
      <c r="AY52" s="58"/>
      <c r="AZ52" s="59">
        <v>5</v>
      </c>
      <c r="BA52" s="58"/>
      <c r="BB52" s="59">
        <v>180</v>
      </c>
      <c r="BC52" s="91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J52+T52+AD52+AN52+AX52+BH52+BS52</f>
        <v>16</v>
      </c>
      <c r="F53" s="11">
        <f>L52+V52+AF52+AP52+AZ52+BJ52+BU52</f>
        <v>26</v>
      </c>
      <c r="G53" s="105"/>
      <c r="H53" s="2"/>
      <c r="I53" s="2"/>
      <c r="J53" s="92">
        <v>2</v>
      </c>
      <c r="K53" s="93"/>
      <c r="L53" s="70">
        <v>1</v>
      </c>
      <c r="M53" s="93"/>
      <c r="N53" s="70">
        <v>2</v>
      </c>
      <c r="O53" s="71"/>
      <c r="P53" s="4"/>
      <c r="Q53" s="4"/>
      <c r="R53" s="4"/>
      <c r="S53" s="4"/>
      <c r="T53" s="92">
        <v>2</v>
      </c>
      <c r="U53" s="93"/>
      <c r="V53" s="70">
        <v>1</v>
      </c>
      <c r="W53" s="93"/>
      <c r="X53" s="70">
        <v>2</v>
      </c>
      <c r="Y53" s="71"/>
      <c r="Z53" s="4"/>
      <c r="AA53" s="4"/>
      <c r="AB53" s="4"/>
      <c r="AC53" s="4"/>
      <c r="AD53" s="92">
        <v>2</v>
      </c>
      <c r="AE53" s="93"/>
      <c r="AF53" s="70">
        <v>1</v>
      </c>
      <c r="AG53" s="93"/>
      <c r="AH53" s="70">
        <v>2</v>
      </c>
      <c r="AI53" s="71"/>
      <c r="AJ53" s="4"/>
      <c r="AK53" s="4"/>
      <c r="AL53" s="4"/>
      <c r="AM53" s="4"/>
      <c r="AN53" s="92">
        <v>3</v>
      </c>
      <c r="AO53" s="93"/>
      <c r="AP53" s="70">
        <v>3</v>
      </c>
      <c r="AQ53" s="93"/>
      <c r="AR53" s="70">
        <v>0</v>
      </c>
      <c r="AS53" s="71"/>
      <c r="AT53" s="4"/>
      <c r="AU53" s="4"/>
      <c r="AV53" s="4"/>
      <c r="AW53" s="4"/>
      <c r="AX53" s="92">
        <v>2</v>
      </c>
      <c r="AY53" s="93"/>
      <c r="AZ53" s="70">
        <v>1</v>
      </c>
      <c r="BA53" s="93"/>
      <c r="BB53" s="70">
        <v>2</v>
      </c>
      <c r="BC53" s="71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2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167</v>
      </c>
      <c r="K60" s="25"/>
      <c r="L60" s="26"/>
      <c r="M60" s="38">
        <v>432</v>
      </c>
      <c r="N60" s="39"/>
      <c r="O60" s="40"/>
      <c r="P60" s="4"/>
      <c r="Q60" s="4"/>
      <c r="R60" s="4"/>
      <c r="S60" s="4"/>
      <c r="T60" s="24" t="s">
        <v>48</v>
      </c>
      <c r="U60" s="25"/>
      <c r="V60" s="26"/>
      <c r="W60" s="38">
        <v>323</v>
      </c>
      <c r="X60" s="39"/>
      <c r="Y60" s="40"/>
      <c r="Z60" s="4"/>
      <c r="AA60" s="4"/>
      <c r="AB60" s="4"/>
      <c r="AC60" s="4"/>
      <c r="AD60" s="24" t="s">
        <v>48</v>
      </c>
      <c r="AE60" s="25"/>
      <c r="AF60" s="26"/>
      <c r="AG60" s="38">
        <v>241</v>
      </c>
      <c r="AH60" s="102"/>
      <c r="AI60" s="103"/>
      <c r="AJ60" s="4"/>
      <c r="AK60" s="4"/>
      <c r="AL60" s="4"/>
      <c r="AM60" s="4"/>
      <c r="AN60" s="24" t="s">
        <v>19</v>
      </c>
      <c r="AO60" s="25"/>
      <c r="AP60" s="26"/>
      <c r="AQ60" s="38">
        <v>344</v>
      </c>
      <c r="AR60" s="39"/>
      <c r="AS60" s="40"/>
      <c r="AT60" s="4"/>
      <c r="AU60" s="4"/>
      <c r="AV60" s="4"/>
      <c r="AW60" s="4"/>
      <c r="AX60" s="24" t="s">
        <v>19</v>
      </c>
      <c r="AY60" s="25"/>
      <c r="AZ60" s="26"/>
      <c r="BA60" s="38">
        <v>363</v>
      </c>
      <c r="BB60" s="102"/>
      <c r="BC60" s="103"/>
      <c r="BD60" s="4"/>
      <c r="BE60" s="4"/>
      <c r="BF60" s="4"/>
      <c r="BG60" s="4"/>
      <c r="BH60" s="24" t="s">
        <v>131</v>
      </c>
      <c r="BI60" s="25"/>
      <c r="BJ60" s="26"/>
      <c r="BK60" s="38" t="s">
        <v>109</v>
      </c>
      <c r="BL60" s="39"/>
      <c r="BM60" s="40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960</v>
      </c>
      <c r="H61" s="2"/>
      <c r="I61" s="2"/>
      <c r="J61" s="30" t="s">
        <v>27</v>
      </c>
      <c r="K61" s="31"/>
      <c r="L61" s="31"/>
      <c r="M61" s="31"/>
      <c r="N61" s="32"/>
      <c r="O61" s="33"/>
      <c r="P61" s="4"/>
      <c r="Q61" s="4"/>
      <c r="R61" s="4"/>
      <c r="S61" s="4"/>
      <c r="T61" s="146" t="s">
        <v>225</v>
      </c>
      <c r="U61" s="147"/>
      <c r="V61" s="147"/>
      <c r="W61" s="147"/>
      <c r="X61" s="148"/>
      <c r="Y61" s="149"/>
      <c r="Z61" s="4"/>
      <c r="AA61" s="4"/>
      <c r="AB61" s="4"/>
      <c r="AC61" s="4"/>
      <c r="AD61" s="146" t="s">
        <v>224</v>
      </c>
      <c r="AE61" s="147"/>
      <c r="AF61" s="147"/>
      <c r="AG61" s="147"/>
      <c r="AH61" s="148"/>
      <c r="AI61" s="149"/>
      <c r="AJ61" s="4"/>
      <c r="AK61" s="4"/>
      <c r="AL61" s="4"/>
      <c r="AM61" s="4"/>
      <c r="AN61" s="53" t="s">
        <v>204</v>
      </c>
      <c r="AO61" s="54"/>
      <c r="AP61" s="54"/>
      <c r="AQ61" s="54"/>
      <c r="AR61" s="55"/>
      <c r="AS61" s="56"/>
      <c r="AT61" s="4"/>
      <c r="AU61" s="4"/>
      <c r="AV61" s="4"/>
      <c r="AW61" s="4"/>
      <c r="AX61" s="53" t="s">
        <v>72</v>
      </c>
      <c r="AY61" s="54"/>
      <c r="AZ61" s="54"/>
      <c r="BA61" s="54"/>
      <c r="BB61" s="55"/>
      <c r="BC61" s="56"/>
      <c r="BD61" s="4"/>
      <c r="BE61" s="4"/>
      <c r="BF61" s="4"/>
      <c r="BG61" s="4"/>
      <c r="BH61" s="114" t="s">
        <v>20</v>
      </c>
      <c r="BI61" s="115"/>
      <c r="BJ61" s="115"/>
      <c r="BK61" s="115"/>
      <c r="BL61" s="116"/>
      <c r="BM61" s="117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34">
        <v>3</v>
      </c>
      <c r="K62" s="35"/>
      <c r="L62" s="36">
        <v>4</v>
      </c>
      <c r="M62" s="35"/>
      <c r="N62" s="36">
        <v>150</v>
      </c>
      <c r="O62" s="37"/>
      <c r="P62" s="4"/>
      <c r="Q62" s="4"/>
      <c r="R62" s="4"/>
      <c r="S62" s="4"/>
      <c r="T62" s="138">
        <v>3</v>
      </c>
      <c r="U62" s="139"/>
      <c r="V62" s="140">
        <v>5</v>
      </c>
      <c r="W62" s="139"/>
      <c r="X62" s="140">
        <v>180</v>
      </c>
      <c r="Y62" s="141"/>
      <c r="Z62" s="4"/>
      <c r="AA62" s="4"/>
      <c r="AB62" s="4"/>
      <c r="AC62" s="4"/>
      <c r="AD62" s="138">
        <v>3</v>
      </c>
      <c r="AE62" s="139"/>
      <c r="AF62" s="140">
        <v>5</v>
      </c>
      <c r="AG62" s="139"/>
      <c r="AH62" s="140">
        <v>180</v>
      </c>
      <c r="AI62" s="141"/>
      <c r="AJ62" s="4"/>
      <c r="AK62" s="4"/>
      <c r="AL62" s="4"/>
      <c r="AM62" s="4"/>
      <c r="AN62" s="57">
        <v>3</v>
      </c>
      <c r="AO62" s="58"/>
      <c r="AP62" s="59">
        <v>5</v>
      </c>
      <c r="AQ62" s="58"/>
      <c r="AR62" s="59">
        <v>180</v>
      </c>
      <c r="AS62" s="91"/>
      <c r="AT62" s="4"/>
      <c r="AU62" s="4"/>
      <c r="AV62" s="4"/>
      <c r="AW62" s="4"/>
      <c r="AX62" s="57">
        <v>3</v>
      </c>
      <c r="AY62" s="58"/>
      <c r="AZ62" s="59">
        <v>5</v>
      </c>
      <c r="BA62" s="58"/>
      <c r="BB62" s="59">
        <v>180</v>
      </c>
      <c r="BC62" s="91"/>
      <c r="BD62" s="4"/>
      <c r="BE62" s="4"/>
      <c r="BF62" s="4"/>
      <c r="BG62" s="4"/>
      <c r="BH62" s="110">
        <v>2</v>
      </c>
      <c r="BI62" s="111"/>
      <c r="BJ62" s="108">
        <v>2</v>
      </c>
      <c r="BK62" s="111"/>
      <c r="BL62" s="108">
        <v>90</v>
      </c>
      <c r="BM62" s="109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17</v>
      </c>
      <c r="F63" s="11">
        <f>SUM(J63:BM63)</f>
        <v>26</v>
      </c>
      <c r="G63" s="105"/>
      <c r="H63" s="2"/>
      <c r="I63" s="2"/>
      <c r="J63" s="20">
        <v>2</v>
      </c>
      <c r="K63" s="21"/>
      <c r="L63" s="22">
        <v>1</v>
      </c>
      <c r="M63" s="21"/>
      <c r="N63" s="22">
        <v>1</v>
      </c>
      <c r="O63" s="23"/>
      <c r="P63" s="4"/>
      <c r="Q63" s="4"/>
      <c r="R63" s="4"/>
      <c r="S63" s="4"/>
      <c r="T63" s="142">
        <v>2</v>
      </c>
      <c r="U63" s="143"/>
      <c r="V63" s="144">
        <v>1</v>
      </c>
      <c r="W63" s="143"/>
      <c r="X63" s="144">
        <v>2</v>
      </c>
      <c r="Y63" s="145"/>
      <c r="Z63" s="4"/>
      <c r="AA63" s="4"/>
      <c r="AB63" s="4"/>
      <c r="AC63" s="4"/>
      <c r="AD63" s="142">
        <v>2</v>
      </c>
      <c r="AE63" s="143"/>
      <c r="AF63" s="144">
        <v>1</v>
      </c>
      <c r="AG63" s="143"/>
      <c r="AH63" s="144">
        <v>2</v>
      </c>
      <c r="AI63" s="145"/>
      <c r="AJ63" s="4"/>
      <c r="AK63" s="4"/>
      <c r="AL63" s="4"/>
      <c r="AM63" s="4"/>
      <c r="AN63" s="92">
        <v>2</v>
      </c>
      <c r="AO63" s="93"/>
      <c r="AP63" s="70">
        <v>1</v>
      </c>
      <c r="AQ63" s="93"/>
      <c r="AR63" s="70">
        <v>2</v>
      </c>
      <c r="AS63" s="71"/>
      <c r="AT63" s="4"/>
      <c r="AU63" s="4"/>
      <c r="AV63" s="4"/>
      <c r="AW63" s="4"/>
      <c r="AX63" s="92">
        <v>2</v>
      </c>
      <c r="AY63" s="93"/>
      <c r="AZ63" s="70">
        <v>1</v>
      </c>
      <c r="BA63" s="93"/>
      <c r="BB63" s="70">
        <v>2</v>
      </c>
      <c r="BC63" s="71"/>
      <c r="BD63" s="4"/>
      <c r="BE63" s="4"/>
      <c r="BF63" s="4"/>
      <c r="BG63" s="4"/>
      <c r="BH63" s="112">
        <v>2</v>
      </c>
      <c r="BI63" s="113"/>
      <c r="BJ63" s="106">
        <v>0</v>
      </c>
      <c r="BK63" s="113"/>
      <c r="BL63" s="106">
        <v>0</v>
      </c>
      <c r="BM63" s="107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ht="14.55" customHeight="1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19</v>
      </c>
      <c r="K68" s="25"/>
      <c r="L68" s="26"/>
      <c r="M68" s="38">
        <v>383</v>
      </c>
      <c r="N68" s="102"/>
      <c r="O68" s="103"/>
      <c r="P68" s="4"/>
      <c r="Q68" s="4"/>
      <c r="R68" s="4"/>
      <c r="S68" s="4"/>
      <c r="T68" s="24" t="s">
        <v>48</v>
      </c>
      <c r="U68" s="25"/>
      <c r="V68" s="26"/>
      <c r="W68" s="38">
        <v>212</v>
      </c>
      <c r="X68" s="102"/>
      <c r="Y68" s="103"/>
      <c r="Z68" s="4"/>
      <c r="AA68" s="4"/>
      <c r="AB68" s="4"/>
      <c r="AC68" s="4"/>
      <c r="AD68" s="24" t="s">
        <v>48</v>
      </c>
      <c r="AE68" s="25"/>
      <c r="AF68" s="26"/>
      <c r="AG68" s="38">
        <v>213</v>
      </c>
      <c r="AH68" s="102"/>
      <c r="AI68" s="103"/>
      <c r="AJ68" s="4"/>
      <c r="AK68" s="4"/>
      <c r="AL68" s="4"/>
      <c r="AM68" s="4"/>
      <c r="AN68" s="24" t="s">
        <v>48</v>
      </c>
      <c r="AO68" s="25"/>
      <c r="AP68" s="26"/>
      <c r="AQ68" s="38">
        <v>231</v>
      </c>
      <c r="AR68" s="102"/>
      <c r="AS68" s="103"/>
      <c r="AT68" s="4"/>
      <c r="AU68" s="4"/>
      <c r="AV68" s="4"/>
      <c r="AW68" s="4"/>
      <c r="AX68" s="24" t="s">
        <v>48</v>
      </c>
      <c r="AY68" s="25"/>
      <c r="AZ68" s="26"/>
      <c r="BA68" s="38">
        <v>392</v>
      </c>
      <c r="BB68" s="39"/>
      <c r="BC68" s="40"/>
      <c r="BD68" s="4"/>
      <c r="BE68" s="4"/>
      <c r="BF68" s="4"/>
      <c r="BG68" s="4"/>
      <c r="BH68" s="24" t="s">
        <v>135</v>
      </c>
      <c r="BI68" s="25"/>
      <c r="BJ68" s="26"/>
      <c r="BK68" s="38" t="s">
        <v>111</v>
      </c>
      <c r="BL68" s="39"/>
      <c r="BM68" s="40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870</v>
      </c>
      <c r="H69" s="2"/>
      <c r="I69" s="2"/>
      <c r="J69" s="94" t="s">
        <v>226</v>
      </c>
      <c r="K69" s="95"/>
      <c r="L69" s="95"/>
      <c r="M69" s="95"/>
      <c r="N69" s="96"/>
      <c r="O69" s="97"/>
      <c r="P69" s="4"/>
      <c r="Q69" s="4"/>
      <c r="R69" s="4"/>
      <c r="S69" s="4"/>
      <c r="T69" s="146" t="s">
        <v>227</v>
      </c>
      <c r="U69" s="147"/>
      <c r="V69" s="147"/>
      <c r="W69" s="147"/>
      <c r="X69" s="148"/>
      <c r="Y69" s="149"/>
      <c r="Z69" s="4"/>
      <c r="AA69" s="4"/>
      <c r="AB69" s="4"/>
      <c r="AC69" s="4"/>
      <c r="AD69" s="146" t="s">
        <v>228</v>
      </c>
      <c r="AE69" s="147"/>
      <c r="AF69" s="147"/>
      <c r="AG69" s="147"/>
      <c r="AH69" s="148"/>
      <c r="AI69" s="149"/>
      <c r="AJ69" s="4"/>
      <c r="AK69" s="4"/>
      <c r="AL69" s="4"/>
      <c r="AM69" s="4"/>
      <c r="AN69" s="146" t="s">
        <v>229</v>
      </c>
      <c r="AO69" s="147"/>
      <c r="AP69" s="147"/>
      <c r="AQ69" s="147"/>
      <c r="AR69" s="148"/>
      <c r="AS69" s="149"/>
      <c r="AT69" s="4"/>
      <c r="AU69" s="4"/>
      <c r="AV69" s="4"/>
      <c r="AW69" s="4"/>
      <c r="AX69" s="41" t="s">
        <v>230</v>
      </c>
      <c r="AY69" s="42"/>
      <c r="AZ69" s="42"/>
      <c r="BA69" s="42"/>
      <c r="BB69" s="43"/>
      <c r="BC69" s="44"/>
      <c r="BD69" s="4"/>
      <c r="BE69" s="4"/>
      <c r="BF69" s="4"/>
      <c r="BG69" s="4"/>
      <c r="BH69" s="114" t="s">
        <v>134</v>
      </c>
      <c r="BI69" s="115"/>
      <c r="BJ69" s="115"/>
      <c r="BK69" s="115"/>
      <c r="BL69" s="116"/>
      <c r="BM69" s="117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98">
        <v>3</v>
      </c>
      <c r="K70" s="99"/>
      <c r="L70" s="100">
        <v>5</v>
      </c>
      <c r="M70" s="99"/>
      <c r="N70" s="100">
        <v>180</v>
      </c>
      <c r="O70" s="101"/>
      <c r="P70" s="4"/>
      <c r="Q70" s="4"/>
      <c r="R70" s="4"/>
      <c r="S70" s="4"/>
      <c r="T70" s="138">
        <v>3</v>
      </c>
      <c r="U70" s="139"/>
      <c r="V70" s="140">
        <v>5</v>
      </c>
      <c r="W70" s="139"/>
      <c r="X70" s="140">
        <v>180</v>
      </c>
      <c r="Y70" s="141"/>
      <c r="Z70" s="4"/>
      <c r="AA70" s="4"/>
      <c r="AB70" s="4"/>
      <c r="AC70" s="4"/>
      <c r="AD70" s="138">
        <v>3</v>
      </c>
      <c r="AE70" s="139"/>
      <c r="AF70" s="140">
        <v>6</v>
      </c>
      <c r="AG70" s="139"/>
      <c r="AH70" s="140">
        <v>180</v>
      </c>
      <c r="AI70" s="141"/>
      <c r="AJ70" s="4"/>
      <c r="AK70" s="4"/>
      <c r="AL70" s="4"/>
      <c r="AM70" s="4"/>
      <c r="AN70" s="138">
        <v>3</v>
      </c>
      <c r="AO70" s="139"/>
      <c r="AP70" s="140">
        <v>5</v>
      </c>
      <c r="AQ70" s="139"/>
      <c r="AR70" s="140">
        <v>180</v>
      </c>
      <c r="AS70" s="141"/>
      <c r="AT70" s="4"/>
      <c r="AU70" s="4"/>
      <c r="AV70" s="4"/>
      <c r="AW70" s="4"/>
      <c r="AX70" s="45">
        <v>2</v>
      </c>
      <c r="AY70" s="46"/>
      <c r="AZ70" s="47">
        <v>2</v>
      </c>
      <c r="BA70" s="46"/>
      <c r="BB70" s="47">
        <v>60</v>
      </c>
      <c r="BC70" s="48"/>
      <c r="BD70" s="4"/>
      <c r="BE70" s="4"/>
      <c r="BF70" s="4"/>
      <c r="BG70" s="4"/>
      <c r="BH70" s="110">
        <v>2</v>
      </c>
      <c r="BI70" s="111"/>
      <c r="BJ70" s="108">
        <v>2</v>
      </c>
      <c r="BK70" s="111"/>
      <c r="BL70" s="108">
        <v>90</v>
      </c>
      <c r="BM70" s="109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SUM(J70,T70,AD70,AN70,AX70,BH70)</f>
        <v>16</v>
      </c>
      <c r="F71" s="11">
        <f>L70+V70+AF70+AP70+AZ70+BJ70</f>
        <v>25</v>
      </c>
      <c r="G71" s="105"/>
      <c r="H71" s="2"/>
      <c r="I71" s="2"/>
      <c r="J71" s="72">
        <v>2</v>
      </c>
      <c r="K71" s="73"/>
      <c r="L71" s="68">
        <v>1</v>
      </c>
      <c r="M71" s="73"/>
      <c r="N71" s="68">
        <v>2</v>
      </c>
      <c r="O71" s="69"/>
      <c r="P71" s="4"/>
      <c r="Q71" s="4"/>
      <c r="R71" s="4"/>
      <c r="S71" s="4"/>
      <c r="T71" s="142">
        <v>2</v>
      </c>
      <c r="U71" s="143"/>
      <c r="V71" s="144">
        <v>1</v>
      </c>
      <c r="W71" s="143"/>
      <c r="X71" s="144">
        <v>2</v>
      </c>
      <c r="Y71" s="145"/>
      <c r="Z71" s="4"/>
      <c r="AA71" s="4"/>
      <c r="AB71" s="4"/>
      <c r="AC71" s="4"/>
      <c r="AD71" s="142">
        <v>3</v>
      </c>
      <c r="AE71" s="143"/>
      <c r="AF71" s="144">
        <v>3</v>
      </c>
      <c r="AG71" s="143"/>
      <c r="AH71" s="144">
        <v>0</v>
      </c>
      <c r="AI71" s="145"/>
      <c r="AJ71" s="4"/>
      <c r="AK71" s="4"/>
      <c r="AL71" s="4"/>
      <c r="AM71" s="4"/>
      <c r="AN71" s="142">
        <v>2</v>
      </c>
      <c r="AO71" s="143"/>
      <c r="AP71" s="144">
        <v>1</v>
      </c>
      <c r="AQ71" s="143"/>
      <c r="AR71" s="144">
        <v>2</v>
      </c>
      <c r="AS71" s="145"/>
      <c r="AT71" s="4"/>
      <c r="AU71" s="4"/>
      <c r="AV71" s="4"/>
      <c r="AW71" s="4"/>
      <c r="AX71" s="49">
        <v>2</v>
      </c>
      <c r="AY71" s="50"/>
      <c r="AZ71" s="51">
        <v>0</v>
      </c>
      <c r="BA71" s="50"/>
      <c r="BB71" s="51">
        <v>0</v>
      </c>
      <c r="BC71" s="52"/>
      <c r="BD71" s="4"/>
      <c r="BE71" s="4"/>
      <c r="BF71" s="4"/>
      <c r="BG71" s="4"/>
      <c r="BH71" s="112">
        <v>2</v>
      </c>
      <c r="BI71" s="113"/>
      <c r="BJ71" s="106">
        <v>0</v>
      </c>
      <c r="BK71" s="113"/>
      <c r="BL71" s="106">
        <v>0</v>
      </c>
      <c r="BM71" s="107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x14ac:dyDescent="0.3"/>
    <row r="77" spans="2:135" ht="10.050000000000001" customHeight="1" thickBot="1" x14ac:dyDescent="0.35">
      <c r="B77" s="118" t="s">
        <v>1</v>
      </c>
      <c r="C77" s="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2:135" ht="15" customHeight="1" x14ac:dyDescent="0.3">
      <c r="B78" s="118"/>
      <c r="C78" s="1"/>
      <c r="D78" s="119" t="s">
        <v>5</v>
      </c>
      <c r="E78" s="11"/>
      <c r="F78" s="11"/>
      <c r="G78" s="2"/>
      <c r="H78" s="2"/>
      <c r="I78" s="2"/>
      <c r="J78" s="24" t="s">
        <v>252</v>
      </c>
      <c r="K78" s="25"/>
      <c r="L78" s="26"/>
      <c r="M78" s="38" t="s">
        <v>111</v>
      </c>
      <c r="N78" s="39"/>
      <c r="O78" s="40"/>
      <c r="P78" s="4"/>
      <c r="Q78" s="4"/>
      <c r="R78" s="4"/>
      <c r="S78" s="4"/>
      <c r="T78" s="24" t="s">
        <v>254</v>
      </c>
      <c r="U78" s="25"/>
      <c r="V78" s="26"/>
      <c r="W78" s="38" t="s">
        <v>111</v>
      </c>
      <c r="X78" s="39"/>
      <c r="Y78" s="40"/>
      <c r="Z78" s="4"/>
      <c r="AA78" s="4"/>
      <c r="AB78" s="4"/>
      <c r="AC78" s="4"/>
      <c r="AD78" s="24" t="s">
        <v>48</v>
      </c>
      <c r="AE78" s="25"/>
      <c r="AF78" s="26"/>
      <c r="AG78" s="38">
        <v>351</v>
      </c>
      <c r="AH78" s="102"/>
      <c r="AI78" s="103"/>
      <c r="AJ78" s="4"/>
      <c r="AK78" s="4"/>
      <c r="AL78" s="4"/>
      <c r="AM78" s="4"/>
      <c r="AN78" s="24" t="s">
        <v>48</v>
      </c>
      <c r="AO78" s="25"/>
      <c r="AP78" s="26"/>
      <c r="AQ78" s="38">
        <v>493</v>
      </c>
      <c r="AR78" s="102"/>
      <c r="AS78" s="103"/>
      <c r="AT78" s="4"/>
      <c r="AU78" s="4"/>
      <c r="AV78" s="4"/>
      <c r="AW78" s="4"/>
      <c r="AX78" s="24" t="s">
        <v>141</v>
      </c>
      <c r="AY78" s="25"/>
      <c r="AZ78" s="26"/>
      <c r="BA78" s="38" t="s">
        <v>111</v>
      </c>
      <c r="BB78" s="39"/>
      <c r="BC78" s="40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79" s="118"/>
      <c r="C79" s="1"/>
      <c r="D79" s="119"/>
      <c r="E79" s="120" t="s">
        <v>16</v>
      </c>
      <c r="F79" s="120" t="s">
        <v>17</v>
      </c>
      <c r="G79" s="13">
        <f>SUM(N80,X80,AH80,AR80,BB80,BL98,BL80)</f>
        <v>810</v>
      </c>
      <c r="H79" s="2"/>
      <c r="I79" s="2"/>
      <c r="J79" s="76" t="s">
        <v>140</v>
      </c>
      <c r="K79" s="77"/>
      <c r="L79" s="77"/>
      <c r="M79" s="77"/>
      <c r="N79" s="77"/>
      <c r="O79" s="78"/>
      <c r="P79" s="4"/>
      <c r="Q79" s="4"/>
      <c r="R79" s="4"/>
      <c r="S79" s="4"/>
      <c r="T79" s="76" t="s">
        <v>143</v>
      </c>
      <c r="U79" s="77"/>
      <c r="V79" s="77"/>
      <c r="W79" s="77"/>
      <c r="X79" s="77"/>
      <c r="Y79" s="78"/>
      <c r="Z79" s="4"/>
      <c r="AA79" s="4"/>
      <c r="AB79" s="4"/>
      <c r="AC79" s="4"/>
      <c r="AD79" s="146" t="s">
        <v>232</v>
      </c>
      <c r="AE79" s="147"/>
      <c r="AF79" s="147"/>
      <c r="AG79" s="147"/>
      <c r="AH79" s="148"/>
      <c r="AI79" s="149"/>
      <c r="AJ79" s="4"/>
      <c r="AK79" s="4"/>
      <c r="AL79" s="4"/>
      <c r="AM79" s="4"/>
      <c r="AN79" s="87" t="s">
        <v>63</v>
      </c>
      <c r="AO79" s="88"/>
      <c r="AP79" s="88"/>
      <c r="AQ79" s="88"/>
      <c r="AR79" s="88"/>
      <c r="AS79" s="89"/>
      <c r="AT79" s="4"/>
      <c r="AU79" s="4"/>
      <c r="AV79" s="4"/>
      <c r="AW79" s="4"/>
      <c r="AX79" s="114" t="s">
        <v>142</v>
      </c>
      <c r="AY79" s="115"/>
      <c r="AZ79" s="115"/>
      <c r="BA79" s="115"/>
      <c r="BB79" s="116"/>
      <c r="BC79" s="117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80" s="118"/>
      <c r="C80" s="1"/>
      <c r="D80" s="119"/>
      <c r="E80" s="120"/>
      <c r="F80" s="120"/>
      <c r="G80" s="105"/>
      <c r="H80" s="121"/>
      <c r="I80" s="122"/>
      <c r="J80" s="79">
        <v>3</v>
      </c>
      <c r="K80" s="80"/>
      <c r="L80" s="81">
        <v>5</v>
      </c>
      <c r="M80" s="80"/>
      <c r="N80" s="81">
        <v>180</v>
      </c>
      <c r="O80" s="82"/>
      <c r="P80" s="4"/>
      <c r="Q80" s="4"/>
      <c r="R80" s="4"/>
      <c r="S80" s="4"/>
      <c r="T80" s="79">
        <v>3</v>
      </c>
      <c r="U80" s="80"/>
      <c r="V80" s="81">
        <v>5</v>
      </c>
      <c r="W80" s="80"/>
      <c r="X80" s="81">
        <v>180</v>
      </c>
      <c r="Y80" s="82"/>
      <c r="Z80" s="4"/>
      <c r="AA80" s="4"/>
      <c r="AB80" s="4"/>
      <c r="AC80" s="4"/>
      <c r="AD80" s="138">
        <v>3</v>
      </c>
      <c r="AE80" s="139"/>
      <c r="AF80" s="140">
        <v>5</v>
      </c>
      <c r="AG80" s="139"/>
      <c r="AH80" s="140">
        <v>180</v>
      </c>
      <c r="AI80" s="141"/>
      <c r="AJ80" s="4"/>
      <c r="AK80" s="4"/>
      <c r="AL80" s="4"/>
      <c r="AM80" s="4"/>
      <c r="AN80" s="45">
        <v>3</v>
      </c>
      <c r="AO80" s="46"/>
      <c r="AP80" s="47">
        <v>5</v>
      </c>
      <c r="AQ80" s="46"/>
      <c r="AR80" s="47">
        <v>180</v>
      </c>
      <c r="AS80" s="48"/>
      <c r="AT80" s="4"/>
      <c r="AU80" s="4"/>
      <c r="AV80" s="4"/>
      <c r="AW80" s="4"/>
      <c r="AX80" s="110">
        <v>2</v>
      </c>
      <c r="AY80" s="111"/>
      <c r="AZ80" s="108">
        <v>2</v>
      </c>
      <c r="BA80" s="111"/>
      <c r="BB80" s="108">
        <v>90</v>
      </c>
      <c r="BC80" s="109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2:135" ht="15" thickBot="1" x14ac:dyDescent="0.35">
      <c r="B81" s="118"/>
      <c r="C81" s="1"/>
      <c r="D81" s="119"/>
      <c r="E81" s="11">
        <f>SUM(J80,T80,AD80,AN80,AX80,BH80)</f>
        <v>14</v>
      </c>
      <c r="F81" s="11">
        <f>SUM(J81:BM81)</f>
        <v>22</v>
      </c>
      <c r="G81" s="105"/>
      <c r="H81" s="2"/>
      <c r="I81" s="2"/>
      <c r="J81" s="83">
        <v>2</v>
      </c>
      <c r="K81" s="84"/>
      <c r="L81" s="85">
        <v>1</v>
      </c>
      <c r="M81" s="84"/>
      <c r="N81" s="85">
        <v>2</v>
      </c>
      <c r="O81" s="86"/>
      <c r="P81" s="4"/>
      <c r="Q81" s="4"/>
      <c r="R81" s="4"/>
      <c r="S81" s="4"/>
      <c r="T81" s="83">
        <v>2</v>
      </c>
      <c r="U81" s="84"/>
      <c r="V81" s="85">
        <v>1</v>
      </c>
      <c r="W81" s="84"/>
      <c r="X81" s="85">
        <v>2</v>
      </c>
      <c r="Y81" s="86"/>
      <c r="Z81" s="4"/>
      <c r="AA81" s="4"/>
      <c r="AB81" s="4"/>
      <c r="AC81" s="4"/>
      <c r="AD81" s="142">
        <v>2</v>
      </c>
      <c r="AE81" s="143"/>
      <c r="AF81" s="144">
        <v>1</v>
      </c>
      <c r="AG81" s="143"/>
      <c r="AH81" s="144">
        <v>2</v>
      </c>
      <c r="AI81" s="145"/>
      <c r="AJ81" s="4"/>
      <c r="AK81" s="4"/>
      <c r="AL81" s="4"/>
      <c r="AM81" s="4"/>
      <c r="AN81" s="49">
        <v>2</v>
      </c>
      <c r="AO81" s="50"/>
      <c r="AP81" s="51">
        <v>0</v>
      </c>
      <c r="AQ81" s="50"/>
      <c r="AR81" s="51">
        <v>3</v>
      </c>
      <c r="AS81" s="52"/>
      <c r="AT81" s="4"/>
      <c r="AU81" s="4"/>
      <c r="AV81" s="4"/>
      <c r="AW81" s="4"/>
      <c r="AX81" s="112">
        <v>2</v>
      </c>
      <c r="AY81" s="113"/>
      <c r="AZ81" s="106">
        <v>0</v>
      </c>
      <c r="BA81" s="113"/>
      <c r="BB81" s="106">
        <v>0</v>
      </c>
      <c r="BC81" s="107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2:135" ht="10.050000000000001" customHeight="1" x14ac:dyDescent="0.3">
      <c r="B82" s="118"/>
      <c r="C82" s="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2:135" ht="10.050000000000001" customHeight="1" x14ac:dyDescent="0.3">
      <c r="B83" s="118"/>
      <c r="C83" s="3"/>
    </row>
    <row r="84" spans="2:135" ht="10.050000000000001" customHeight="1" x14ac:dyDescent="0.3">
      <c r="B84" s="118"/>
      <c r="C84" s="3"/>
    </row>
    <row r="85" spans="2:135" ht="10.050000000000001" customHeight="1" thickBot="1" x14ac:dyDescent="0.35">
      <c r="B85" s="118"/>
      <c r="C85" s="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2:135" ht="15" customHeight="1" x14ac:dyDescent="0.3">
      <c r="B86" s="118"/>
      <c r="C86" s="1"/>
      <c r="D86" s="119" t="s">
        <v>6</v>
      </c>
      <c r="E86" s="11"/>
      <c r="F86" s="11"/>
      <c r="G86" s="2"/>
      <c r="H86" s="2"/>
      <c r="I86" s="2"/>
      <c r="J86" s="24" t="s">
        <v>255</v>
      </c>
      <c r="K86" s="25"/>
      <c r="L86" s="26"/>
      <c r="M86" s="38" t="s">
        <v>111</v>
      </c>
      <c r="N86" s="39"/>
      <c r="O86" s="40"/>
      <c r="P86" s="4"/>
      <c r="Q86" s="4"/>
      <c r="R86" s="4"/>
      <c r="S86" s="4"/>
      <c r="T86" s="24" t="s">
        <v>256</v>
      </c>
      <c r="U86" s="25"/>
      <c r="V86" s="26"/>
      <c r="W86" s="38" t="s">
        <v>112</v>
      </c>
      <c r="X86" s="39"/>
      <c r="Y86" s="40"/>
      <c r="Z86" s="4"/>
      <c r="AA86" s="4"/>
      <c r="AB86" s="4"/>
      <c r="AC86" s="4"/>
      <c r="AD86" s="24" t="s">
        <v>48</v>
      </c>
      <c r="AE86" s="25"/>
      <c r="AF86" s="26"/>
      <c r="AG86" s="38">
        <v>332</v>
      </c>
      <c r="AH86" s="102"/>
      <c r="AI86" s="103"/>
      <c r="AJ86" s="4"/>
      <c r="AK86" s="4"/>
      <c r="AL86" s="4"/>
      <c r="AM86" s="4"/>
      <c r="AN86" s="24" t="s">
        <v>48</v>
      </c>
      <c r="AO86" s="25"/>
      <c r="AP86" s="26"/>
      <c r="AQ86" s="38">
        <v>494</v>
      </c>
      <c r="AR86" s="39"/>
      <c r="AS86" s="40"/>
      <c r="AT86" s="4"/>
      <c r="AU86" s="4"/>
      <c r="AV86" s="4"/>
      <c r="AW86" s="4"/>
      <c r="AX86" s="24" t="s">
        <v>144</v>
      </c>
      <c r="AY86" s="25"/>
      <c r="AZ86" s="26"/>
      <c r="BA86" s="38" t="s">
        <v>111</v>
      </c>
      <c r="BB86" s="39"/>
      <c r="BC86" s="40"/>
      <c r="BD86" s="4"/>
      <c r="BE86" s="4"/>
      <c r="BF86" s="4"/>
      <c r="BG86" s="4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2:135" ht="48.75" customHeight="1" x14ac:dyDescent="0.3">
      <c r="B87" s="118"/>
      <c r="C87" s="1"/>
      <c r="D87" s="119"/>
      <c r="E87" s="120" t="s">
        <v>16</v>
      </c>
      <c r="F87" s="120" t="s">
        <v>17</v>
      </c>
      <c r="G87" s="13">
        <f>SUM(N88,X88,AH88,AR88,BB88,BL106)</f>
        <v>810</v>
      </c>
      <c r="H87" s="2"/>
      <c r="I87" s="2"/>
      <c r="J87" s="76" t="s">
        <v>145</v>
      </c>
      <c r="K87" s="77"/>
      <c r="L87" s="77"/>
      <c r="M87" s="77"/>
      <c r="N87" s="77"/>
      <c r="O87" s="78"/>
      <c r="P87" s="4"/>
      <c r="Q87" s="4"/>
      <c r="R87" s="4"/>
      <c r="S87" s="4"/>
      <c r="T87" s="76" t="s">
        <v>146</v>
      </c>
      <c r="U87" s="77"/>
      <c r="V87" s="77"/>
      <c r="W87" s="77"/>
      <c r="X87" s="77"/>
      <c r="Y87" s="78"/>
      <c r="Z87" s="4"/>
      <c r="AA87" s="4"/>
      <c r="AB87" s="4"/>
      <c r="AC87" s="4"/>
      <c r="AD87" s="146" t="s">
        <v>233</v>
      </c>
      <c r="AE87" s="147"/>
      <c r="AF87" s="147"/>
      <c r="AG87" s="147"/>
      <c r="AH87" s="148"/>
      <c r="AI87" s="149"/>
      <c r="AJ87" s="4"/>
      <c r="AK87" s="4"/>
      <c r="AL87" s="4"/>
      <c r="AM87" s="4"/>
      <c r="AN87" s="87" t="s">
        <v>64</v>
      </c>
      <c r="AO87" s="88"/>
      <c r="AP87" s="88"/>
      <c r="AQ87" s="88"/>
      <c r="AR87" s="88"/>
      <c r="AS87" s="89"/>
      <c r="AT87" s="4"/>
      <c r="AU87" s="4"/>
      <c r="AV87" s="4"/>
      <c r="AW87" s="4"/>
      <c r="AX87" s="114" t="s">
        <v>106</v>
      </c>
      <c r="AY87" s="115"/>
      <c r="AZ87" s="115"/>
      <c r="BA87" s="115"/>
      <c r="BB87" s="116"/>
      <c r="BC87" s="117"/>
      <c r="BD87" s="4"/>
      <c r="BE87" s="4"/>
      <c r="BF87" s="4"/>
      <c r="BG87" s="4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2:135" x14ac:dyDescent="0.3">
      <c r="B88" s="118"/>
      <c r="C88" s="1"/>
      <c r="D88" s="119"/>
      <c r="E88" s="120"/>
      <c r="F88" s="120"/>
      <c r="G88" s="105"/>
      <c r="H88" s="121"/>
      <c r="I88" s="122"/>
      <c r="J88" s="79">
        <v>3</v>
      </c>
      <c r="K88" s="80"/>
      <c r="L88" s="81">
        <v>5</v>
      </c>
      <c r="M88" s="80"/>
      <c r="N88" s="81">
        <v>180</v>
      </c>
      <c r="O88" s="82"/>
      <c r="P88" s="4"/>
      <c r="Q88" s="4"/>
      <c r="R88" s="4"/>
      <c r="S88" s="4"/>
      <c r="T88" s="79">
        <v>3</v>
      </c>
      <c r="U88" s="80"/>
      <c r="V88" s="81">
        <v>5</v>
      </c>
      <c r="W88" s="80"/>
      <c r="X88" s="81">
        <v>180</v>
      </c>
      <c r="Y88" s="82"/>
      <c r="Z88" s="4"/>
      <c r="AA88" s="4"/>
      <c r="AB88" s="4"/>
      <c r="AC88" s="4"/>
      <c r="AD88" s="138">
        <v>3</v>
      </c>
      <c r="AE88" s="139"/>
      <c r="AF88" s="140">
        <v>5</v>
      </c>
      <c r="AG88" s="139"/>
      <c r="AH88" s="140">
        <v>180</v>
      </c>
      <c r="AI88" s="141"/>
      <c r="AJ88" s="4"/>
      <c r="AK88" s="4"/>
      <c r="AL88" s="4"/>
      <c r="AM88" s="4"/>
      <c r="AN88" s="45">
        <v>3</v>
      </c>
      <c r="AO88" s="46"/>
      <c r="AP88" s="47">
        <v>5</v>
      </c>
      <c r="AQ88" s="46"/>
      <c r="AR88" s="47">
        <v>180</v>
      </c>
      <c r="AS88" s="48"/>
      <c r="AT88" s="4"/>
      <c r="AU88" s="4"/>
      <c r="AV88" s="4"/>
      <c r="AW88" s="4"/>
      <c r="AX88" s="110">
        <v>2</v>
      </c>
      <c r="AY88" s="111"/>
      <c r="AZ88" s="108">
        <v>2</v>
      </c>
      <c r="BA88" s="111"/>
      <c r="BB88" s="108">
        <v>90</v>
      </c>
      <c r="BC88" s="109"/>
      <c r="BD88" s="4"/>
      <c r="BE88" s="4"/>
      <c r="BF88" s="4"/>
      <c r="BG88" s="4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2:135" ht="15" thickBot="1" x14ac:dyDescent="0.35">
      <c r="B89" s="118"/>
      <c r="C89" s="1"/>
      <c r="D89" s="119"/>
      <c r="E89" s="11">
        <f>SUM(J88,T88,AD88,AN88,AX88)</f>
        <v>14</v>
      </c>
      <c r="F89" s="11">
        <f>SUM(J89:BC89)</f>
        <v>22</v>
      </c>
      <c r="G89" s="105"/>
      <c r="H89" s="2"/>
      <c r="I89" s="2"/>
      <c r="J89" s="83">
        <v>2</v>
      </c>
      <c r="K89" s="84"/>
      <c r="L89" s="85">
        <v>1</v>
      </c>
      <c r="M89" s="84"/>
      <c r="N89" s="85">
        <v>2</v>
      </c>
      <c r="O89" s="86"/>
      <c r="P89" s="4"/>
      <c r="Q89" s="4"/>
      <c r="R89" s="4"/>
      <c r="S89" s="4"/>
      <c r="T89" s="83">
        <v>2</v>
      </c>
      <c r="U89" s="84"/>
      <c r="V89" s="85">
        <v>1</v>
      </c>
      <c r="W89" s="84"/>
      <c r="X89" s="85">
        <v>2</v>
      </c>
      <c r="Y89" s="86"/>
      <c r="Z89" s="4"/>
      <c r="AA89" s="4"/>
      <c r="AB89" s="4"/>
      <c r="AC89" s="4"/>
      <c r="AD89" s="142">
        <v>2</v>
      </c>
      <c r="AE89" s="143"/>
      <c r="AF89" s="144">
        <v>1</v>
      </c>
      <c r="AG89" s="143"/>
      <c r="AH89" s="144">
        <v>2</v>
      </c>
      <c r="AI89" s="145"/>
      <c r="AJ89" s="4"/>
      <c r="AK89" s="4"/>
      <c r="AL89" s="4"/>
      <c r="AM89" s="4"/>
      <c r="AN89" s="49">
        <v>2</v>
      </c>
      <c r="AO89" s="50"/>
      <c r="AP89" s="51">
        <v>0</v>
      </c>
      <c r="AQ89" s="50"/>
      <c r="AR89" s="51">
        <v>3</v>
      </c>
      <c r="AS89" s="52"/>
      <c r="AT89" s="4"/>
      <c r="AU89" s="4"/>
      <c r="AV89" s="4"/>
      <c r="AW89" s="4"/>
      <c r="AX89" s="112">
        <v>2</v>
      </c>
      <c r="AY89" s="113"/>
      <c r="AZ89" s="106">
        <v>0</v>
      </c>
      <c r="BA89" s="113"/>
      <c r="BB89" s="106">
        <v>0</v>
      </c>
      <c r="BC89" s="107"/>
      <c r="BD89" s="4"/>
      <c r="BE89" s="4"/>
      <c r="BF89" s="4"/>
      <c r="BG89" s="4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2:135" ht="10.050000000000001" customHeight="1" x14ac:dyDescent="0.3">
      <c r="B90" s="118"/>
      <c r="C90" s="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2:135" ht="10.050000000000001" customHeight="1" x14ac:dyDescent="0.3"/>
    <row r="92" spans="2:135" ht="10.050000000000001" customHeight="1" x14ac:dyDescent="0.3"/>
    <row r="93" spans="2:135" ht="10.050000000000001" customHeight="1" x14ac:dyDescent="0.3"/>
    <row r="94" spans="2:135" ht="15" thickBot="1" x14ac:dyDescent="0.35"/>
    <row r="95" spans="2:135" ht="15.6" customHeight="1" thickTop="1" thickBot="1" x14ac:dyDescent="0.35">
      <c r="BI95" s="63" t="s">
        <v>15</v>
      </c>
      <c r="BJ95" s="150" t="s">
        <v>65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6"/>
    </row>
    <row r="96" spans="2:135" ht="14.55" customHeight="1" x14ac:dyDescent="0.3">
      <c r="BI96" s="64"/>
      <c r="BJ96" s="137"/>
      <c r="BK96" s="17"/>
      <c r="BL96" s="16"/>
      <c r="BR96" s="123" t="s">
        <v>7</v>
      </c>
      <c r="BS96" s="124"/>
      <c r="BT96" s="124"/>
      <c r="BU96" s="124"/>
      <c r="BV96" s="125"/>
      <c r="BW96" s="126"/>
      <c r="CA96" s="8"/>
    </row>
    <row r="97" spans="61:79" ht="14.55" customHeight="1" x14ac:dyDescent="0.3">
      <c r="BI97" s="64"/>
      <c r="BJ97" s="137"/>
      <c r="BK97" s="17"/>
      <c r="BL97" s="16"/>
      <c r="BR97" s="127" t="s">
        <v>8</v>
      </c>
      <c r="BS97" s="128"/>
      <c r="BT97" s="128"/>
      <c r="BU97" s="128"/>
      <c r="BV97" s="129"/>
      <c r="BW97" s="130"/>
      <c r="CA97" s="8"/>
    </row>
    <row r="98" spans="61:79" x14ac:dyDescent="0.3">
      <c r="BI98" s="64"/>
      <c r="BJ98" s="137"/>
      <c r="BK98" s="17"/>
      <c r="BL98" s="16"/>
      <c r="BR98" s="66" t="s">
        <v>9</v>
      </c>
      <c r="BS98" s="67"/>
      <c r="BT98" s="131" t="s">
        <v>18</v>
      </c>
      <c r="BU98" s="67"/>
      <c r="BV98" s="131" t="s">
        <v>10</v>
      </c>
      <c r="BW98" s="132"/>
      <c r="CA98" s="8"/>
    </row>
    <row r="99" spans="61:79" ht="15" thickBot="1" x14ac:dyDescent="0.35">
      <c r="BI99" s="64"/>
      <c r="BJ99" s="137"/>
      <c r="BK99" s="17"/>
      <c r="BL99" s="16"/>
      <c r="BR99" s="133" t="s">
        <v>11</v>
      </c>
      <c r="BS99" s="134"/>
      <c r="BT99" s="135" t="s">
        <v>12</v>
      </c>
      <c r="BU99" s="134"/>
      <c r="BV99" s="135" t="s">
        <v>13</v>
      </c>
      <c r="BW99" s="136"/>
      <c r="CA99" s="8"/>
    </row>
    <row r="100" spans="61:79" ht="48.75" customHeight="1" x14ac:dyDescent="0.3">
      <c r="BI100" s="64"/>
      <c r="BJ100" s="90" t="s">
        <v>31</v>
      </c>
      <c r="BL100" s="74" t="s">
        <v>22</v>
      </c>
      <c r="BN100" s="62" t="s">
        <v>14</v>
      </c>
      <c r="BO100" s="62"/>
      <c r="BP100" s="62"/>
      <c r="BQ100" s="62"/>
      <c r="BS100" s="151" t="s">
        <v>46</v>
      </c>
      <c r="BU100" s="152" t="s">
        <v>30</v>
      </c>
      <c r="BW100" s="153" t="s">
        <v>62</v>
      </c>
      <c r="CA100" s="8"/>
    </row>
    <row r="101" spans="61:79" x14ac:dyDescent="0.3">
      <c r="BI101" s="64"/>
      <c r="BJ101" s="90"/>
      <c r="BL101" s="74"/>
      <c r="BN101" s="62"/>
      <c r="BO101" s="62"/>
      <c r="BP101" s="62"/>
      <c r="BQ101" s="62"/>
      <c r="BS101" s="60"/>
      <c r="BU101" s="75"/>
      <c r="BW101" s="61"/>
      <c r="CA101" s="8"/>
    </row>
    <row r="102" spans="61:79" ht="14.55" customHeight="1" x14ac:dyDescent="0.3">
      <c r="BI102" s="64"/>
      <c r="BJ102" s="90"/>
      <c r="BL102" s="74"/>
      <c r="BN102" s="62"/>
      <c r="BO102" s="62"/>
      <c r="BP102" s="62"/>
      <c r="BQ102" s="62"/>
      <c r="BS102" s="60"/>
      <c r="BU102" s="75"/>
      <c r="BW102" s="61"/>
      <c r="CA102" s="8"/>
    </row>
    <row r="103" spans="61:79" ht="14.55" customHeight="1" x14ac:dyDescent="0.3">
      <c r="BI103" s="64"/>
      <c r="BJ103" s="90"/>
      <c r="BL103" s="74"/>
      <c r="BN103" s="62"/>
      <c r="BO103" s="62"/>
      <c r="BP103" s="62"/>
      <c r="BQ103" s="62"/>
      <c r="BS103" s="60"/>
      <c r="BU103" s="75"/>
      <c r="BW103" s="61"/>
      <c r="CA103" s="8"/>
    </row>
    <row r="104" spans="61:79" ht="14.55" customHeight="1" x14ac:dyDescent="0.3">
      <c r="BI104" s="64"/>
      <c r="BJ104" s="90"/>
      <c r="BK104" s="7"/>
      <c r="BL104" s="74"/>
      <c r="BM104" s="7"/>
      <c r="BN104" s="62"/>
      <c r="BO104" s="62"/>
      <c r="BP104" s="62"/>
      <c r="BQ104" s="62"/>
      <c r="BR104" s="7"/>
      <c r="BS104" s="60"/>
      <c r="BT104" s="7"/>
      <c r="BU104" s="75"/>
      <c r="BV104" s="7"/>
      <c r="BW104" s="61"/>
      <c r="CA104" s="8"/>
    </row>
    <row r="105" spans="61:79" x14ac:dyDescent="0.3">
      <c r="BI105" s="64"/>
      <c r="BJ105" s="90"/>
      <c r="BK105" s="7"/>
      <c r="BL105" s="74"/>
      <c r="BM105" s="7"/>
      <c r="BN105" s="62"/>
      <c r="BO105" s="62"/>
      <c r="BP105" s="62"/>
      <c r="BQ105" s="62"/>
      <c r="BR105" s="7"/>
      <c r="BS105" s="60"/>
      <c r="BT105" s="7"/>
      <c r="BU105" s="75"/>
      <c r="BV105" s="7"/>
      <c r="BW105" s="61"/>
      <c r="CA105" s="8"/>
    </row>
    <row r="106" spans="61:79" x14ac:dyDescent="0.3">
      <c r="BI106" s="64"/>
      <c r="BJ106" s="90"/>
      <c r="BK106" s="7"/>
      <c r="BL106" s="74"/>
      <c r="BM106" s="7"/>
      <c r="BN106" s="62"/>
      <c r="BO106" s="62"/>
      <c r="BP106" s="62"/>
      <c r="BQ106" s="62"/>
      <c r="BR106" s="7"/>
      <c r="BS106" s="60"/>
      <c r="BT106" s="7"/>
      <c r="BU106" s="75"/>
      <c r="BV106" s="7"/>
      <c r="BW106" s="61"/>
      <c r="CA106" s="8"/>
    </row>
    <row r="107" spans="61:79" x14ac:dyDescent="0.3">
      <c r="BI107" s="64"/>
      <c r="BJ107" s="90"/>
      <c r="BK107" s="7"/>
      <c r="BL107" s="74"/>
      <c r="BM107" s="7"/>
      <c r="BN107" s="62"/>
      <c r="BO107" s="62"/>
      <c r="BP107" s="62"/>
      <c r="BQ107" s="62"/>
      <c r="BR107" s="7"/>
      <c r="BS107" s="60"/>
      <c r="BT107" s="7"/>
      <c r="BU107" s="75"/>
      <c r="BV107" s="7"/>
      <c r="BW107" s="61"/>
      <c r="CA107" s="8"/>
    </row>
    <row r="108" spans="61:79" ht="15" thickBot="1" x14ac:dyDescent="0.35">
      <c r="BI108" s="65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10"/>
    </row>
    <row r="109" spans="61:79" ht="15" thickTop="1" x14ac:dyDescent="0.3"/>
  </sheetData>
  <mergeCells count="736"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AQ6:AS6"/>
    <mergeCell ref="AX6:AZ6"/>
    <mergeCell ref="BA6:BC6"/>
    <mergeCell ref="N9:O9"/>
    <mergeCell ref="T9:U9"/>
    <mergeCell ref="V9:W9"/>
    <mergeCell ref="AP8:AQ8"/>
    <mergeCell ref="AR8:AS8"/>
    <mergeCell ref="AX8:AY8"/>
    <mergeCell ref="AZ8:BA8"/>
    <mergeCell ref="BB8:BC8"/>
    <mergeCell ref="F15:F16"/>
    <mergeCell ref="J15:O15"/>
    <mergeCell ref="T15:Y15"/>
    <mergeCell ref="DP6:DU6"/>
    <mergeCell ref="DZ6:EE6"/>
    <mergeCell ref="E7:E8"/>
    <mergeCell ref="F7:F8"/>
    <mergeCell ref="J7:O7"/>
    <mergeCell ref="T7:Y7"/>
    <mergeCell ref="AD7:AI7"/>
    <mergeCell ref="AN7:AS7"/>
    <mergeCell ref="AX7:BC7"/>
    <mergeCell ref="DP7:DU7"/>
    <mergeCell ref="DZ7:EE7"/>
    <mergeCell ref="G8:G9"/>
    <mergeCell ref="H8:I8"/>
    <mergeCell ref="J8:K8"/>
    <mergeCell ref="L8:M8"/>
    <mergeCell ref="N8:O8"/>
    <mergeCell ref="T8:U8"/>
    <mergeCell ref="DR8:DS8"/>
    <mergeCell ref="DT8:DU8"/>
    <mergeCell ref="DZ8:EA8"/>
    <mergeCell ref="EB8:EC8"/>
    <mergeCell ref="ED8:EE8"/>
    <mergeCell ref="J9:K9"/>
    <mergeCell ref="L9:M9"/>
    <mergeCell ref="DP8:DQ8"/>
    <mergeCell ref="V8:W8"/>
    <mergeCell ref="X8:Y8"/>
    <mergeCell ref="AD8:AE8"/>
    <mergeCell ref="AF8:AG8"/>
    <mergeCell ref="AH8:AI8"/>
    <mergeCell ref="AN8:AO8"/>
    <mergeCell ref="DT9:DU9"/>
    <mergeCell ref="DZ9:EA9"/>
    <mergeCell ref="EB9:EC9"/>
    <mergeCell ref="ED9:EE9"/>
    <mergeCell ref="D14:D17"/>
    <mergeCell ref="J14:L14"/>
    <mergeCell ref="M14:O14"/>
    <mergeCell ref="T14:V14"/>
    <mergeCell ref="W14:Y14"/>
    <mergeCell ref="AD14:AF14"/>
    <mergeCell ref="AR9:AS9"/>
    <mergeCell ref="AX9:AY9"/>
    <mergeCell ref="AZ9:BA9"/>
    <mergeCell ref="BB9:BC9"/>
    <mergeCell ref="DP9:DQ9"/>
    <mergeCell ref="DR9:DS9"/>
    <mergeCell ref="X9:Y9"/>
    <mergeCell ref="AD9:AE9"/>
    <mergeCell ref="AF9:AG9"/>
    <mergeCell ref="AH9:AI9"/>
    <mergeCell ref="AN9:AO9"/>
    <mergeCell ref="AP9:AQ9"/>
    <mergeCell ref="BK14:BM14"/>
    <mergeCell ref="DP14:DU14"/>
    <mergeCell ref="DZ14:EE14"/>
    <mergeCell ref="E15:E16"/>
    <mergeCell ref="AD15:AI15"/>
    <mergeCell ref="AN15:AS15"/>
    <mergeCell ref="AX15:BC15"/>
    <mergeCell ref="AG14:AI14"/>
    <mergeCell ref="AN14:AP14"/>
    <mergeCell ref="AQ14:AS14"/>
    <mergeCell ref="AX14:AZ14"/>
    <mergeCell ref="BA14:BC14"/>
    <mergeCell ref="BH14:BJ14"/>
    <mergeCell ref="AF16:AG16"/>
    <mergeCell ref="AH16:AI16"/>
    <mergeCell ref="AN16:AO16"/>
    <mergeCell ref="AP16:AQ16"/>
    <mergeCell ref="BH15:BM15"/>
    <mergeCell ref="DP15:DU15"/>
    <mergeCell ref="DZ15:EE15"/>
    <mergeCell ref="G16:G17"/>
    <mergeCell ref="H16:I16"/>
    <mergeCell ref="J16:K16"/>
    <mergeCell ref="L16:M16"/>
    <mergeCell ref="N16:O16"/>
    <mergeCell ref="T16:U16"/>
    <mergeCell ref="V16:W16"/>
    <mergeCell ref="ED16:EE16"/>
    <mergeCell ref="J17:K17"/>
    <mergeCell ref="L17:M17"/>
    <mergeCell ref="N17:O17"/>
    <mergeCell ref="T17:U17"/>
    <mergeCell ref="V17:W17"/>
    <mergeCell ref="X17:Y17"/>
    <mergeCell ref="AD17:AE17"/>
    <mergeCell ref="AF17:AG17"/>
    <mergeCell ref="AH17:AI17"/>
    <mergeCell ref="BL16:BM16"/>
    <mergeCell ref="DP16:DQ16"/>
    <mergeCell ref="DR16:DS16"/>
    <mergeCell ref="DT16:DU16"/>
    <mergeCell ref="DZ16:EA16"/>
    <mergeCell ref="EB16:EC16"/>
    <mergeCell ref="AR16:AS16"/>
    <mergeCell ref="AX16:AY16"/>
    <mergeCell ref="AZ16:BA16"/>
    <mergeCell ref="BB16:BC16"/>
    <mergeCell ref="BH16:BI16"/>
    <mergeCell ref="BJ16:BK16"/>
    <mergeCell ref="X16:Y16"/>
    <mergeCell ref="AD16:AE16"/>
    <mergeCell ref="DZ17:EA17"/>
    <mergeCell ref="EB17:EC17"/>
    <mergeCell ref="ED17:EE17"/>
    <mergeCell ref="B23:B36"/>
    <mergeCell ref="D24:D27"/>
    <mergeCell ref="J24:L24"/>
    <mergeCell ref="M24:O24"/>
    <mergeCell ref="T24:V24"/>
    <mergeCell ref="W24:Y24"/>
    <mergeCell ref="AD24:AF24"/>
    <mergeCell ref="BH17:BI17"/>
    <mergeCell ref="BJ17:BK17"/>
    <mergeCell ref="BL17:BM17"/>
    <mergeCell ref="DP17:DQ17"/>
    <mergeCell ref="DR17:DS17"/>
    <mergeCell ref="DT17:DU17"/>
    <mergeCell ref="AN17:AO17"/>
    <mergeCell ref="AP17:AQ17"/>
    <mergeCell ref="AR17:AS17"/>
    <mergeCell ref="AX17:AY17"/>
    <mergeCell ref="AZ17:BA17"/>
    <mergeCell ref="BB17:BC17"/>
    <mergeCell ref="BK24:BM24"/>
    <mergeCell ref="DP24:DU24"/>
    <mergeCell ref="DZ24:EE24"/>
    <mergeCell ref="E25:E26"/>
    <mergeCell ref="F25:F26"/>
    <mergeCell ref="J25:O25"/>
    <mergeCell ref="T25:Y25"/>
    <mergeCell ref="AD25:AI25"/>
    <mergeCell ref="AN25:AS25"/>
    <mergeCell ref="AX25:BC25"/>
    <mergeCell ref="AG24:AI24"/>
    <mergeCell ref="AN24:AP24"/>
    <mergeCell ref="AQ24:AS24"/>
    <mergeCell ref="AX24:AZ24"/>
    <mergeCell ref="BA24:BC24"/>
    <mergeCell ref="BH24:BJ24"/>
    <mergeCell ref="AD26:AE26"/>
    <mergeCell ref="AF26:AG26"/>
    <mergeCell ref="AH26:AI26"/>
    <mergeCell ref="AN26:AO26"/>
    <mergeCell ref="AP26:AQ26"/>
    <mergeCell ref="BH25:BM25"/>
    <mergeCell ref="DP25:DU25"/>
    <mergeCell ref="DZ25:EE25"/>
    <mergeCell ref="G26:G27"/>
    <mergeCell ref="H26:I26"/>
    <mergeCell ref="J26:K26"/>
    <mergeCell ref="L26:M26"/>
    <mergeCell ref="N26:O26"/>
    <mergeCell ref="T26:U26"/>
    <mergeCell ref="V26:W26"/>
    <mergeCell ref="BB27:BC27"/>
    <mergeCell ref="ED26:EE26"/>
    <mergeCell ref="J27:K27"/>
    <mergeCell ref="L27:M27"/>
    <mergeCell ref="N27:O27"/>
    <mergeCell ref="T27:U27"/>
    <mergeCell ref="V27:W27"/>
    <mergeCell ref="X27:Y27"/>
    <mergeCell ref="AD27:AE27"/>
    <mergeCell ref="AF27:AG27"/>
    <mergeCell ref="AH27:AI27"/>
    <mergeCell ref="BL26:BM26"/>
    <mergeCell ref="DP26:DQ26"/>
    <mergeCell ref="DR26:DS26"/>
    <mergeCell ref="DT26:DU26"/>
    <mergeCell ref="DZ26:EA26"/>
    <mergeCell ref="EB26:EC26"/>
    <mergeCell ref="AR26:AS26"/>
    <mergeCell ref="AX26:AY26"/>
    <mergeCell ref="AZ26:BA26"/>
    <mergeCell ref="BB26:BC26"/>
    <mergeCell ref="BH26:BI26"/>
    <mergeCell ref="BJ26:BK26"/>
    <mergeCell ref="X26:Y26"/>
    <mergeCell ref="BA32:BC32"/>
    <mergeCell ref="DP32:DU32"/>
    <mergeCell ref="AN32:AP32"/>
    <mergeCell ref="AQ32:AS32"/>
    <mergeCell ref="AX32:AZ32"/>
    <mergeCell ref="DZ32:EE32"/>
    <mergeCell ref="DZ27:EA27"/>
    <mergeCell ref="EB27:EC27"/>
    <mergeCell ref="ED27:EE27"/>
    <mergeCell ref="D32:D35"/>
    <mergeCell ref="J32:L32"/>
    <mergeCell ref="M32:O32"/>
    <mergeCell ref="T32:V32"/>
    <mergeCell ref="W32:Y32"/>
    <mergeCell ref="AD32:AF32"/>
    <mergeCell ref="AG32:AI32"/>
    <mergeCell ref="BH27:BI27"/>
    <mergeCell ref="BJ27:BK27"/>
    <mergeCell ref="BL27:BM27"/>
    <mergeCell ref="DP27:DQ27"/>
    <mergeCell ref="DR27:DS27"/>
    <mergeCell ref="DT27:DU27"/>
    <mergeCell ref="AN27:AO27"/>
    <mergeCell ref="AP27:AQ27"/>
    <mergeCell ref="AR27:AS27"/>
    <mergeCell ref="AX27:AY27"/>
    <mergeCell ref="AZ27:BA27"/>
    <mergeCell ref="AD33:AI33"/>
    <mergeCell ref="AN33:AS33"/>
    <mergeCell ref="G34:G35"/>
    <mergeCell ref="H34:I34"/>
    <mergeCell ref="J34:K34"/>
    <mergeCell ref="L34:M34"/>
    <mergeCell ref="N34:O34"/>
    <mergeCell ref="T34:U34"/>
    <mergeCell ref="V34:W34"/>
    <mergeCell ref="N35:O35"/>
    <mergeCell ref="T35:U35"/>
    <mergeCell ref="V35:W35"/>
    <mergeCell ref="X35:Y35"/>
    <mergeCell ref="E33:E34"/>
    <mergeCell ref="F33:F34"/>
    <mergeCell ref="J33:O33"/>
    <mergeCell ref="T33:Y33"/>
    <mergeCell ref="ED34:EE34"/>
    <mergeCell ref="AN34:AO34"/>
    <mergeCell ref="AP34:AQ34"/>
    <mergeCell ref="AR34:AS34"/>
    <mergeCell ref="AX34:AY34"/>
    <mergeCell ref="AZ34:BA34"/>
    <mergeCell ref="BB34:BC34"/>
    <mergeCell ref="AX33:BC33"/>
    <mergeCell ref="DP33:DU33"/>
    <mergeCell ref="DZ33:EE33"/>
    <mergeCell ref="DP34:DQ34"/>
    <mergeCell ref="DR34:DS34"/>
    <mergeCell ref="DT34:DU34"/>
    <mergeCell ref="DZ34:EA34"/>
    <mergeCell ref="EB34:EC34"/>
    <mergeCell ref="X34:Y34"/>
    <mergeCell ref="AD34:AE34"/>
    <mergeCell ref="AF34:AG34"/>
    <mergeCell ref="AH34:AI34"/>
    <mergeCell ref="DZ35:EA35"/>
    <mergeCell ref="EB35:EC35"/>
    <mergeCell ref="ED35:EE35"/>
    <mergeCell ref="B41:B54"/>
    <mergeCell ref="D42:D45"/>
    <mergeCell ref="J42:L42"/>
    <mergeCell ref="M42:O42"/>
    <mergeCell ref="T42:V42"/>
    <mergeCell ref="W42:Y42"/>
    <mergeCell ref="AD42:AF42"/>
    <mergeCell ref="AX35:AY35"/>
    <mergeCell ref="AZ35:BA35"/>
    <mergeCell ref="BB35:BC35"/>
    <mergeCell ref="DP35:DQ35"/>
    <mergeCell ref="DR35:DS35"/>
    <mergeCell ref="DT35:DU35"/>
    <mergeCell ref="AD35:AE35"/>
    <mergeCell ref="AF35:AG35"/>
    <mergeCell ref="AH35:AI35"/>
    <mergeCell ref="AN35:AO35"/>
    <mergeCell ref="AP35:AQ35"/>
    <mergeCell ref="AR35:AS35"/>
    <mergeCell ref="J35:K35"/>
    <mergeCell ref="L35:M35"/>
    <mergeCell ref="BK42:BM42"/>
    <mergeCell ref="DP42:DU42"/>
    <mergeCell ref="DZ42:EE42"/>
    <mergeCell ref="E43:E44"/>
    <mergeCell ref="F43:F44"/>
    <mergeCell ref="J43:O43"/>
    <mergeCell ref="T43:Y43"/>
    <mergeCell ref="AD43:AI43"/>
    <mergeCell ref="AN43:AS43"/>
    <mergeCell ref="AX43:BC43"/>
    <mergeCell ref="AG42:AI42"/>
    <mergeCell ref="AN42:AP42"/>
    <mergeCell ref="AQ42:AS42"/>
    <mergeCell ref="AX42:AZ42"/>
    <mergeCell ref="BA42:BC42"/>
    <mergeCell ref="BH42:BJ42"/>
    <mergeCell ref="AD44:AE44"/>
    <mergeCell ref="AF44:AG44"/>
    <mergeCell ref="AH44:AI44"/>
    <mergeCell ref="AN44:AO44"/>
    <mergeCell ref="AP44:AQ44"/>
    <mergeCell ref="BH43:BM43"/>
    <mergeCell ref="DP43:DU43"/>
    <mergeCell ref="DZ43:EE43"/>
    <mergeCell ref="G44:G45"/>
    <mergeCell ref="H44:I44"/>
    <mergeCell ref="J44:K44"/>
    <mergeCell ref="L44:M44"/>
    <mergeCell ref="N44:O44"/>
    <mergeCell ref="T44:U44"/>
    <mergeCell ref="V44:W44"/>
    <mergeCell ref="BB45:BC45"/>
    <mergeCell ref="ED44:EE44"/>
    <mergeCell ref="J45:K45"/>
    <mergeCell ref="L45:M45"/>
    <mergeCell ref="N45:O45"/>
    <mergeCell ref="T45:U45"/>
    <mergeCell ref="V45:W45"/>
    <mergeCell ref="X45:Y45"/>
    <mergeCell ref="AD45:AE45"/>
    <mergeCell ref="AF45:AG45"/>
    <mergeCell ref="AH45:AI45"/>
    <mergeCell ref="BL44:BM44"/>
    <mergeCell ref="DP44:DQ44"/>
    <mergeCell ref="DR44:DS44"/>
    <mergeCell ref="DT44:DU44"/>
    <mergeCell ref="DZ44:EA44"/>
    <mergeCell ref="EB44:EC44"/>
    <mergeCell ref="AR44:AS44"/>
    <mergeCell ref="AX44:AY44"/>
    <mergeCell ref="AZ44:BA44"/>
    <mergeCell ref="BB44:BC44"/>
    <mergeCell ref="BH44:BI44"/>
    <mergeCell ref="BJ44:BK44"/>
    <mergeCell ref="X44:Y44"/>
    <mergeCell ref="BA50:BC50"/>
    <mergeCell ref="DP50:DU50"/>
    <mergeCell ref="AN50:AP50"/>
    <mergeCell ref="AQ50:AS50"/>
    <mergeCell ref="AX50:AZ50"/>
    <mergeCell ref="DZ50:EE50"/>
    <mergeCell ref="DZ45:EA45"/>
    <mergeCell ref="EB45:EC45"/>
    <mergeCell ref="ED45:EE45"/>
    <mergeCell ref="D50:D53"/>
    <mergeCell ref="J50:L50"/>
    <mergeCell ref="M50:O50"/>
    <mergeCell ref="T50:V50"/>
    <mergeCell ref="W50:Y50"/>
    <mergeCell ref="AD50:AF50"/>
    <mergeCell ref="AG50:AI50"/>
    <mergeCell ref="BH45:BI45"/>
    <mergeCell ref="BJ45:BK45"/>
    <mergeCell ref="BL45:BM45"/>
    <mergeCell ref="DP45:DQ45"/>
    <mergeCell ref="DR45:DS45"/>
    <mergeCell ref="DT45:DU45"/>
    <mergeCell ref="AN45:AO45"/>
    <mergeCell ref="AP45:AQ45"/>
    <mergeCell ref="AR45:AS45"/>
    <mergeCell ref="AX45:AY45"/>
    <mergeCell ref="AZ45:BA45"/>
    <mergeCell ref="AD51:AI51"/>
    <mergeCell ref="AN51:AS51"/>
    <mergeCell ref="G52:G53"/>
    <mergeCell ref="H52:I52"/>
    <mergeCell ref="J52:K52"/>
    <mergeCell ref="L52:M52"/>
    <mergeCell ref="N52:O52"/>
    <mergeCell ref="T52:U52"/>
    <mergeCell ref="V52:W52"/>
    <mergeCell ref="N53:O53"/>
    <mergeCell ref="T53:U53"/>
    <mergeCell ref="V53:W53"/>
    <mergeCell ref="X53:Y53"/>
    <mergeCell ref="E51:E52"/>
    <mergeCell ref="F51:F52"/>
    <mergeCell ref="J51:O51"/>
    <mergeCell ref="T51:Y51"/>
    <mergeCell ref="ED52:EE52"/>
    <mergeCell ref="AN52:AO52"/>
    <mergeCell ref="AP52:AQ52"/>
    <mergeCell ref="AR52:AS52"/>
    <mergeCell ref="AX52:AY52"/>
    <mergeCell ref="AZ52:BA52"/>
    <mergeCell ref="BB52:BC52"/>
    <mergeCell ref="AX51:BC51"/>
    <mergeCell ref="DP51:DU51"/>
    <mergeCell ref="DZ51:EE51"/>
    <mergeCell ref="DP52:DQ52"/>
    <mergeCell ref="DR52:DS52"/>
    <mergeCell ref="DT52:DU52"/>
    <mergeCell ref="DZ52:EA52"/>
    <mergeCell ref="EB52:EC52"/>
    <mergeCell ref="X52:Y52"/>
    <mergeCell ref="AD52:AE52"/>
    <mergeCell ref="AF52:AG52"/>
    <mergeCell ref="AH52:AI52"/>
    <mergeCell ref="DZ53:EA53"/>
    <mergeCell ref="EB53:EC53"/>
    <mergeCell ref="ED53:EE53"/>
    <mergeCell ref="B59:B72"/>
    <mergeCell ref="D60:D63"/>
    <mergeCell ref="J60:L60"/>
    <mergeCell ref="M60:O60"/>
    <mergeCell ref="T60:V60"/>
    <mergeCell ref="W60:Y60"/>
    <mergeCell ref="AD60:AF60"/>
    <mergeCell ref="AX53:AY53"/>
    <mergeCell ref="AZ53:BA53"/>
    <mergeCell ref="BB53:BC53"/>
    <mergeCell ref="DP53:DQ53"/>
    <mergeCell ref="DR53:DS53"/>
    <mergeCell ref="DT53:DU53"/>
    <mergeCell ref="AD53:AE53"/>
    <mergeCell ref="AF53:AG53"/>
    <mergeCell ref="AH53:AI53"/>
    <mergeCell ref="AN53:AO53"/>
    <mergeCell ref="AP53:AQ53"/>
    <mergeCell ref="AR53:AS53"/>
    <mergeCell ref="J53:K53"/>
    <mergeCell ref="L53:M53"/>
    <mergeCell ref="BK60:BM60"/>
    <mergeCell ref="DP60:DU60"/>
    <mergeCell ref="DZ60:EE60"/>
    <mergeCell ref="E61:E62"/>
    <mergeCell ref="F61:F62"/>
    <mergeCell ref="J61:O61"/>
    <mergeCell ref="T61:Y61"/>
    <mergeCell ref="AD61:AI61"/>
    <mergeCell ref="AN61:AS61"/>
    <mergeCell ref="AX61:BC61"/>
    <mergeCell ref="AG60:AI60"/>
    <mergeCell ref="AN60:AP60"/>
    <mergeCell ref="AQ60:AS60"/>
    <mergeCell ref="AX60:AZ60"/>
    <mergeCell ref="BA60:BC60"/>
    <mergeCell ref="BH60:BJ60"/>
    <mergeCell ref="AF62:AG62"/>
    <mergeCell ref="AH62:AI62"/>
    <mergeCell ref="AN62:AO62"/>
    <mergeCell ref="AP62:AQ62"/>
    <mergeCell ref="BH61:BM61"/>
    <mergeCell ref="DP61:DU61"/>
    <mergeCell ref="DZ61:EE61"/>
    <mergeCell ref="G62:G63"/>
    <mergeCell ref="H62:I62"/>
    <mergeCell ref="J62:K62"/>
    <mergeCell ref="L62:M62"/>
    <mergeCell ref="N62:O62"/>
    <mergeCell ref="T62:U62"/>
    <mergeCell ref="V62:W62"/>
    <mergeCell ref="ED62:EE62"/>
    <mergeCell ref="J63:K63"/>
    <mergeCell ref="L63:M63"/>
    <mergeCell ref="N63:O63"/>
    <mergeCell ref="T63:U63"/>
    <mergeCell ref="V63:W63"/>
    <mergeCell ref="X63:Y63"/>
    <mergeCell ref="AD63:AE63"/>
    <mergeCell ref="AF63:AG63"/>
    <mergeCell ref="AH63:AI63"/>
    <mergeCell ref="BL62:BM62"/>
    <mergeCell ref="DP62:DQ62"/>
    <mergeCell ref="DR62:DS62"/>
    <mergeCell ref="DT62:DU62"/>
    <mergeCell ref="DZ62:EA62"/>
    <mergeCell ref="EB62:EC62"/>
    <mergeCell ref="AR62:AS62"/>
    <mergeCell ref="AX62:AY62"/>
    <mergeCell ref="AZ62:BA62"/>
    <mergeCell ref="BB62:BC62"/>
    <mergeCell ref="BH62:BI62"/>
    <mergeCell ref="BJ62:BK62"/>
    <mergeCell ref="X62:Y62"/>
    <mergeCell ref="AD62:AE62"/>
    <mergeCell ref="DZ63:EA63"/>
    <mergeCell ref="EB63:EC63"/>
    <mergeCell ref="ED63:EE63"/>
    <mergeCell ref="BL63:BM63"/>
    <mergeCell ref="DP63:DQ63"/>
    <mergeCell ref="DR63:DS63"/>
    <mergeCell ref="DT63:DU63"/>
    <mergeCell ref="D68:D71"/>
    <mergeCell ref="J68:L68"/>
    <mergeCell ref="M68:O68"/>
    <mergeCell ref="T68:V68"/>
    <mergeCell ref="W68:Y68"/>
    <mergeCell ref="AD68:AF68"/>
    <mergeCell ref="AG68:AI68"/>
    <mergeCell ref="BH63:BI63"/>
    <mergeCell ref="BJ63:BK63"/>
    <mergeCell ref="AN63:AO63"/>
    <mergeCell ref="AP63:AQ63"/>
    <mergeCell ref="AR63:AS63"/>
    <mergeCell ref="AX63:AY63"/>
    <mergeCell ref="AZ63:BA63"/>
    <mergeCell ref="BB63:BC63"/>
    <mergeCell ref="G70:G71"/>
    <mergeCell ref="H70:I70"/>
    <mergeCell ref="J70:K70"/>
    <mergeCell ref="L70:M70"/>
    <mergeCell ref="N70:O70"/>
    <mergeCell ref="T70:U70"/>
    <mergeCell ref="V70:W70"/>
    <mergeCell ref="X70:Y70"/>
    <mergeCell ref="AD71:AE71"/>
    <mergeCell ref="DP68:DU68"/>
    <mergeCell ref="DZ68:EE68"/>
    <mergeCell ref="E69:E70"/>
    <mergeCell ref="F69:F70"/>
    <mergeCell ref="J69:O69"/>
    <mergeCell ref="T69:Y69"/>
    <mergeCell ref="AD69:AI69"/>
    <mergeCell ref="AN69:AS69"/>
    <mergeCell ref="AX69:BC69"/>
    <mergeCell ref="BH69:BM69"/>
    <mergeCell ref="AN68:AP68"/>
    <mergeCell ref="AQ68:AS68"/>
    <mergeCell ref="AX68:AZ68"/>
    <mergeCell ref="BA68:BC68"/>
    <mergeCell ref="BH68:BJ68"/>
    <mergeCell ref="BK68:BM68"/>
    <mergeCell ref="AD70:AE70"/>
    <mergeCell ref="AF70:AG70"/>
    <mergeCell ref="AH70:AI70"/>
    <mergeCell ref="AN70:AO70"/>
    <mergeCell ref="AP70:AQ70"/>
    <mergeCell ref="AR70:AS70"/>
    <mergeCell ref="DP69:DU69"/>
    <mergeCell ref="DZ69:EE69"/>
    <mergeCell ref="DP70:DQ70"/>
    <mergeCell ref="DR70:DS70"/>
    <mergeCell ref="DT70:DU70"/>
    <mergeCell ref="DZ70:EA70"/>
    <mergeCell ref="EB70:EC70"/>
    <mergeCell ref="ED70:EE70"/>
    <mergeCell ref="AX70:AY70"/>
    <mergeCell ref="AZ70:BA70"/>
    <mergeCell ref="BB70:BC70"/>
    <mergeCell ref="BH70:BI70"/>
    <mergeCell ref="BJ70:BK70"/>
    <mergeCell ref="BL70:BM70"/>
    <mergeCell ref="AF71:AG71"/>
    <mergeCell ref="AH71:AI71"/>
    <mergeCell ref="AN71:AO71"/>
    <mergeCell ref="AP71:AQ71"/>
    <mergeCell ref="AR71:AS71"/>
    <mergeCell ref="J71:K71"/>
    <mergeCell ref="L71:M71"/>
    <mergeCell ref="N71:O71"/>
    <mergeCell ref="T71:U71"/>
    <mergeCell ref="V71:W71"/>
    <mergeCell ref="X71:Y71"/>
    <mergeCell ref="DP71:DQ71"/>
    <mergeCell ref="DR71:DS71"/>
    <mergeCell ref="DT71:DU71"/>
    <mergeCell ref="DZ71:EA71"/>
    <mergeCell ref="EB71:EC71"/>
    <mergeCell ref="ED71:EE71"/>
    <mergeCell ref="AX71:AY71"/>
    <mergeCell ref="AZ71:BA71"/>
    <mergeCell ref="BB71:BC71"/>
    <mergeCell ref="BH71:BI71"/>
    <mergeCell ref="BJ71:BK71"/>
    <mergeCell ref="BL71:BM71"/>
    <mergeCell ref="B77:B90"/>
    <mergeCell ref="D78:D81"/>
    <mergeCell ref="J78:L78"/>
    <mergeCell ref="M78:O78"/>
    <mergeCell ref="T78:V78"/>
    <mergeCell ref="W78:Y78"/>
    <mergeCell ref="V80:W80"/>
    <mergeCell ref="X80:Y80"/>
    <mergeCell ref="J81:K81"/>
    <mergeCell ref="L81:M81"/>
    <mergeCell ref="N80:O80"/>
    <mergeCell ref="T80:U80"/>
    <mergeCell ref="V81:W81"/>
    <mergeCell ref="X81:Y81"/>
    <mergeCell ref="L88:M88"/>
    <mergeCell ref="N88:O88"/>
    <mergeCell ref="T88:U88"/>
    <mergeCell ref="J89:K89"/>
    <mergeCell ref="L89:M89"/>
    <mergeCell ref="N89:O89"/>
    <mergeCell ref="T89:U89"/>
    <mergeCell ref="V89:W89"/>
    <mergeCell ref="DP78:DU78"/>
    <mergeCell ref="DZ78:EE78"/>
    <mergeCell ref="E79:E80"/>
    <mergeCell ref="F79:F80"/>
    <mergeCell ref="J79:O79"/>
    <mergeCell ref="T79:Y79"/>
    <mergeCell ref="AD79:AI79"/>
    <mergeCell ref="AN79:AS79"/>
    <mergeCell ref="AD78:AF78"/>
    <mergeCell ref="AG78:AI78"/>
    <mergeCell ref="AN78:AP78"/>
    <mergeCell ref="AQ78:AS78"/>
    <mergeCell ref="AX78:AZ78"/>
    <mergeCell ref="BA78:BC78"/>
    <mergeCell ref="AX79:BC79"/>
    <mergeCell ref="DP79:DU79"/>
    <mergeCell ref="DZ79:EE79"/>
    <mergeCell ref="G80:G81"/>
    <mergeCell ref="H80:I80"/>
    <mergeCell ref="J80:K80"/>
    <mergeCell ref="L80:M80"/>
    <mergeCell ref="AX80:AY80"/>
    <mergeCell ref="AZ80:BA80"/>
    <mergeCell ref="BB80:BC80"/>
    <mergeCell ref="AD80:AE80"/>
    <mergeCell ref="AF80:AG80"/>
    <mergeCell ref="AH80:AI80"/>
    <mergeCell ref="AN80:AO80"/>
    <mergeCell ref="AP80:AQ80"/>
    <mergeCell ref="AR80:AS80"/>
    <mergeCell ref="DP80:DQ80"/>
    <mergeCell ref="DR80:DS80"/>
    <mergeCell ref="DT80:DU80"/>
    <mergeCell ref="DZ80:EA80"/>
    <mergeCell ref="EB80:EC80"/>
    <mergeCell ref="DT81:DU81"/>
    <mergeCell ref="DZ81:EA81"/>
    <mergeCell ref="EB81:EC81"/>
    <mergeCell ref="ED80:EE80"/>
    <mergeCell ref="ED81:EE81"/>
    <mergeCell ref="D86:D89"/>
    <mergeCell ref="J86:L86"/>
    <mergeCell ref="M86:O86"/>
    <mergeCell ref="T86:V86"/>
    <mergeCell ref="W86:Y86"/>
    <mergeCell ref="AD86:AF86"/>
    <mergeCell ref="BB81:BC81"/>
    <mergeCell ref="DP81:DQ81"/>
    <mergeCell ref="DR81:DS81"/>
    <mergeCell ref="AH81:AI81"/>
    <mergeCell ref="AN81:AO81"/>
    <mergeCell ref="AP81:AQ81"/>
    <mergeCell ref="AR81:AS81"/>
    <mergeCell ref="AX81:AY81"/>
    <mergeCell ref="AZ81:BA81"/>
    <mergeCell ref="N81:O81"/>
    <mergeCell ref="T81:U81"/>
    <mergeCell ref="G88:G89"/>
    <mergeCell ref="H88:I88"/>
    <mergeCell ref="J88:K88"/>
    <mergeCell ref="AD81:AE81"/>
    <mergeCell ref="AF81:AG81"/>
    <mergeCell ref="DZ86:EE86"/>
    <mergeCell ref="E87:E88"/>
    <mergeCell ref="F87:F88"/>
    <mergeCell ref="J87:O87"/>
    <mergeCell ref="T87:Y87"/>
    <mergeCell ref="AD87:AI87"/>
    <mergeCell ref="AN87:AS87"/>
    <mergeCell ref="AX87:BC87"/>
    <mergeCell ref="DP87:DU87"/>
    <mergeCell ref="DZ87:EE87"/>
    <mergeCell ref="AG86:AI86"/>
    <mergeCell ref="AN86:AP86"/>
    <mergeCell ref="AQ86:AS86"/>
    <mergeCell ref="AX86:AZ86"/>
    <mergeCell ref="BA86:BC86"/>
    <mergeCell ref="DP86:DU86"/>
    <mergeCell ref="DR88:DS88"/>
    <mergeCell ref="DT88:DU88"/>
    <mergeCell ref="DZ88:EA88"/>
    <mergeCell ref="EB88:EC88"/>
    <mergeCell ref="ED88:EE88"/>
    <mergeCell ref="AP88:AQ88"/>
    <mergeCell ref="AR88:AS88"/>
    <mergeCell ref="AX88:AY88"/>
    <mergeCell ref="AZ88:BA88"/>
    <mergeCell ref="BB88:BC88"/>
    <mergeCell ref="DP88:DQ88"/>
    <mergeCell ref="V88:W88"/>
    <mergeCell ref="X88:Y88"/>
    <mergeCell ref="AD88:AE88"/>
    <mergeCell ref="AF88:AG88"/>
    <mergeCell ref="AH88:AI88"/>
    <mergeCell ref="AN88:AO88"/>
    <mergeCell ref="AR89:AS89"/>
    <mergeCell ref="AX89:AY89"/>
    <mergeCell ref="AZ89:BA89"/>
    <mergeCell ref="BB89:BC89"/>
    <mergeCell ref="DP89:DQ89"/>
    <mergeCell ref="DR89:DS89"/>
    <mergeCell ref="X89:Y89"/>
    <mergeCell ref="AD89:AE89"/>
    <mergeCell ref="AF89:AG89"/>
    <mergeCell ref="AH89:AI89"/>
    <mergeCell ref="AN89:AO89"/>
    <mergeCell ref="AP89:AQ89"/>
    <mergeCell ref="EB89:EC89"/>
    <mergeCell ref="ED89:EE89"/>
    <mergeCell ref="BI95:BI108"/>
    <mergeCell ref="BR96:BW96"/>
    <mergeCell ref="BR97:BW97"/>
    <mergeCell ref="BR98:BS98"/>
    <mergeCell ref="BT98:BU98"/>
    <mergeCell ref="BV98:BW98"/>
    <mergeCell ref="BR99:BS99"/>
    <mergeCell ref="BT99:BU99"/>
    <mergeCell ref="BV99:BW99"/>
    <mergeCell ref="BJ95:BJ99"/>
    <mergeCell ref="BJ100:BJ107"/>
    <mergeCell ref="BL100:BL107"/>
    <mergeCell ref="BN100:BQ107"/>
    <mergeCell ref="BS100:BS107"/>
    <mergeCell ref="BU100:BU107"/>
    <mergeCell ref="BW100:BW107"/>
    <mergeCell ref="DT89:DU89"/>
    <mergeCell ref="DZ89:EA89"/>
    <mergeCell ref="BH6:BJ6"/>
    <mergeCell ref="BK6:BM6"/>
    <mergeCell ref="BH7:BM7"/>
    <mergeCell ref="BH8:BI8"/>
    <mergeCell ref="BJ8:BK8"/>
    <mergeCell ref="BL8:BM8"/>
    <mergeCell ref="BH9:BI9"/>
    <mergeCell ref="BJ9:BK9"/>
    <mergeCell ref="BL9:BM9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EE100"/>
  <sheetViews>
    <sheetView topLeftCell="A46" zoomScaleNormal="100" workbookViewId="0">
      <selection activeCell="AR66" sqref="AR66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174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5" spans="2:135" ht="10.050000000000001" customHeight="1" thickBot="1" x14ac:dyDescent="0.35">
      <c r="B5" s="118" t="s">
        <v>4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119</v>
      </c>
      <c r="K6" s="25"/>
      <c r="L6" s="26"/>
      <c r="M6" s="38" t="s">
        <v>109</v>
      </c>
      <c r="N6" s="39"/>
      <c r="O6" s="40"/>
      <c r="P6" s="4"/>
      <c r="Q6" s="4"/>
      <c r="R6" s="4"/>
      <c r="S6" s="4"/>
      <c r="T6" s="24" t="s">
        <v>121</v>
      </c>
      <c r="U6" s="25"/>
      <c r="V6" s="26"/>
      <c r="W6" s="38" t="s">
        <v>109</v>
      </c>
      <c r="X6" s="39"/>
      <c r="Y6" s="40"/>
      <c r="Z6" s="4"/>
      <c r="AA6" s="4"/>
      <c r="AB6" s="4"/>
      <c r="AC6" s="4"/>
      <c r="AD6" s="24" t="s">
        <v>131</v>
      </c>
      <c r="AE6" s="25"/>
      <c r="AF6" s="26"/>
      <c r="AG6" s="38" t="s">
        <v>110</v>
      </c>
      <c r="AH6" s="39"/>
      <c r="AI6" s="40"/>
      <c r="AJ6" s="4"/>
      <c r="AK6" s="4"/>
      <c r="AL6" s="4"/>
      <c r="AM6" s="4"/>
      <c r="AN6" s="24" t="s">
        <v>114</v>
      </c>
      <c r="AO6" s="25"/>
      <c r="AP6" s="26"/>
      <c r="AQ6" s="38">
        <v>114</v>
      </c>
      <c r="AR6" s="39"/>
      <c r="AS6" s="40"/>
      <c r="AT6" s="4"/>
      <c r="AU6" s="4"/>
      <c r="AV6" s="4"/>
      <c r="AW6" s="4"/>
      <c r="AX6" s="24" t="s">
        <v>90</v>
      </c>
      <c r="AY6" s="25"/>
      <c r="AZ6" s="26"/>
      <c r="BA6" s="27" t="s">
        <v>164</v>
      </c>
      <c r="BB6" s="28"/>
      <c r="BC6" s="29"/>
      <c r="BD6" s="4"/>
      <c r="BE6" s="4"/>
      <c r="BF6" s="4"/>
      <c r="BG6" s="4"/>
      <c r="BH6" s="24" t="s">
        <v>19</v>
      </c>
      <c r="BI6" s="25"/>
      <c r="BJ6" s="26"/>
      <c r="BK6" s="27" t="s">
        <v>33</v>
      </c>
      <c r="BL6" s="28"/>
      <c r="BM6" s="29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SUM(N8,X8,AH8,AR8,BB8,BL8)</f>
        <v>795</v>
      </c>
      <c r="H7" s="2"/>
      <c r="I7" s="2"/>
      <c r="J7" s="114" t="s">
        <v>120</v>
      </c>
      <c r="K7" s="115"/>
      <c r="L7" s="115"/>
      <c r="M7" s="115"/>
      <c r="N7" s="116"/>
      <c r="O7" s="117"/>
      <c r="P7" s="4"/>
      <c r="Q7" s="4"/>
      <c r="R7" s="4"/>
      <c r="S7" s="4"/>
      <c r="T7" s="114" t="s">
        <v>21</v>
      </c>
      <c r="U7" s="115"/>
      <c r="V7" s="115"/>
      <c r="W7" s="115"/>
      <c r="X7" s="116"/>
      <c r="Y7" s="117"/>
      <c r="Z7" s="4"/>
      <c r="AA7" s="4"/>
      <c r="AB7" s="4"/>
      <c r="AC7" s="4"/>
      <c r="AD7" s="114" t="s">
        <v>20</v>
      </c>
      <c r="AE7" s="115"/>
      <c r="AF7" s="115"/>
      <c r="AG7" s="115"/>
      <c r="AH7" s="116"/>
      <c r="AI7" s="117"/>
      <c r="AJ7" s="4"/>
      <c r="AK7" s="4"/>
      <c r="AL7" s="4"/>
      <c r="AM7" s="4"/>
      <c r="AN7" s="30" t="s">
        <v>117</v>
      </c>
      <c r="AO7" s="31"/>
      <c r="AP7" s="31"/>
      <c r="AQ7" s="31"/>
      <c r="AR7" s="32"/>
      <c r="AS7" s="33"/>
      <c r="AT7" s="4"/>
      <c r="AU7" s="4"/>
      <c r="AV7" s="4"/>
      <c r="AW7" s="4"/>
      <c r="AX7" s="30" t="s">
        <v>165</v>
      </c>
      <c r="AY7" s="31"/>
      <c r="AZ7" s="31"/>
      <c r="BA7" s="31"/>
      <c r="BB7" s="32"/>
      <c r="BC7" s="33"/>
      <c r="BD7" s="4"/>
      <c r="BE7" s="4"/>
      <c r="BF7" s="4"/>
      <c r="BG7" s="4"/>
      <c r="BH7" s="53" t="s">
        <v>32</v>
      </c>
      <c r="BI7" s="54"/>
      <c r="BJ7" s="54"/>
      <c r="BK7" s="54"/>
      <c r="BL7" s="55"/>
      <c r="BM7" s="56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110">
        <v>2</v>
      </c>
      <c r="K8" s="111"/>
      <c r="L8" s="108">
        <v>2</v>
      </c>
      <c r="M8" s="111"/>
      <c r="N8" s="108">
        <v>90</v>
      </c>
      <c r="O8" s="109"/>
      <c r="P8" s="4"/>
      <c r="Q8" s="4"/>
      <c r="R8" s="4"/>
      <c r="S8" s="4"/>
      <c r="T8" s="110">
        <v>2</v>
      </c>
      <c r="U8" s="111"/>
      <c r="V8" s="108">
        <v>2</v>
      </c>
      <c r="W8" s="111"/>
      <c r="X8" s="108">
        <v>90</v>
      </c>
      <c r="Y8" s="109"/>
      <c r="Z8" s="4"/>
      <c r="AA8" s="4"/>
      <c r="AB8" s="4"/>
      <c r="AC8" s="4"/>
      <c r="AD8" s="110">
        <v>2</v>
      </c>
      <c r="AE8" s="111"/>
      <c r="AF8" s="108">
        <v>2</v>
      </c>
      <c r="AG8" s="111"/>
      <c r="AH8" s="108">
        <v>90</v>
      </c>
      <c r="AI8" s="109"/>
      <c r="AJ8" s="4"/>
      <c r="AK8" s="4"/>
      <c r="AL8" s="4"/>
      <c r="AM8" s="4"/>
      <c r="AN8" s="34">
        <v>4</v>
      </c>
      <c r="AO8" s="35"/>
      <c r="AP8" s="36">
        <v>5</v>
      </c>
      <c r="AQ8" s="35"/>
      <c r="AR8" s="36">
        <v>195</v>
      </c>
      <c r="AS8" s="37"/>
      <c r="AT8" s="4"/>
      <c r="AU8" s="4"/>
      <c r="AV8" s="4"/>
      <c r="AW8" s="4"/>
      <c r="AX8" s="34">
        <v>3</v>
      </c>
      <c r="AY8" s="35"/>
      <c r="AZ8" s="36">
        <v>4</v>
      </c>
      <c r="BA8" s="35"/>
      <c r="BB8" s="36">
        <v>150</v>
      </c>
      <c r="BC8" s="37"/>
      <c r="BD8" s="4"/>
      <c r="BE8" s="4"/>
      <c r="BF8" s="4"/>
      <c r="BG8" s="4"/>
      <c r="BH8" s="57">
        <v>3</v>
      </c>
      <c r="BI8" s="58"/>
      <c r="BJ8" s="59">
        <v>6</v>
      </c>
      <c r="BK8" s="58"/>
      <c r="BL8" s="59">
        <v>180</v>
      </c>
      <c r="BM8" s="91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SUM(J8,T8,AD8,AN8,AX8,BH8,BR8)</f>
        <v>16</v>
      </c>
      <c r="F9" s="11">
        <f>SUM(J9:BW9)</f>
        <v>21</v>
      </c>
      <c r="G9" s="105"/>
      <c r="H9" s="2"/>
      <c r="I9" s="2"/>
      <c r="J9" s="112">
        <v>2</v>
      </c>
      <c r="K9" s="113"/>
      <c r="L9" s="106">
        <v>0</v>
      </c>
      <c r="M9" s="113"/>
      <c r="N9" s="106">
        <v>0</v>
      </c>
      <c r="O9" s="107"/>
      <c r="P9" s="4"/>
      <c r="Q9" s="4"/>
      <c r="R9" s="4"/>
      <c r="S9" s="4"/>
      <c r="T9" s="112">
        <v>2</v>
      </c>
      <c r="U9" s="113"/>
      <c r="V9" s="106">
        <v>0</v>
      </c>
      <c r="W9" s="113"/>
      <c r="X9" s="106">
        <v>0</v>
      </c>
      <c r="Y9" s="107"/>
      <c r="Z9" s="4"/>
      <c r="AA9" s="4"/>
      <c r="AB9" s="4"/>
      <c r="AC9" s="4"/>
      <c r="AD9" s="112">
        <v>2</v>
      </c>
      <c r="AE9" s="113"/>
      <c r="AF9" s="106">
        <v>0</v>
      </c>
      <c r="AG9" s="113"/>
      <c r="AH9" s="106">
        <v>0</v>
      </c>
      <c r="AI9" s="107"/>
      <c r="AJ9" s="4"/>
      <c r="AK9" s="4"/>
      <c r="AL9" s="4"/>
      <c r="AM9" s="4"/>
      <c r="AN9" s="20">
        <v>3</v>
      </c>
      <c r="AO9" s="21"/>
      <c r="AP9" s="22">
        <v>2</v>
      </c>
      <c r="AQ9" s="21"/>
      <c r="AR9" s="22">
        <v>0</v>
      </c>
      <c r="AS9" s="23"/>
      <c r="AT9" s="4"/>
      <c r="AU9" s="4"/>
      <c r="AV9" s="4"/>
      <c r="AW9" s="4"/>
      <c r="AX9" s="20">
        <v>2</v>
      </c>
      <c r="AY9" s="21"/>
      <c r="AZ9" s="22">
        <v>2</v>
      </c>
      <c r="BA9" s="21"/>
      <c r="BB9" s="22">
        <v>0</v>
      </c>
      <c r="BC9" s="23"/>
      <c r="BD9" s="4"/>
      <c r="BE9" s="4"/>
      <c r="BF9" s="4"/>
      <c r="BG9" s="4"/>
      <c r="BH9" s="92">
        <v>3</v>
      </c>
      <c r="BI9" s="93"/>
      <c r="BJ9" s="70">
        <v>3</v>
      </c>
      <c r="BK9" s="93"/>
      <c r="BL9" s="70">
        <v>0</v>
      </c>
      <c r="BM9" s="71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122</v>
      </c>
      <c r="K14" s="25"/>
      <c r="L14" s="26"/>
      <c r="M14" s="38" t="s">
        <v>109</v>
      </c>
      <c r="N14" s="39"/>
      <c r="O14" s="40"/>
      <c r="P14" s="4"/>
      <c r="Q14" s="4"/>
      <c r="R14" s="4"/>
      <c r="S14" s="4"/>
      <c r="T14" s="24" t="s">
        <v>127</v>
      </c>
      <c r="U14" s="25"/>
      <c r="V14" s="26"/>
      <c r="W14" s="38" t="s">
        <v>110</v>
      </c>
      <c r="X14" s="39"/>
      <c r="Y14" s="40"/>
      <c r="Z14" s="4"/>
      <c r="AA14" s="4"/>
      <c r="AB14" s="4"/>
      <c r="AC14" s="4"/>
      <c r="AD14" s="24" t="s">
        <v>114</v>
      </c>
      <c r="AE14" s="25"/>
      <c r="AF14" s="26"/>
      <c r="AG14" s="38">
        <v>313</v>
      </c>
      <c r="AH14" s="39"/>
      <c r="AI14" s="40"/>
      <c r="AJ14" s="4"/>
      <c r="AK14" s="4"/>
      <c r="AL14" s="4"/>
      <c r="AM14" s="4"/>
      <c r="AN14" s="24" t="s">
        <v>114</v>
      </c>
      <c r="AO14" s="25"/>
      <c r="AP14" s="26"/>
      <c r="AQ14" s="38">
        <v>131</v>
      </c>
      <c r="AR14" s="39"/>
      <c r="AS14" s="40"/>
      <c r="AT14" s="4"/>
      <c r="AU14" s="4"/>
      <c r="AV14" s="4"/>
      <c r="AW14" s="4"/>
      <c r="AX14" s="24" t="s">
        <v>19</v>
      </c>
      <c r="AY14" s="25"/>
      <c r="AZ14" s="26"/>
      <c r="BA14" s="38">
        <v>113</v>
      </c>
      <c r="BB14" s="39"/>
      <c r="BC14" s="40"/>
      <c r="BD14" s="4"/>
      <c r="BE14" s="4"/>
      <c r="BF14" s="4"/>
      <c r="BG14" s="4"/>
      <c r="BH14" s="24" t="s">
        <v>19</v>
      </c>
      <c r="BI14" s="25"/>
      <c r="BJ14" s="26"/>
      <c r="BK14" s="27" t="s">
        <v>35</v>
      </c>
      <c r="BL14" s="28"/>
      <c r="BM14" s="29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840</v>
      </c>
      <c r="H15" s="2"/>
      <c r="I15" s="2"/>
      <c r="J15" s="114" t="s">
        <v>123</v>
      </c>
      <c r="K15" s="115"/>
      <c r="L15" s="115"/>
      <c r="M15" s="115"/>
      <c r="N15" s="116"/>
      <c r="O15" s="117"/>
      <c r="P15" s="4"/>
      <c r="Q15" s="4"/>
      <c r="R15" s="4"/>
      <c r="S15" s="4"/>
      <c r="T15" s="114" t="s">
        <v>128</v>
      </c>
      <c r="U15" s="115"/>
      <c r="V15" s="115"/>
      <c r="W15" s="115"/>
      <c r="X15" s="116"/>
      <c r="Y15" s="117"/>
      <c r="Z15" s="4"/>
      <c r="AA15" s="4"/>
      <c r="AB15" s="4"/>
      <c r="AC15" s="4"/>
      <c r="AD15" s="30" t="s">
        <v>125</v>
      </c>
      <c r="AE15" s="31"/>
      <c r="AF15" s="31"/>
      <c r="AG15" s="31"/>
      <c r="AH15" s="32"/>
      <c r="AI15" s="33"/>
      <c r="AJ15" s="4"/>
      <c r="AK15" s="4"/>
      <c r="AL15" s="4"/>
      <c r="AM15" s="4"/>
      <c r="AN15" s="30" t="s">
        <v>124</v>
      </c>
      <c r="AO15" s="31"/>
      <c r="AP15" s="31"/>
      <c r="AQ15" s="31"/>
      <c r="AR15" s="32"/>
      <c r="AS15" s="33"/>
      <c r="AT15" s="4"/>
      <c r="AU15" s="4"/>
      <c r="AV15" s="4"/>
      <c r="AW15" s="4"/>
      <c r="AX15" s="30" t="s">
        <v>24</v>
      </c>
      <c r="AY15" s="31"/>
      <c r="AZ15" s="31"/>
      <c r="BA15" s="31"/>
      <c r="BB15" s="32"/>
      <c r="BC15" s="33"/>
      <c r="BD15" s="4"/>
      <c r="BE15" s="4"/>
      <c r="BF15" s="4"/>
      <c r="BG15" s="4"/>
      <c r="BH15" s="53" t="s">
        <v>34</v>
      </c>
      <c r="BI15" s="54"/>
      <c r="BJ15" s="54"/>
      <c r="BK15" s="54"/>
      <c r="BL15" s="55"/>
      <c r="BM15" s="56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110">
        <v>2</v>
      </c>
      <c r="K16" s="111"/>
      <c r="L16" s="108">
        <v>2</v>
      </c>
      <c r="M16" s="111"/>
      <c r="N16" s="108">
        <v>90</v>
      </c>
      <c r="O16" s="109"/>
      <c r="P16" s="4"/>
      <c r="Q16" s="4"/>
      <c r="R16" s="4"/>
      <c r="S16" s="4"/>
      <c r="T16" s="110">
        <v>2</v>
      </c>
      <c r="U16" s="111"/>
      <c r="V16" s="108">
        <v>2</v>
      </c>
      <c r="W16" s="111"/>
      <c r="X16" s="108">
        <v>90</v>
      </c>
      <c r="Y16" s="109"/>
      <c r="Z16" s="4"/>
      <c r="AA16" s="4"/>
      <c r="AB16" s="4"/>
      <c r="AC16" s="4"/>
      <c r="AD16" s="34">
        <v>4</v>
      </c>
      <c r="AE16" s="35"/>
      <c r="AF16" s="36">
        <v>5</v>
      </c>
      <c r="AG16" s="35"/>
      <c r="AH16" s="36">
        <v>195</v>
      </c>
      <c r="AI16" s="37"/>
      <c r="AJ16" s="4"/>
      <c r="AK16" s="4"/>
      <c r="AL16" s="4"/>
      <c r="AM16" s="4"/>
      <c r="AN16" s="34">
        <v>2</v>
      </c>
      <c r="AO16" s="35"/>
      <c r="AP16" s="36">
        <v>3</v>
      </c>
      <c r="AQ16" s="35"/>
      <c r="AR16" s="36">
        <v>105</v>
      </c>
      <c r="AS16" s="37"/>
      <c r="AT16" s="4"/>
      <c r="AU16" s="4"/>
      <c r="AV16" s="4"/>
      <c r="AW16" s="4"/>
      <c r="AX16" s="34">
        <v>3</v>
      </c>
      <c r="AY16" s="35"/>
      <c r="AZ16" s="36">
        <v>6</v>
      </c>
      <c r="BA16" s="35"/>
      <c r="BB16" s="36">
        <v>180</v>
      </c>
      <c r="BC16" s="37"/>
      <c r="BD16" s="4"/>
      <c r="BE16" s="4"/>
      <c r="BF16" s="4"/>
      <c r="BG16" s="4"/>
      <c r="BH16" s="57">
        <v>3</v>
      </c>
      <c r="BI16" s="58"/>
      <c r="BJ16" s="59">
        <v>6</v>
      </c>
      <c r="BK16" s="58"/>
      <c r="BL16" s="59">
        <v>180</v>
      </c>
      <c r="BM16" s="91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SUM(J16,T16,AD16,AN16,AX16,BH16,BR16)</f>
        <v>16</v>
      </c>
      <c r="F17" s="11">
        <f>SUM(J17:BW17)</f>
        <v>24</v>
      </c>
      <c r="G17" s="105"/>
      <c r="H17" s="2"/>
      <c r="I17" s="2"/>
      <c r="J17" s="112">
        <v>2</v>
      </c>
      <c r="K17" s="113"/>
      <c r="L17" s="106">
        <v>0</v>
      </c>
      <c r="M17" s="113"/>
      <c r="N17" s="106">
        <v>0</v>
      </c>
      <c r="O17" s="107"/>
      <c r="P17" s="4"/>
      <c r="Q17" s="4"/>
      <c r="R17" s="4"/>
      <c r="S17" s="4"/>
      <c r="T17" s="112">
        <v>2</v>
      </c>
      <c r="U17" s="113"/>
      <c r="V17" s="106">
        <v>0</v>
      </c>
      <c r="W17" s="113"/>
      <c r="X17" s="106">
        <v>0</v>
      </c>
      <c r="Y17" s="107"/>
      <c r="Z17" s="4"/>
      <c r="AA17" s="4"/>
      <c r="AB17" s="4"/>
      <c r="AC17" s="4"/>
      <c r="AD17" s="20">
        <v>3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20">
        <v>1</v>
      </c>
      <c r="AO17" s="21"/>
      <c r="AP17" s="22">
        <v>2</v>
      </c>
      <c r="AQ17" s="21"/>
      <c r="AR17" s="22">
        <v>0</v>
      </c>
      <c r="AS17" s="23"/>
      <c r="AT17" s="4"/>
      <c r="AU17" s="4"/>
      <c r="AV17" s="4"/>
      <c r="AW17" s="4"/>
      <c r="AX17" s="20">
        <v>1</v>
      </c>
      <c r="AY17" s="21"/>
      <c r="AZ17" s="22">
        <v>3</v>
      </c>
      <c r="BA17" s="21"/>
      <c r="BB17" s="22">
        <v>2</v>
      </c>
      <c r="BC17" s="23"/>
      <c r="BD17" s="4"/>
      <c r="BE17" s="4"/>
      <c r="BF17" s="4"/>
      <c r="BG17" s="4"/>
      <c r="BH17" s="92">
        <v>3</v>
      </c>
      <c r="BI17" s="93"/>
      <c r="BJ17" s="70">
        <v>3</v>
      </c>
      <c r="BK17" s="93"/>
      <c r="BL17" s="70">
        <v>0</v>
      </c>
      <c r="BM17" s="71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3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129</v>
      </c>
      <c r="K24" s="25"/>
      <c r="L24" s="26"/>
      <c r="M24" s="38" t="s">
        <v>110</v>
      </c>
      <c r="N24" s="39"/>
      <c r="O24" s="40"/>
      <c r="P24" s="4"/>
      <c r="Q24" s="4"/>
      <c r="R24" s="4"/>
      <c r="S24" s="4"/>
      <c r="T24" s="24" t="s">
        <v>114</v>
      </c>
      <c r="U24" s="25"/>
      <c r="V24" s="26"/>
      <c r="W24" s="38">
        <v>112</v>
      </c>
      <c r="X24" s="39"/>
      <c r="Y24" s="40"/>
      <c r="Z24" s="4"/>
      <c r="AA24" s="4"/>
      <c r="AB24" s="4"/>
      <c r="AC24" s="4"/>
      <c r="AD24" s="24" t="s">
        <v>114</v>
      </c>
      <c r="AE24" s="25"/>
      <c r="AF24" s="26"/>
      <c r="AG24" s="38">
        <v>231</v>
      </c>
      <c r="AH24" s="39"/>
      <c r="AI24" s="40"/>
      <c r="AJ24" s="4"/>
      <c r="AK24" s="4"/>
      <c r="AL24" s="4"/>
      <c r="AM24" s="4"/>
      <c r="AN24" s="24" t="s">
        <v>19</v>
      </c>
      <c r="AO24" s="25"/>
      <c r="AP24" s="26"/>
      <c r="AQ24" s="38">
        <v>111</v>
      </c>
      <c r="AR24" s="102"/>
      <c r="AS24" s="103"/>
      <c r="AT24" s="4"/>
      <c r="AU24" s="4"/>
      <c r="AV24" s="4"/>
      <c r="AW24" s="4"/>
      <c r="AX24" s="24" t="s">
        <v>19</v>
      </c>
      <c r="AY24" s="25"/>
      <c r="AZ24" s="26"/>
      <c r="BA24" s="38">
        <v>131</v>
      </c>
      <c r="BB24" s="102"/>
      <c r="BC24" s="103"/>
      <c r="BD24" s="4"/>
      <c r="BE24" s="4"/>
      <c r="BF24" s="4"/>
      <c r="BG24" s="4"/>
      <c r="BH24" s="24" t="s">
        <v>48</v>
      </c>
      <c r="BI24" s="25"/>
      <c r="BJ24" s="26"/>
      <c r="BK24" s="38">
        <v>111</v>
      </c>
      <c r="BL24" s="39"/>
      <c r="BM24" s="40"/>
      <c r="BN24" s="4"/>
      <c r="BO24" s="4"/>
      <c r="BP24" s="4"/>
      <c r="BQ24" s="4"/>
      <c r="BR24" s="24" t="s">
        <v>48</v>
      </c>
      <c r="BS24" s="25"/>
      <c r="BT24" s="26"/>
      <c r="BU24" s="38">
        <v>191</v>
      </c>
      <c r="BV24" s="39"/>
      <c r="BW24" s="40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48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SUM(N26,X26,AH26,AR26,BB26,BL26,BV26)</f>
        <v>1005</v>
      </c>
      <c r="H25" s="2"/>
      <c r="I25" s="2"/>
      <c r="J25" s="114" t="s">
        <v>130</v>
      </c>
      <c r="K25" s="115"/>
      <c r="L25" s="115"/>
      <c r="M25" s="115"/>
      <c r="N25" s="116"/>
      <c r="O25" s="117"/>
      <c r="P25" s="4"/>
      <c r="Q25" s="4"/>
      <c r="R25" s="4"/>
      <c r="S25" s="4"/>
      <c r="T25" s="30" t="s">
        <v>126</v>
      </c>
      <c r="U25" s="31"/>
      <c r="V25" s="31"/>
      <c r="W25" s="31"/>
      <c r="X25" s="32"/>
      <c r="Y25" s="33"/>
      <c r="Z25" s="4"/>
      <c r="AA25" s="4"/>
      <c r="AB25" s="4"/>
      <c r="AC25" s="4"/>
      <c r="AD25" s="30" t="s">
        <v>148</v>
      </c>
      <c r="AE25" s="31"/>
      <c r="AF25" s="31"/>
      <c r="AG25" s="31"/>
      <c r="AH25" s="32"/>
      <c r="AI25" s="33"/>
      <c r="AJ25" s="4"/>
      <c r="AK25" s="4"/>
      <c r="AL25" s="4"/>
      <c r="AM25" s="4"/>
      <c r="AN25" s="53" t="s">
        <v>36</v>
      </c>
      <c r="AO25" s="54"/>
      <c r="AP25" s="54"/>
      <c r="AQ25" s="54"/>
      <c r="AR25" s="55"/>
      <c r="AS25" s="56"/>
      <c r="AT25" s="4"/>
      <c r="AU25" s="4"/>
      <c r="AV25" s="4"/>
      <c r="AW25" s="4"/>
      <c r="AX25" s="53" t="s">
        <v>37</v>
      </c>
      <c r="AY25" s="54"/>
      <c r="AZ25" s="54"/>
      <c r="BA25" s="54"/>
      <c r="BB25" s="55"/>
      <c r="BC25" s="56"/>
      <c r="BD25" s="4"/>
      <c r="BE25" s="4"/>
      <c r="BF25" s="4"/>
      <c r="BG25" s="4"/>
      <c r="BH25" s="94" t="s">
        <v>47</v>
      </c>
      <c r="BI25" s="95"/>
      <c r="BJ25" s="95"/>
      <c r="BK25" s="95"/>
      <c r="BL25" s="96"/>
      <c r="BM25" s="97"/>
      <c r="BN25" s="4"/>
      <c r="BO25" s="4"/>
      <c r="BP25" s="4"/>
      <c r="BQ25" s="4"/>
      <c r="BR25" s="41" t="s">
        <v>154</v>
      </c>
      <c r="BS25" s="42"/>
      <c r="BT25" s="42"/>
      <c r="BU25" s="42"/>
      <c r="BV25" s="43"/>
      <c r="BW25" s="4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110">
        <v>2</v>
      </c>
      <c r="K26" s="111"/>
      <c r="L26" s="108">
        <v>2</v>
      </c>
      <c r="M26" s="111"/>
      <c r="N26" s="108">
        <v>90</v>
      </c>
      <c r="O26" s="109"/>
      <c r="P26" s="4"/>
      <c r="Q26" s="4"/>
      <c r="R26" s="4"/>
      <c r="S26" s="4"/>
      <c r="T26" s="34">
        <v>3</v>
      </c>
      <c r="U26" s="35"/>
      <c r="V26" s="36">
        <v>4</v>
      </c>
      <c r="W26" s="35"/>
      <c r="X26" s="36">
        <v>150</v>
      </c>
      <c r="Y26" s="37"/>
      <c r="Z26" s="4"/>
      <c r="AA26" s="4"/>
      <c r="AB26" s="4"/>
      <c r="AC26" s="4"/>
      <c r="AD26" s="34">
        <v>3</v>
      </c>
      <c r="AE26" s="35"/>
      <c r="AF26" s="36">
        <v>4</v>
      </c>
      <c r="AG26" s="35"/>
      <c r="AH26" s="36">
        <v>150</v>
      </c>
      <c r="AI26" s="37"/>
      <c r="AJ26" s="4"/>
      <c r="AK26" s="4"/>
      <c r="AL26" s="4"/>
      <c r="AM26" s="4"/>
      <c r="AN26" s="57">
        <v>3</v>
      </c>
      <c r="AO26" s="58"/>
      <c r="AP26" s="59">
        <v>6</v>
      </c>
      <c r="AQ26" s="58"/>
      <c r="AR26" s="59">
        <v>180</v>
      </c>
      <c r="AS26" s="91"/>
      <c r="AT26" s="4"/>
      <c r="AU26" s="4"/>
      <c r="AV26" s="4"/>
      <c r="AW26" s="4"/>
      <c r="AX26" s="57">
        <v>3</v>
      </c>
      <c r="AY26" s="58"/>
      <c r="AZ26" s="59">
        <v>7</v>
      </c>
      <c r="BA26" s="58"/>
      <c r="BB26" s="59">
        <v>195</v>
      </c>
      <c r="BC26" s="91"/>
      <c r="BD26" s="4"/>
      <c r="BE26" s="4"/>
      <c r="BF26" s="4"/>
      <c r="BG26" s="4"/>
      <c r="BH26" s="98">
        <v>3</v>
      </c>
      <c r="BI26" s="99"/>
      <c r="BJ26" s="100">
        <v>6</v>
      </c>
      <c r="BK26" s="99"/>
      <c r="BL26" s="100">
        <v>180</v>
      </c>
      <c r="BM26" s="101"/>
      <c r="BN26" s="4"/>
      <c r="BO26" s="4"/>
      <c r="BP26" s="4"/>
      <c r="BQ26" s="4"/>
      <c r="BR26" s="45">
        <v>2</v>
      </c>
      <c r="BS26" s="46"/>
      <c r="BT26" s="47">
        <v>2</v>
      </c>
      <c r="BU26" s="46"/>
      <c r="BV26" s="47">
        <v>60</v>
      </c>
      <c r="BW26" s="48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thickBot="1" x14ac:dyDescent="0.35">
      <c r="B27" s="118"/>
      <c r="C27" s="1"/>
      <c r="D27" s="119"/>
      <c r="E27" s="11">
        <f>SUM(J26,T26,AD26,AN26,AX26,BH26,BR26)</f>
        <v>19</v>
      </c>
      <c r="F27" s="11">
        <f>SUM(J27:BW27)</f>
        <v>31</v>
      </c>
      <c r="G27" s="105"/>
      <c r="H27" s="2"/>
      <c r="I27" s="2"/>
      <c r="J27" s="112">
        <v>2</v>
      </c>
      <c r="K27" s="113"/>
      <c r="L27" s="106">
        <v>0</v>
      </c>
      <c r="M27" s="113"/>
      <c r="N27" s="106">
        <v>0</v>
      </c>
      <c r="O27" s="107"/>
      <c r="P27" s="4"/>
      <c r="Q27" s="4"/>
      <c r="R27" s="4"/>
      <c r="S27" s="4"/>
      <c r="T27" s="20">
        <v>2</v>
      </c>
      <c r="U27" s="21"/>
      <c r="V27" s="22">
        <v>2</v>
      </c>
      <c r="W27" s="21"/>
      <c r="X27" s="22">
        <v>0</v>
      </c>
      <c r="Y27" s="23"/>
      <c r="Z27" s="4"/>
      <c r="AA27" s="4"/>
      <c r="AB27" s="4"/>
      <c r="AC27" s="4"/>
      <c r="AD27" s="20">
        <v>2</v>
      </c>
      <c r="AE27" s="21"/>
      <c r="AF27" s="22">
        <v>2</v>
      </c>
      <c r="AG27" s="21"/>
      <c r="AH27" s="22">
        <v>0</v>
      </c>
      <c r="AI27" s="23"/>
      <c r="AJ27" s="4"/>
      <c r="AK27" s="4"/>
      <c r="AL27" s="4"/>
      <c r="AM27" s="4"/>
      <c r="AN27" s="92">
        <v>3</v>
      </c>
      <c r="AO27" s="93"/>
      <c r="AP27" s="70">
        <v>3</v>
      </c>
      <c r="AQ27" s="93"/>
      <c r="AR27" s="70">
        <v>0</v>
      </c>
      <c r="AS27" s="71"/>
      <c r="AT27" s="4"/>
      <c r="AU27" s="4"/>
      <c r="AV27" s="4"/>
      <c r="AW27" s="4"/>
      <c r="AX27" s="92">
        <v>3</v>
      </c>
      <c r="AY27" s="93"/>
      <c r="AZ27" s="70">
        <v>2</v>
      </c>
      <c r="BA27" s="93"/>
      <c r="BB27" s="70">
        <v>2</v>
      </c>
      <c r="BC27" s="71"/>
      <c r="BD27" s="4"/>
      <c r="BE27" s="4"/>
      <c r="BF27" s="4"/>
      <c r="BG27" s="4"/>
      <c r="BH27" s="72">
        <v>3</v>
      </c>
      <c r="BI27" s="73"/>
      <c r="BJ27" s="68">
        <v>3</v>
      </c>
      <c r="BK27" s="73"/>
      <c r="BL27" s="68">
        <v>0</v>
      </c>
      <c r="BM27" s="69"/>
      <c r="BN27" s="4"/>
      <c r="BO27" s="4"/>
      <c r="BP27" s="4"/>
      <c r="BQ27" s="4"/>
      <c r="BR27" s="49">
        <v>2</v>
      </c>
      <c r="BS27" s="50"/>
      <c r="BT27" s="51">
        <v>0</v>
      </c>
      <c r="BU27" s="50"/>
      <c r="BV27" s="51">
        <v>0</v>
      </c>
      <c r="BW27" s="52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19</v>
      </c>
      <c r="K32" s="25"/>
      <c r="L32" s="26"/>
      <c r="M32" s="38">
        <v>315</v>
      </c>
      <c r="N32" s="39"/>
      <c r="O32" s="40"/>
      <c r="P32" s="4"/>
      <c r="Q32" s="4"/>
      <c r="R32" s="4"/>
      <c r="S32" s="4"/>
      <c r="T32" s="24" t="s">
        <v>19</v>
      </c>
      <c r="U32" s="25"/>
      <c r="V32" s="26"/>
      <c r="W32" s="38">
        <v>132</v>
      </c>
      <c r="X32" s="102"/>
      <c r="Y32" s="103"/>
      <c r="Z32" s="4"/>
      <c r="AA32" s="4"/>
      <c r="AB32" s="4"/>
      <c r="AC32" s="4"/>
      <c r="AD32" s="24" t="s">
        <v>19</v>
      </c>
      <c r="AE32" s="25"/>
      <c r="AF32" s="26"/>
      <c r="AG32" s="38">
        <v>112</v>
      </c>
      <c r="AH32" s="102"/>
      <c r="AI32" s="103"/>
      <c r="AJ32" s="4"/>
      <c r="AK32" s="4"/>
      <c r="AL32" s="4"/>
      <c r="AM32" s="4"/>
      <c r="AN32" s="24" t="s">
        <v>19</v>
      </c>
      <c r="AO32" s="25"/>
      <c r="AP32" s="26"/>
      <c r="AQ32" s="38">
        <v>221</v>
      </c>
      <c r="AR32" s="102"/>
      <c r="AS32" s="103"/>
      <c r="AT32" s="4"/>
      <c r="AU32" s="4"/>
      <c r="AV32" s="4"/>
      <c r="AW32" s="4"/>
      <c r="AX32" s="24" t="s">
        <v>19</v>
      </c>
      <c r="AY32" s="25"/>
      <c r="AZ32" s="26"/>
      <c r="BA32" s="38">
        <v>251</v>
      </c>
      <c r="BB32" s="102"/>
      <c r="BC32" s="103"/>
      <c r="BD32" s="4"/>
      <c r="BE32" s="4"/>
      <c r="BF32" s="4"/>
      <c r="BG32" s="4"/>
      <c r="BH32" s="24" t="s">
        <v>48</v>
      </c>
      <c r="BI32" s="25"/>
      <c r="BJ32" s="26"/>
      <c r="BK32" s="38">
        <v>121</v>
      </c>
      <c r="BL32" s="39"/>
      <c r="BM32" s="40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1035</v>
      </c>
      <c r="H33" s="2"/>
      <c r="I33" s="2"/>
      <c r="J33" s="30" t="s">
        <v>26</v>
      </c>
      <c r="K33" s="31"/>
      <c r="L33" s="31"/>
      <c r="M33" s="31"/>
      <c r="N33" s="32"/>
      <c r="O33" s="33"/>
      <c r="P33" s="4"/>
      <c r="Q33" s="4"/>
      <c r="R33" s="4"/>
      <c r="S33" s="4"/>
      <c r="T33" s="53" t="s">
        <v>39</v>
      </c>
      <c r="U33" s="54"/>
      <c r="V33" s="54"/>
      <c r="W33" s="54"/>
      <c r="X33" s="55"/>
      <c r="Y33" s="56"/>
      <c r="Z33" s="4"/>
      <c r="AA33" s="4"/>
      <c r="AB33" s="4"/>
      <c r="AC33" s="4"/>
      <c r="AD33" s="53" t="s">
        <v>38</v>
      </c>
      <c r="AE33" s="54"/>
      <c r="AF33" s="54"/>
      <c r="AG33" s="54"/>
      <c r="AH33" s="55"/>
      <c r="AI33" s="56"/>
      <c r="AJ33" s="4"/>
      <c r="AK33" s="4"/>
      <c r="AL33" s="4"/>
      <c r="AM33" s="4"/>
      <c r="AN33" s="53" t="s">
        <v>43</v>
      </c>
      <c r="AO33" s="54"/>
      <c r="AP33" s="54"/>
      <c r="AQ33" s="54"/>
      <c r="AR33" s="55"/>
      <c r="AS33" s="56"/>
      <c r="AT33" s="4"/>
      <c r="AU33" s="4"/>
      <c r="AV33" s="4"/>
      <c r="AW33" s="4"/>
      <c r="AX33" s="53" t="s">
        <v>67</v>
      </c>
      <c r="AY33" s="54"/>
      <c r="AZ33" s="54"/>
      <c r="BA33" s="54"/>
      <c r="BB33" s="55"/>
      <c r="BC33" s="56"/>
      <c r="BD33" s="4"/>
      <c r="BE33" s="4"/>
      <c r="BF33" s="4"/>
      <c r="BG33" s="4"/>
      <c r="BH33" s="94" t="s">
        <v>49</v>
      </c>
      <c r="BI33" s="95"/>
      <c r="BJ33" s="95"/>
      <c r="BK33" s="95"/>
      <c r="BL33" s="96"/>
      <c r="BM33" s="97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34">
        <v>3</v>
      </c>
      <c r="K34" s="35"/>
      <c r="L34" s="36">
        <v>4</v>
      </c>
      <c r="M34" s="35"/>
      <c r="N34" s="36">
        <v>150</v>
      </c>
      <c r="O34" s="37"/>
      <c r="P34" s="4"/>
      <c r="Q34" s="4"/>
      <c r="R34" s="4"/>
      <c r="S34" s="4"/>
      <c r="T34" s="57">
        <v>3</v>
      </c>
      <c r="U34" s="58"/>
      <c r="V34" s="59">
        <v>5</v>
      </c>
      <c r="W34" s="58"/>
      <c r="X34" s="59">
        <v>165</v>
      </c>
      <c r="Y34" s="91"/>
      <c r="Z34" s="4"/>
      <c r="AA34" s="4"/>
      <c r="AB34" s="4"/>
      <c r="AC34" s="4"/>
      <c r="AD34" s="57">
        <v>3</v>
      </c>
      <c r="AE34" s="58"/>
      <c r="AF34" s="59">
        <v>6</v>
      </c>
      <c r="AG34" s="58"/>
      <c r="AH34" s="59">
        <v>180</v>
      </c>
      <c r="AI34" s="91"/>
      <c r="AJ34" s="4"/>
      <c r="AK34" s="4"/>
      <c r="AL34" s="4"/>
      <c r="AM34" s="4"/>
      <c r="AN34" s="57">
        <v>3</v>
      </c>
      <c r="AO34" s="58"/>
      <c r="AP34" s="59">
        <v>6</v>
      </c>
      <c r="AQ34" s="58"/>
      <c r="AR34" s="59">
        <v>180</v>
      </c>
      <c r="AS34" s="91"/>
      <c r="AT34" s="4"/>
      <c r="AU34" s="4"/>
      <c r="AV34" s="4"/>
      <c r="AW34" s="4"/>
      <c r="AX34" s="57">
        <v>3</v>
      </c>
      <c r="AY34" s="58"/>
      <c r="AZ34" s="59">
        <v>6</v>
      </c>
      <c r="BA34" s="58"/>
      <c r="BB34" s="59">
        <v>180</v>
      </c>
      <c r="BC34" s="91"/>
      <c r="BD34" s="4"/>
      <c r="BE34" s="4"/>
      <c r="BF34" s="4"/>
      <c r="BG34" s="4"/>
      <c r="BH34" s="98">
        <v>3</v>
      </c>
      <c r="BI34" s="99"/>
      <c r="BJ34" s="100">
        <v>6</v>
      </c>
      <c r="BK34" s="99"/>
      <c r="BL34" s="100">
        <v>180</v>
      </c>
      <c r="BM34" s="101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SUM(J34,T34,AD34,AN34,AX34,BH34,BR34)</f>
        <v>18</v>
      </c>
      <c r="F35" s="11">
        <f>L34+V34+AF34+AP34+AZ34+BJ34+BT34</f>
        <v>33</v>
      </c>
      <c r="G35" s="105"/>
      <c r="H35" s="2"/>
      <c r="I35" s="2"/>
      <c r="J35" s="20">
        <v>2</v>
      </c>
      <c r="K35" s="21"/>
      <c r="L35" s="22">
        <v>0</v>
      </c>
      <c r="M35" s="21"/>
      <c r="N35" s="22">
        <v>2</v>
      </c>
      <c r="O35" s="23"/>
      <c r="P35" s="4"/>
      <c r="Q35" s="4"/>
      <c r="R35" s="4"/>
      <c r="S35" s="4"/>
      <c r="T35" s="92">
        <v>3</v>
      </c>
      <c r="U35" s="93"/>
      <c r="V35" s="70">
        <v>2</v>
      </c>
      <c r="W35" s="93"/>
      <c r="X35" s="70">
        <v>0</v>
      </c>
      <c r="Y35" s="71"/>
      <c r="Z35" s="4"/>
      <c r="AA35" s="4"/>
      <c r="AB35" s="4"/>
      <c r="AC35" s="4"/>
      <c r="AD35" s="92">
        <v>3</v>
      </c>
      <c r="AE35" s="93"/>
      <c r="AF35" s="70">
        <v>3</v>
      </c>
      <c r="AG35" s="93"/>
      <c r="AH35" s="70">
        <v>0</v>
      </c>
      <c r="AI35" s="71"/>
      <c r="AJ35" s="4"/>
      <c r="AK35" s="4"/>
      <c r="AL35" s="4"/>
      <c r="AM35" s="4"/>
      <c r="AN35" s="92">
        <v>3</v>
      </c>
      <c r="AO35" s="93"/>
      <c r="AP35" s="70">
        <v>3</v>
      </c>
      <c r="AQ35" s="93"/>
      <c r="AR35" s="70">
        <v>0</v>
      </c>
      <c r="AS35" s="71"/>
      <c r="AT35" s="4"/>
      <c r="AU35" s="4"/>
      <c r="AV35" s="4"/>
      <c r="AW35" s="4"/>
      <c r="AX35" s="92">
        <v>3</v>
      </c>
      <c r="AY35" s="93"/>
      <c r="AZ35" s="70">
        <v>3</v>
      </c>
      <c r="BA35" s="93"/>
      <c r="BB35" s="70">
        <v>0</v>
      </c>
      <c r="BC35" s="71"/>
      <c r="BD35" s="4"/>
      <c r="BE35" s="4"/>
      <c r="BF35" s="4"/>
      <c r="BG35" s="4"/>
      <c r="BH35" s="72">
        <v>3</v>
      </c>
      <c r="BI35" s="73"/>
      <c r="BJ35" s="68">
        <v>3</v>
      </c>
      <c r="BK35" s="73"/>
      <c r="BL35" s="68">
        <v>0</v>
      </c>
      <c r="BM35" s="69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2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144</v>
      </c>
      <c r="K42" s="25"/>
      <c r="L42" s="26"/>
      <c r="M42" s="38" t="s">
        <v>111</v>
      </c>
      <c r="N42" s="39"/>
      <c r="O42" s="40"/>
      <c r="P42" s="4"/>
      <c r="Q42" s="4"/>
      <c r="R42" s="4"/>
      <c r="S42" s="4"/>
      <c r="T42" s="24" t="s">
        <v>19</v>
      </c>
      <c r="U42" s="25"/>
      <c r="V42" s="26"/>
      <c r="W42" s="38">
        <v>233</v>
      </c>
      <c r="X42" s="102"/>
      <c r="Y42" s="103"/>
      <c r="Z42" s="4"/>
      <c r="AA42" s="4"/>
      <c r="AB42" s="4"/>
      <c r="AC42" s="4"/>
      <c r="AD42" s="24" t="s">
        <v>19</v>
      </c>
      <c r="AE42" s="25"/>
      <c r="AF42" s="26"/>
      <c r="AG42" s="38">
        <v>261</v>
      </c>
      <c r="AH42" s="102"/>
      <c r="AI42" s="103"/>
      <c r="AJ42" s="4"/>
      <c r="AK42" s="4"/>
      <c r="AL42" s="4"/>
      <c r="AM42" s="4"/>
      <c r="AN42" s="24" t="s">
        <v>19</v>
      </c>
      <c r="AO42" s="25"/>
      <c r="AP42" s="26"/>
      <c r="AQ42" s="38">
        <v>281</v>
      </c>
      <c r="AR42" s="102"/>
      <c r="AS42" s="103"/>
      <c r="AT42" s="4"/>
      <c r="AU42" s="4"/>
      <c r="AV42" s="4"/>
      <c r="AW42" s="4"/>
      <c r="AX42" s="24" t="s">
        <v>48</v>
      </c>
      <c r="AY42" s="25"/>
      <c r="AZ42" s="26"/>
      <c r="BA42" s="38">
        <v>323</v>
      </c>
      <c r="BB42" s="39"/>
      <c r="BC42" s="40"/>
      <c r="BD42" s="4"/>
      <c r="BE42" s="4"/>
      <c r="BF42" s="4"/>
      <c r="BG42" s="4"/>
      <c r="BH42" s="24" t="s">
        <v>48</v>
      </c>
      <c r="BI42" s="25"/>
      <c r="BJ42" s="26"/>
      <c r="BK42" s="38">
        <v>241</v>
      </c>
      <c r="BL42" s="39"/>
      <c r="BM42" s="40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960</v>
      </c>
      <c r="H43" s="2"/>
      <c r="I43" s="2"/>
      <c r="J43" s="114" t="s">
        <v>106</v>
      </c>
      <c r="K43" s="115"/>
      <c r="L43" s="115"/>
      <c r="M43" s="115"/>
      <c r="N43" s="116"/>
      <c r="O43" s="117"/>
      <c r="P43" s="4"/>
      <c r="Q43" s="4"/>
      <c r="R43" s="4"/>
      <c r="S43" s="4"/>
      <c r="T43" s="53" t="s">
        <v>40</v>
      </c>
      <c r="U43" s="54"/>
      <c r="V43" s="54"/>
      <c r="W43" s="54"/>
      <c r="X43" s="55"/>
      <c r="Y43" s="56"/>
      <c r="Z43" s="4"/>
      <c r="AA43" s="4"/>
      <c r="AB43" s="4"/>
      <c r="AC43" s="4"/>
      <c r="AD43" s="53" t="s">
        <v>41</v>
      </c>
      <c r="AE43" s="54"/>
      <c r="AF43" s="54"/>
      <c r="AG43" s="54"/>
      <c r="AH43" s="55"/>
      <c r="AI43" s="56"/>
      <c r="AJ43" s="4"/>
      <c r="AK43" s="4"/>
      <c r="AL43" s="4"/>
      <c r="AM43" s="4"/>
      <c r="AN43" s="53" t="s">
        <v>42</v>
      </c>
      <c r="AO43" s="54"/>
      <c r="AP43" s="54"/>
      <c r="AQ43" s="54"/>
      <c r="AR43" s="55"/>
      <c r="AS43" s="56"/>
      <c r="AT43" s="4"/>
      <c r="AU43" s="4"/>
      <c r="AV43" s="4"/>
      <c r="AW43" s="4"/>
      <c r="AX43" s="94" t="s">
        <v>57</v>
      </c>
      <c r="AY43" s="95"/>
      <c r="AZ43" s="95"/>
      <c r="BA43" s="95"/>
      <c r="BB43" s="96"/>
      <c r="BC43" s="97"/>
      <c r="BD43" s="4"/>
      <c r="BE43" s="4"/>
      <c r="BF43" s="4"/>
      <c r="BG43" s="4"/>
      <c r="BH43" s="94" t="s">
        <v>51</v>
      </c>
      <c r="BI43" s="95"/>
      <c r="BJ43" s="95"/>
      <c r="BK43" s="95"/>
      <c r="BL43" s="96"/>
      <c r="BM43" s="97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110">
        <v>2</v>
      </c>
      <c r="K44" s="111"/>
      <c r="L44" s="108">
        <v>2</v>
      </c>
      <c r="M44" s="111"/>
      <c r="N44" s="108">
        <v>90</v>
      </c>
      <c r="O44" s="109"/>
      <c r="P44" s="4"/>
      <c r="Q44" s="4"/>
      <c r="R44" s="4"/>
      <c r="S44" s="4"/>
      <c r="T44" s="57">
        <v>3</v>
      </c>
      <c r="U44" s="58"/>
      <c r="V44" s="59">
        <v>5</v>
      </c>
      <c r="W44" s="58"/>
      <c r="X44" s="59">
        <v>165</v>
      </c>
      <c r="Y44" s="91"/>
      <c r="Z44" s="4"/>
      <c r="AA44" s="4"/>
      <c r="AB44" s="4"/>
      <c r="AC44" s="4"/>
      <c r="AD44" s="57">
        <v>3</v>
      </c>
      <c r="AE44" s="58"/>
      <c r="AF44" s="59">
        <v>5</v>
      </c>
      <c r="AG44" s="58"/>
      <c r="AH44" s="59">
        <v>165</v>
      </c>
      <c r="AI44" s="91"/>
      <c r="AJ44" s="4"/>
      <c r="AK44" s="4"/>
      <c r="AL44" s="4"/>
      <c r="AM44" s="4"/>
      <c r="AN44" s="57">
        <v>3</v>
      </c>
      <c r="AO44" s="58"/>
      <c r="AP44" s="59">
        <v>6</v>
      </c>
      <c r="AQ44" s="58"/>
      <c r="AR44" s="59">
        <v>180</v>
      </c>
      <c r="AS44" s="91"/>
      <c r="AT44" s="4"/>
      <c r="AU44" s="4"/>
      <c r="AV44" s="4"/>
      <c r="AW44" s="4"/>
      <c r="AX44" s="98">
        <v>3</v>
      </c>
      <c r="AY44" s="99"/>
      <c r="AZ44" s="100">
        <v>6</v>
      </c>
      <c r="BA44" s="99"/>
      <c r="BB44" s="100">
        <v>180</v>
      </c>
      <c r="BC44" s="101"/>
      <c r="BD44" s="4"/>
      <c r="BE44" s="4"/>
      <c r="BF44" s="4"/>
      <c r="BG44" s="4"/>
      <c r="BH44" s="98">
        <v>3</v>
      </c>
      <c r="BI44" s="99"/>
      <c r="BJ44" s="100">
        <v>6</v>
      </c>
      <c r="BK44" s="99"/>
      <c r="BL44" s="100">
        <v>180</v>
      </c>
      <c r="BM44" s="101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17</v>
      </c>
      <c r="F45" s="11">
        <f>SUM(J45:BM45)</f>
        <v>30</v>
      </c>
      <c r="G45" s="105"/>
      <c r="H45" s="2"/>
      <c r="I45" s="2"/>
      <c r="J45" s="112">
        <v>2</v>
      </c>
      <c r="K45" s="113"/>
      <c r="L45" s="106">
        <v>0</v>
      </c>
      <c r="M45" s="113"/>
      <c r="N45" s="106">
        <v>0</v>
      </c>
      <c r="O45" s="107"/>
      <c r="P45" s="4"/>
      <c r="Q45" s="4"/>
      <c r="R45" s="4"/>
      <c r="S45" s="4"/>
      <c r="T45" s="92">
        <v>3</v>
      </c>
      <c r="U45" s="93"/>
      <c r="V45" s="70">
        <v>2</v>
      </c>
      <c r="W45" s="93"/>
      <c r="X45" s="70">
        <v>0</v>
      </c>
      <c r="Y45" s="71"/>
      <c r="Z45" s="4"/>
      <c r="AA45" s="4"/>
      <c r="AB45" s="4"/>
      <c r="AC45" s="4"/>
      <c r="AD45" s="92">
        <v>3</v>
      </c>
      <c r="AE45" s="93"/>
      <c r="AF45" s="70">
        <v>2</v>
      </c>
      <c r="AG45" s="93"/>
      <c r="AH45" s="70">
        <v>0</v>
      </c>
      <c r="AI45" s="71"/>
      <c r="AJ45" s="4"/>
      <c r="AK45" s="4"/>
      <c r="AL45" s="4"/>
      <c r="AM45" s="4"/>
      <c r="AN45" s="92">
        <v>3</v>
      </c>
      <c r="AO45" s="93"/>
      <c r="AP45" s="70">
        <v>3</v>
      </c>
      <c r="AQ45" s="93"/>
      <c r="AR45" s="70">
        <v>0</v>
      </c>
      <c r="AS45" s="71"/>
      <c r="AT45" s="4"/>
      <c r="AU45" s="4"/>
      <c r="AV45" s="4"/>
      <c r="AW45" s="4"/>
      <c r="AX45" s="72">
        <v>3</v>
      </c>
      <c r="AY45" s="73"/>
      <c r="AZ45" s="68">
        <v>3</v>
      </c>
      <c r="BA45" s="73"/>
      <c r="BB45" s="68">
        <v>0</v>
      </c>
      <c r="BC45" s="69"/>
      <c r="BD45" s="4"/>
      <c r="BE45" s="4"/>
      <c r="BF45" s="4"/>
      <c r="BG45" s="4"/>
      <c r="BH45" s="72">
        <v>3</v>
      </c>
      <c r="BI45" s="73"/>
      <c r="BJ45" s="68">
        <v>3</v>
      </c>
      <c r="BK45" s="73"/>
      <c r="BL45" s="68">
        <v>0</v>
      </c>
      <c r="BM45" s="69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133</v>
      </c>
      <c r="K50" s="25"/>
      <c r="L50" s="26"/>
      <c r="M50" s="38" t="s">
        <v>110</v>
      </c>
      <c r="N50" s="39"/>
      <c r="O50" s="40"/>
      <c r="P50" s="4"/>
      <c r="Q50" s="4"/>
      <c r="R50" s="4"/>
      <c r="S50" s="4"/>
      <c r="T50" s="24" t="s">
        <v>48</v>
      </c>
      <c r="U50" s="25"/>
      <c r="V50" s="26"/>
      <c r="W50" s="38">
        <v>231</v>
      </c>
      <c r="X50" s="39"/>
      <c r="Y50" s="40"/>
      <c r="Z50" s="4"/>
      <c r="AA50" s="4"/>
      <c r="AB50" s="4"/>
      <c r="AC50" s="4"/>
      <c r="AD50" s="24" t="s">
        <v>48</v>
      </c>
      <c r="AE50" s="25"/>
      <c r="AF50" s="26"/>
      <c r="AG50" s="38">
        <v>212</v>
      </c>
      <c r="AH50" s="39"/>
      <c r="AI50" s="40"/>
      <c r="AJ50" s="4"/>
      <c r="AK50" s="4"/>
      <c r="AL50" s="4"/>
      <c r="AM50" s="4"/>
      <c r="AN50" s="24" t="s">
        <v>48</v>
      </c>
      <c r="AO50" s="25"/>
      <c r="AP50" s="26"/>
      <c r="AQ50" s="38">
        <v>213</v>
      </c>
      <c r="AR50" s="39"/>
      <c r="AS50" s="40"/>
      <c r="AT50" s="4"/>
      <c r="AU50" s="4"/>
      <c r="AV50" s="4"/>
      <c r="AW50" s="4"/>
      <c r="AX50" s="24" t="s">
        <v>48</v>
      </c>
      <c r="AY50" s="25"/>
      <c r="AZ50" s="26"/>
      <c r="BA50" s="38">
        <v>343</v>
      </c>
      <c r="BB50" s="39"/>
      <c r="BC50" s="40"/>
      <c r="BD50" s="4"/>
      <c r="BE50" s="4"/>
      <c r="BF50" s="4"/>
      <c r="BG50" s="4"/>
      <c r="BH50" s="24" t="s">
        <v>136</v>
      </c>
      <c r="BI50" s="25"/>
      <c r="BJ50" s="26"/>
      <c r="BK50" s="38" t="s">
        <v>111</v>
      </c>
      <c r="BL50" s="39"/>
      <c r="BM50" s="40"/>
      <c r="BN50" s="4"/>
      <c r="BO50" s="4"/>
      <c r="BP50" s="4"/>
      <c r="BQ50" s="4"/>
      <c r="BR50" s="24" t="s">
        <v>48</v>
      </c>
      <c r="BS50" s="25"/>
      <c r="BT50" s="26"/>
      <c r="BU50" s="38">
        <v>292</v>
      </c>
      <c r="BV50" s="39"/>
      <c r="BW50" s="40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SUM(N52,X52,AH52,AR52,BB52,BL52,BV52)</f>
        <v>1080</v>
      </c>
      <c r="H51" s="2"/>
      <c r="I51" s="2"/>
      <c r="J51" s="114" t="s">
        <v>132</v>
      </c>
      <c r="K51" s="115"/>
      <c r="L51" s="115"/>
      <c r="M51" s="115"/>
      <c r="N51" s="116"/>
      <c r="O51" s="117"/>
      <c r="P51" s="4"/>
      <c r="Q51" s="4"/>
      <c r="R51" s="4"/>
      <c r="S51" s="4"/>
      <c r="T51" s="94" t="s">
        <v>50</v>
      </c>
      <c r="U51" s="95"/>
      <c r="V51" s="95"/>
      <c r="W51" s="95"/>
      <c r="X51" s="96"/>
      <c r="Y51" s="97"/>
      <c r="Z51" s="4"/>
      <c r="AA51" s="4"/>
      <c r="AB51" s="4"/>
      <c r="AC51" s="4"/>
      <c r="AD51" s="94" t="s">
        <v>52</v>
      </c>
      <c r="AE51" s="95"/>
      <c r="AF51" s="95"/>
      <c r="AG51" s="95"/>
      <c r="AH51" s="96"/>
      <c r="AI51" s="97"/>
      <c r="AJ51" s="4"/>
      <c r="AK51" s="4"/>
      <c r="AL51" s="4"/>
      <c r="AM51" s="4"/>
      <c r="AN51" s="94" t="s">
        <v>53</v>
      </c>
      <c r="AO51" s="95"/>
      <c r="AP51" s="95"/>
      <c r="AQ51" s="95"/>
      <c r="AR51" s="96"/>
      <c r="AS51" s="97"/>
      <c r="AT51" s="4"/>
      <c r="AU51" s="4"/>
      <c r="AV51" s="4"/>
      <c r="AW51" s="4"/>
      <c r="AX51" s="94" t="s">
        <v>107</v>
      </c>
      <c r="AY51" s="95"/>
      <c r="AZ51" s="95"/>
      <c r="BA51" s="95"/>
      <c r="BB51" s="96"/>
      <c r="BC51" s="97"/>
      <c r="BD51" s="4"/>
      <c r="BE51" s="4"/>
      <c r="BF51" s="4"/>
      <c r="BG51" s="4"/>
      <c r="BH51" s="76" t="s">
        <v>138</v>
      </c>
      <c r="BI51" s="77"/>
      <c r="BJ51" s="77"/>
      <c r="BK51" s="77"/>
      <c r="BL51" s="77"/>
      <c r="BM51" s="78"/>
      <c r="BN51" s="4"/>
      <c r="BO51" s="4"/>
      <c r="BP51" s="4"/>
      <c r="BQ51" s="4"/>
      <c r="BR51" s="41" t="s">
        <v>155</v>
      </c>
      <c r="BS51" s="42"/>
      <c r="BT51" s="42"/>
      <c r="BU51" s="42"/>
      <c r="BV51" s="43"/>
      <c r="BW51" s="4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110">
        <v>2</v>
      </c>
      <c r="K52" s="111"/>
      <c r="L52" s="108">
        <v>2</v>
      </c>
      <c r="M52" s="111"/>
      <c r="N52" s="108">
        <v>90</v>
      </c>
      <c r="O52" s="109"/>
      <c r="P52" s="4"/>
      <c r="Q52" s="4"/>
      <c r="R52" s="4"/>
      <c r="S52" s="4"/>
      <c r="T52" s="98">
        <v>3</v>
      </c>
      <c r="U52" s="99"/>
      <c r="V52" s="100">
        <v>6</v>
      </c>
      <c r="W52" s="99"/>
      <c r="X52" s="100">
        <v>180</v>
      </c>
      <c r="Y52" s="101"/>
      <c r="Z52" s="4"/>
      <c r="AA52" s="4"/>
      <c r="AB52" s="4"/>
      <c r="AC52" s="4"/>
      <c r="AD52" s="98">
        <v>3</v>
      </c>
      <c r="AE52" s="99"/>
      <c r="AF52" s="100">
        <v>6</v>
      </c>
      <c r="AG52" s="99"/>
      <c r="AH52" s="100">
        <v>180</v>
      </c>
      <c r="AI52" s="101"/>
      <c r="AJ52" s="4"/>
      <c r="AK52" s="4"/>
      <c r="AL52" s="4"/>
      <c r="AM52" s="4"/>
      <c r="AN52" s="98">
        <v>3</v>
      </c>
      <c r="AO52" s="99"/>
      <c r="AP52" s="100">
        <v>6</v>
      </c>
      <c r="AQ52" s="99"/>
      <c r="AR52" s="100">
        <v>180</v>
      </c>
      <c r="AS52" s="101"/>
      <c r="AT52" s="4"/>
      <c r="AU52" s="4"/>
      <c r="AV52" s="4"/>
      <c r="AW52" s="4"/>
      <c r="AX52" s="98">
        <v>3</v>
      </c>
      <c r="AY52" s="99"/>
      <c r="AZ52" s="100">
        <v>6</v>
      </c>
      <c r="BA52" s="99"/>
      <c r="BB52" s="100">
        <v>180</v>
      </c>
      <c r="BC52" s="101"/>
      <c r="BD52" s="4"/>
      <c r="BE52" s="4"/>
      <c r="BF52" s="4"/>
      <c r="BG52" s="4"/>
      <c r="BH52" s="79">
        <v>3</v>
      </c>
      <c r="BI52" s="80"/>
      <c r="BJ52" s="81">
        <v>6</v>
      </c>
      <c r="BK52" s="80"/>
      <c r="BL52" s="81">
        <v>180</v>
      </c>
      <c r="BM52" s="82"/>
      <c r="BN52" s="4"/>
      <c r="BO52" s="4"/>
      <c r="BP52" s="4"/>
      <c r="BQ52" s="4"/>
      <c r="BR52" s="45">
        <v>3</v>
      </c>
      <c r="BS52" s="46"/>
      <c r="BT52" s="47">
        <v>2</v>
      </c>
      <c r="BU52" s="46"/>
      <c r="BV52" s="47">
        <v>90</v>
      </c>
      <c r="BW52" s="48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J52+T52+AD52+AN52+AX52+BH52+BR52</f>
        <v>20</v>
      </c>
      <c r="F53" s="11">
        <f>L52+V52+AF52+AP52+AZ52+BJ52+BT52</f>
        <v>34</v>
      </c>
      <c r="G53" s="105"/>
      <c r="H53" s="2"/>
      <c r="I53" s="2"/>
      <c r="J53" s="112">
        <v>2</v>
      </c>
      <c r="K53" s="113"/>
      <c r="L53" s="106">
        <v>0</v>
      </c>
      <c r="M53" s="113"/>
      <c r="N53" s="106">
        <v>0</v>
      </c>
      <c r="O53" s="107"/>
      <c r="P53" s="4"/>
      <c r="Q53" s="4"/>
      <c r="R53" s="4"/>
      <c r="S53" s="4"/>
      <c r="T53" s="72">
        <v>3</v>
      </c>
      <c r="U53" s="73"/>
      <c r="V53" s="68">
        <v>3</v>
      </c>
      <c r="W53" s="73"/>
      <c r="X53" s="68">
        <v>0</v>
      </c>
      <c r="Y53" s="69"/>
      <c r="Z53" s="4"/>
      <c r="AA53" s="4"/>
      <c r="AB53" s="4"/>
      <c r="AC53" s="4"/>
      <c r="AD53" s="72">
        <v>3</v>
      </c>
      <c r="AE53" s="73"/>
      <c r="AF53" s="68">
        <v>3</v>
      </c>
      <c r="AG53" s="73"/>
      <c r="AH53" s="68">
        <v>0</v>
      </c>
      <c r="AI53" s="69"/>
      <c r="AJ53" s="4"/>
      <c r="AK53" s="4"/>
      <c r="AL53" s="4"/>
      <c r="AM53" s="4"/>
      <c r="AN53" s="72">
        <v>3</v>
      </c>
      <c r="AO53" s="73"/>
      <c r="AP53" s="68">
        <v>0</v>
      </c>
      <c r="AQ53" s="73"/>
      <c r="AR53" s="68">
        <v>3</v>
      </c>
      <c r="AS53" s="69"/>
      <c r="AT53" s="4"/>
      <c r="AU53" s="4"/>
      <c r="AV53" s="4"/>
      <c r="AW53" s="4"/>
      <c r="AX53" s="72">
        <v>3</v>
      </c>
      <c r="AY53" s="73"/>
      <c r="AZ53" s="68">
        <v>0</v>
      </c>
      <c r="BA53" s="73"/>
      <c r="BB53" s="68">
        <v>3</v>
      </c>
      <c r="BC53" s="69"/>
      <c r="BD53" s="4"/>
      <c r="BE53" s="4"/>
      <c r="BF53" s="4"/>
      <c r="BG53" s="4"/>
      <c r="BH53" s="83">
        <v>3</v>
      </c>
      <c r="BI53" s="84"/>
      <c r="BJ53" s="85">
        <v>3</v>
      </c>
      <c r="BK53" s="84"/>
      <c r="BL53" s="85">
        <v>0</v>
      </c>
      <c r="BM53" s="86"/>
      <c r="BN53" s="4"/>
      <c r="BO53" s="4"/>
      <c r="BP53" s="4"/>
      <c r="BQ53" s="4"/>
      <c r="BR53" s="49">
        <v>2</v>
      </c>
      <c r="BS53" s="50"/>
      <c r="BT53" s="51">
        <v>0</v>
      </c>
      <c r="BU53" s="50"/>
      <c r="BV53" s="51">
        <v>0</v>
      </c>
      <c r="BW53" s="52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1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135</v>
      </c>
      <c r="K60" s="25"/>
      <c r="L60" s="26"/>
      <c r="M60" s="38" t="s">
        <v>111</v>
      </c>
      <c r="N60" s="39"/>
      <c r="O60" s="40"/>
      <c r="P60" s="14"/>
      <c r="Q60" s="14"/>
      <c r="R60" s="14"/>
      <c r="S60" s="14"/>
      <c r="T60" s="24" t="s">
        <v>48</v>
      </c>
      <c r="U60" s="25"/>
      <c r="V60" s="26"/>
      <c r="W60" s="38">
        <v>322</v>
      </c>
      <c r="X60" s="39"/>
      <c r="Y60" s="40"/>
      <c r="Z60" s="14"/>
      <c r="AA60" s="14"/>
      <c r="AB60" s="14"/>
      <c r="AC60" s="14"/>
      <c r="AD60" s="24" t="s">
        <v>48</v>
      </c>
      <c r="AE60" s="25"/>
      <c r="AF60" s="26"/>
      <c r="AG60" s="38">
        <v>425</v>
      </c>
      <c r="AH60" s="39"/>
      <c r="AI60" s="40"/>
      <c r="AJ60" s="14"/>
      <c r="AK60" s="14"/>
      <c r="AL60" s="14"/>
      <c r="AM60" s="14"/>
      <c r="AN60" s="24" t="s">
        <v>136</v>
      </c>
      <c r="AO60" s="25"/>
      <c r="AP60" s="26"/>
      <c r="AQ60" s="38" t="s">
        <v>111</v>
      </c>
      <c r="AR60" s="39"/>
      <c r="AS60" s="40"/>
      <c r="AT60" s="14"/>
      <c r="AU60" s="14"/>
      <c r="AV60" s="14"/>
      <c r="AW60" s="14"/>
      <c r="AX60" s="24" t="s">
        <v>136</v>
      </c>
      <c r="AY60" s="25"/>
      <c r="AZ60" s="26"/>
      <c r="BA60" s="38" t="s">
        <v>111</v>
      </c>
      <c r="BB60" s="39"/>
      <c r="BC60" s="40"/>
      <c r="BD60" s="14"/>
      <c r="BE60" s="14"/>
      <c r="BF60" s="14"/>
      <c r="BG60" s="14"/>
      <c r="BH60" s="24" t="s">
        <v>48</v>
      </c>
      <c r="BI60" s="25"/>
      <c r="BJ60" s="26"/>
      <c r="BK60" s="38">
        <v>493</v>
      </c>
      <c r="BL60" s="39"/>
      <c r="BM60" s="40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930</v>
      </c>
      <c r="H61" s="2"/>
      <c r="I61" s="2"/>
      <c r="J61" s="114" t="s">
        <v>134</v>
      </c>
      <c r="K61" s="115"/>
      <c r="L61" s="115"/>
      <c r="M61" s="115"/>
      <c r="N61" s="116"/>
      <c r="O61" s="117"/>
      <c r="P61" s="4"/>
      <c r="Q61" s="4"/>
      <c r="R61" s="4"/>
      <c r="S61" s="4"/>
      <c r="T61" s="94" t="s">
        <v>54</v>
      </c>
      <c r="U61" s="95"/>
      <c r="V61" s="95"/>
      <c r="W61" s="95"/>
      <c r="X61" s="96"/>
      <c r="Y61" s="97"/>
      <c r="Z61" s="4"/>
      <c r="AA61" s="4"/>
      <c r="AB61" s="4"/>
      <c r="AC61" s="4"/>
      <c r="AD61" s="94" t="s">
        <v>59</v>
      </c>
      <c r="AE61" s="95"/>
      <c r="AF61" s="95"/>
      <c r="AG61" s="95"/>
      <c r="AH61" s="96"/>
      <c r="AI61" s="97"/>
      <c r="AJ61" s="4"/>
      <c r="AK61" s="4"/>
      <c r="AL61" s="4"/>
      <c r="AM61" s="4"/>
      <c r="AN61" s="76" t="s">
        <v>139</v>
      </c>
      <c r="AO61" s="77"/>
      <c r="AP61" s="77"/>
      <c r="AQ61" s="77"/>
      <c r="AR61" s="77"/>
      <c r="AS61" s="78"/>
      <c r="AT61" s="4"/>
      <c r="AU61" s="4"/>
      <c r="AV61" s="4"/>
      <c r="AW61" s="4"/>
      <c r="AX61" s="76" t="s">
        <v>140</v>
      </c>
      <c r="AY61" s="77"/>
      <c r="AZ61" s="77"/>
      <c r="BA61" s="77"/>
      <c r="BB61" s="77"/>
      <c r="BC61" s="78"/>
      <c r="BD61" s="4"/>
      <c r="BE61" s="4"/>
      <c r="BF61" s="4"/>
      <c r="BG61" s="4"/>
      <c r="BH61" s="41" t="s">
        <v>63</v>
      </c>
      <c r="BI61" s="42"/>
      <c r="BJ61" s="42"/>
      <c r="BK61" s="42"/>
      <c r="BL61" s="43"/>
      <c r="BM61" s="4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110">
        <v>2</v>
      </c>
      <c r="K62" s="111"/>
      <c r="L62" s="108">
        <v>2</v>
      </c>
      <c r="M62" s="111"/>
      <c r="N62" s="108">
        <v>90</v>
      </c>
      <c r="O62" s="109"/>
      <c r="P62" s="4"/>
      <c r="Q62" s="4"/>
      <c r="R62" s="4"/>
      <c r="S62" s="4"/>
      <c r="T62" s="98">
        <v>3</v>
      </c>
      <c r="U62" s="99"/>
      <c r="V62" s="100">
        <v>6</v>
      </c>
      <c r="W62" s="99"/>
      <c r="X62" s="100">
        <v>180</v>
      </c>
      <c r="Y62" s="101"/>
      <c r="Z62" s="4"/>
      <c r="AA62" s="4"/>
      <c r="AB62" s="4"/>
      <c r="AC62" s="4"/>
      <c r="AD62" s="98">
        <v>3</v>
      </c>
      <c r="AE62" s="99"/>
      <c r="AF62" s="100">
        <v>6</v>
      </c>
      <c r="AG62" s="99"/>
      <c r="AH62" s="100">
        <v>180</v>
      </c>
      <c r="AI62" s="101"/>
      <c r="AJ62" s="4"/>
      <c r="AK62" s="4"/>
      <c r="AL62" s="4"/>
      <c r="AM62" s="4"/>
      <c r="AN62" s="79">
        <v>3</v>
      </c>
      <c r="AO62" s="80"/>
      <c r="AP62" s="81">
        <v>6</v>
      </c>
      <c r="AQ62" s="80"/>
      <c r="AR62" s="81">
        <v>180</v>
      </c>
      <c r="AS62" s="82"/>
      <c r="AT62" s="4"/>
      <c r="AU62" s="4"/>
      <c r="AV62" s="4"/>
      <c r="AW62" s="4"/>
      <c r="AX62" s="79">
        <v>3</v>
      </c>
      <c r="AY62" s="80"/>
      <c r="AZ62" s="81">
        <v>6</v>
      </c>
      <c r="BA62" s="80"/>
      <c r="BB62" s="81">
        <v>180</v>
      </c>
      <c r="BC62" s="82"/>
      <c r="BD62" s="4"/>
      <c r="BE62" s="4"/>
      <c r="BF62" s="4"/>
      <c r="BG62" s="4"/>
      <c r="BH62" s="45">
        <v>3</v>
      </c>
      <c r="BI62" s="46"/>
      <c r="BJ62" s="47">
        <v>2</v>
      </c>
      <c r="BK62" s="46"/>
      <c r="BL62" s="47">
        <v>120</v>
      </c>
      <c r="BM62" s="48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17</v>
      </c>
      <c r="F63" s="11">
        <f>SUM(J63:BM63)</f>
        <v>28</v>
      </c>
      <c r="G63" s="105"/>
      <c r="H63" s="2"/>
      <c r="I63" s="2"/>
      <c r="J63" s="112">
        <v>2</v>
      </c>
      <c r="K63" s="113"/>
      <c r="L63" s="106">
        <v>0</v>
      </c>
      <c r="M63" s="113"/>
      <c r="N63" s="106">
        <v>0</v>
      </c>
      <c r="O63" s="107"/>
      <c r="P63" s="4"/>
      <c r="Q63" s="4"/>
      <c r="R63" s="4"/>
      <c r="S63" s="4"/>
      <c r="T63" s="72">
        <v>3</v>
      </c>
      <c r="U63" s="73"/>
      <c r="V63" s="68">
        <v>3</v>
      </c>
      <c r="W63" s="73"/>
      <c r="X63" s="68">
        <v>0</v>
      </c>
      <c r="Y63" s="69"/>
      <c r="Z63" s="4"/>
      <c r="AA63" s="4"/>
      <c r="AB63" s="4"/>
      <c r="AC63" s="4"/>
      <c r="AD63" s="72">
        <v>3</v>
      </c>
      <c r="AE63" s="73"/>
      <c r="AF63" s="68">
        <v>3</v>
      </c>
      <c r="AG63" s="73"/>
      <c r="AH63" s="68">
        <v>0</v>
      </c>
      <c r="AI63" s="69"/>
      <c r="AJ63" s="4"/>
      <c r="AK63" s="4"/>
      <c r="AL63" s="4"/>
      <c r="AM63" s="4"/>
      <c r="AN63" s="83">
        <v>3</v>
      </c>
      <c r="AO63" s="84"/>
      <c r="AP63" s="85">
        <v>3</v>
      </c>
      <c r="AQ63" s="84"/>
      <c r="AR63" s="85">
        <v>0</v>
      </c>
      <c r="AS63" s="86"/>
      <c r="AT63" s="4"/>
      <c r="AU63" s="4"/>
      <c r="AV63" s="4"/>
      <c r="AW63" s="4"/>
      <c r="AX63" s="83">
        <v>3</v>
      </c>
      <c r="AY63" s="84"/>
      <c r="AZ63" s="85">
        <v>3</v>
      </c>
      <c r="BA63" s="84"/>
      <c r="BB63" s="85">
        <v>0</v>
      </c>
      <c r="BC63" s="86"/>
      <c r="BD63" s="4"/>
      <c r="BE63" s="4"/>
      <c r="BF63" s="4"/>
      <c r="BG63" s="4"/>
      <c r="BH63" s="49">
        <v>2</v>
      </c>
      <c r="BI63" s="50"/>
      <c r="BJ63" s="51">
        <v>0</v>
      </c>
      <c r="BK63" s="50"/>
      <c r="BL63" s="51">
        <v>0</v>
      </c>
      <c r="BM63" s="52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141</v>
      </c>
      <c r="K68" s="25"/>
      <c r="L68" s="26"/>
      <c r="M68" s="38" t="s">
        <v>111</v>
      </c>
      <c r="N68" s="39"/>
      <c r="O68" s="40"/>
      <c r="P68" s="14"/>
      <c r="Q68" s="14"/>
      <c r="R68" s="14"/>
      <c r="S68" s="14"/>
      <c r="T68" s="24" t="s">
        <v>19</v>
      </c>
      <c r="U68" s="25"/>
      <c r="V68" s="26"/>
      <c r="W68" s="38">
        <v>363</v>
      </c>
      <c r="X68" s="102"/>
      <c r="Y68" s="103"/>
      <c r="Z68" s="14"/>
      <c r="AA68" s="14"/>
      <c r="AB68" s="14"/>
      <c r="AC68" s="14"/>
      <c r="AD68" s="24" t="s">
        <v>48</v>
      </c>
      <c r="AE68" s="25"/>
      <c r="AF68" s="26"/>
      <c r="AG68" s="38">
        <v>424</v>
      </c>
      <c r="AH68" s="39"/>
      <c r="AI68" s="40"/>
      <c r="AJ68" s="14"/>
      <c r="AK68" s="14"/>
      <c r="AL68" s="14"/>
      <c r="AM68" s="14"/>
      <c r="AN68" s="24" t="s">
        <v>136</v>
      </c>
      <c r="AO68" s="25"/>
      <c r="AP68" s="26"/>
      <c r="AQ68" s="38" t="s">
        <v>112</v>
      </c>
      <c r="AR68" s="39"/>
      <c r="AS68" s="40"/>
      <c r="AT68" s="14"/>
      <c r="AU68" s="14"/>
      <c r="AV68" s="14"/>
      <c r="AW68" s="14"/>
      <c r="AX68" s="24" t="s">
        <v>136</v>
      </c>
      <c r="AY68" s="25"/>
      <c r="AZ68" s="26"/>
      <c r="BA68" s="38" t="s">
        <v>112</v>
      </c>
      <c r="BB68" s="39"/>
      <c r="BC68" s="40"/>
      <c r="BD68" s="4"/>
      <c r="BE68" s="4"/>
      <c r="BF68" s="4"/>
      <c r="BG68" s="4"/>
      <c r="BH68" s="24" t="s">
        <v>48</v>
      </c>
      <c r="BI68" s="25"/>
      <c r="BJ68" s="26"/>
      <c r="BK68" s="38">
        <v>494</v>
      </c>
      <c r="BL68" s="39"/>
      <c r="BM68" s="40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930</v>
      </c>
      <c r="H69" s="2"/>
      <c r="I69" s="2"/>
      <c r="J69" s="114" t="s">
        <v>142</v>
      </c>
      <c r="K69" s="173"/>
      <c r="L69" s="173"/>
      <c r="M69" s="173"/>
      <c r="N69" s="173"/>
      <c r="O69" s="174"/>
      <c r="P69" s="4"/>
      <c r="Q69" s="4"/>
      <c r="R69" s="4"/>
      <c r="S69" s="4"/>
      <c r="T69" s="170" t="s">
        <v>72</v>
      </c>
      <c r="U69" s="171"/>
      <c r="V69" s="171"/>
      <c r="W69" s="171"/>
      <c r="X69" s="171"/>
      <c r="Y69" s="172"/>
      <c r="Z69" s="4"/>
      <c r="AA69" s="4"/>
      <c r="AB69" s="4"/>
      <c r="AC69" s="4"/>
      <c r="AD69" s="94" t="s">
        <v>60</v>
      </c>
      <c r="AE69" s="95"/>
      <c r="AF69" s="95"/>
      <c r="AG69" s="95"/>
      <c r="AH69" s="96"/>
      <c r="AI69" s="97"/>
      <c r="AJ69" s="4"/>
      <c r="AK69" s="4"/>
      <c r="AL69" s="4"/>
      <c r="AM69" s="4"/>
      <c r="AN69" s="76" t="s">
        <v>143</v>
      </c>
      <c r="AO69" s="77"/>
      <c r="AP69" s="77"/>
      <c r="AQ69" s="77"/>
      <c r="AR69" s="77"/>
      <c r="AS69" s="78"/>
      <c r="AT69" s="4"/>
      <c r="AU69" s="4"/>
      <c r="AV69" s="4"/>
      <c r="AW69" s="4"/>
      <c r="AX69" s="76" t="s">
        <v>145</v>
      </c>
      <c r="AY69" s="77"/>
      <c r="AZ69" s="77"/>
      <c r="BA69" s="77"/>
      <c r="BB69" s="77"/>
      <c r="BC69" s="78"/>
      <c r="BD69" s="4"/>
      <c r="BE69" s="4"/>
      <c r="BF69" s="4"/>
      <c r="BG69" s="4"/>
      <c r="BH69" s="41" t="s">
        <v>64</v>
      </c>
      <c r="BI69" s="42"/>
      <c r="BJ69" s="42"/>
      <c r="BK69" s="42"/>
      <c r="BL69" s="43"/>
      <c r="BM69" s="4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110">
        <v>2</v>
      </c>
      <c r="K70" s="111"/>
      <c r="L70" s="108">
        <v>2</v>
      </c>
      <c r="M70" s="111"/>
      <c r="N70" s="108">
        <v>90</v>
      </c>
      <c r="O70" s="109"/>
      <c r="P70" s="4"/>
      <c r="Q70" s="4"/>
      <c r="R70" s="4"/>
      <c r="S70" s="4"/>
      <c r="T70" s="57">
        <v>3</v>
      </c>
      <c r="U70" s="58"/>
      <c r="V70" s="59">
        <v>6</v>
      </c>
      <c r="W70" s="58"/>
      <c r="X70" s="59">
        <v>180</v>
      </c>
      <c r="Y70" s="91"/>
      <c r="Z70" s="4"/>
      <c r="AA70" s="4"/>
      <c r="AB70" s="4"/>
      <c r="AC70" s="4"/>
      <c r="AD70" s="98">
        <v>3</v>
      </c>
      <c r="AE70" s="99"/>
      <c r="AF70" s="100">
        <v>6</v>
      </c>
      <c r="AG70" s="99"/>
      <c r="AH70" s="100">
        <v>180</v>
      </c>
      <c r="AI70" s="101"/>
      <c r="AJ70" s="4"/>
      <c r="AK70" s="4"/>
      <c r="AL70" s="4"/>
      <c r="AM70" s="4"/>
      <c r="AN70" s="79">
        <v>3</v>
      </c>
      <c r="AO70" s="80"/>
      <c r="AP70" s="81">
        <v>6</v>
      </c>
      <c r="AQ70" s="80"/>
      <c r="AR70" s="81">
        <v>180</v>
      </c>
      <c r="AS70" s="82"/>
      <c r="AT70" s="4"/>
      <c r="AU70" s="4"/>
      <c r="AV70" s="4"/>
      <c r="AW70" s="4"/>
      <c r="AX70" s="79">
        <v>3</v>
      </c>
      <c r="AY70" s="80"/>
      <c r="AZ70" s="81">
        <v>6</v>
      </c>
      <c r="BA70" s="80"/>
      <c r="BB70" s="81">
        <v>180</v>
      </c>
      <c r="BC70" s="82"/>
      <c r="BD70" s="4"/>
      <c r="BE70" s="4"/>
      <c r="BF70" s="4"/>
      <c r="BG70" s="4"/>
      <c r="BH70" s="45">
        <v>3</v>
      </c>
      <c r="BI70" s="46"/>
      <c r="BJ70" s="47">
        <v>2</v>
      </c>
      <c r="BK70" s="46"/>
      <c r="BL70" s="47">
        <v>120</v>
      </c>
      <c r="BM70" s="48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SUM(J70,T70,AD70,AN70,AX70,BH70)</f>
        <v>17</v>
      </c>
      <c r="F71" s="11">
        <f>L70+V70+AF70+AP70+AZ70+BJ70</f>
        <v>28</v>
      </c>
      <c r="G71" s="105"/>
      <c r="H71" s="2"/>
      <c r="I71" s="2"/>
      <c r="J71" s="112">
        <v>2</v>
      </c>
      <c r="K71" s="113"/>
      <c r="L71" s="106">
        <v>0</v>
      </c>
      <c r="M71" s="113"/>
      <c r="N71" s="106">
        <v>0</v>
      </c>
      <c r="O71" s="107"/>
      <c r="P71" s="4"/>
      <c r="Q71" s="4"/>
      <c r="R71" s="4"/>
      <c r="S71" s="4"/>
      <c r="T71" s="92">
        <v>3</v>
      </c>
      <c r="U71" s="93"/>
      <c r="V71" s="70">
        <v>3</v>
      </c>
      <c r="W71" s="93"/>
      <c r="X71" s="70">
        <v>0</v>
      </c>
      <c r="Y71" s="71"/>
      <c r="Z71" s="4"/>
      <c r="AA71" s="4"/>
      <c r="AB71" s="4"/>
      <c r="AC71" s="4"/>
      <c r="AD71" s="72">
        <v>3</v>
      </c>
      <c r="AE71" s="73"/>
      <c r="AF71" s="68">
        <v>3</v>
      </c>
      <c r="AG71" s="73"/>
      <c r="AH71" s="68">
        <v>0</v>
      </c>
      <c r="AI71" s="69"/>
      <c r="AJ71" s="4"/>
      <c r="AK71" s="4"/>
      <c r="AL71" s="4"/>
      <c r="AM71" s="4"/>
      <c r="AN71" s="83">
        <v>3</v>
      </c>
      <c r="AO71" s="84"/>
      <c r="AP71" s="85">
        <v>3</v>
      </c>
      <c r="AQ71" s="84"/>
      <c r="AR71" s="85">
        <v>0</v>
      </c>
      <c r="AS71" s="86"/>
      <c r="AT71" s="4"/>
      <c r="AU71" s="4"/>
      <c r="AV71" s="4"/>
      <c r="AW71" s="4"/>
      <c r="AX71" s="83">
        <v>3</v>
      </c>
      <c r="AY71" s="84"/>
      <c r="AZ71" s="85">
        <v>3</v>
      </c>
      <c r="BA71" s="84"/>
      <c r="BB71" s="85">
        <v>0</v>
      </c>
      <c r="BC71" s="86"/>
      <c r="BD71" s="4"/>
      <c r="BE71" s="4"/>
      <c r="BF71" s="4"/>
      <c r="BG71" s="4"/>
      <c r="BH71" s="49">
        <v>2</v>
      </c>
      <c r="BI71" s="50"/>
      <c r="BJ71" s="51">
        <v>0</v>
      </c>
      <c r="BK71" s="50"/>
      <c r="BL71" s="51">
        <v>0</v>
      </c>
      <c r="BM71" s="52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thickBot="1" x14ac:dyDescent="0.35"/>
    <row r="77" spans="2:135" ht="10.050000000000001" customHeight="1" thickTop="1" thickBot="1" x14ac:dyDescent="0.35">
      <c r="BI77" s="63" t="s">
        <v>15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6"/>
    </row>
    <row r="78" spans="2:135" ht="15" customHeight="1" x14ac:dyDescent="0.3">
      <c r="BI78" s="64"/>
      <c r="BJ78" s="16"/>
      <c r="BK78" s="17"/>
      <c r="BL78" s="16"/>
      <c r="BR78" s="123" t="s">
        <v>7</v>
      </c>
      <c r="BS78" s="124"/>
      <c r="BT78" s="124"/>
      <c r="BU78" s="124"/>
      <c r="BV78" s="125"/>
      <c r="BW78" s="126"/>
      <c r="CA78" s="8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I79" s="64"/>
      <c r="BJ79" s="16"/>
      <c r="BK79" s="17"/>
      <c r="BL79" s="16"/>
      <c r="BR79" s="127" t="s">
        <v>8</v>
      </c>
      <c r="BS79" s="128"/>
      <c r="BT79" s="128"/>
      <c r="BU79" s="128"/>
      <c r="BV79" s="129"/>
      <c r="BW79" s="130"/>
      <c r="CA79" s="8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I80" s="64"/>
      <c r="BJ80" s="16"/>
      <c r="BK80" s="17"/>
      <c r="BL80" s="16"/>
      <c r="BR80" s="66" t="s">
        <v>9</v>
      </c>
      <c r="BS80" s="67"/>
      <c r="BT80" s="131" t="s">
        <v>18</v>
      </c>
      <c r="BU80" s="67"/>
      <c r="BV80" s="131" t="s">
        <v>10</v>
      </c>
      <c r="BW80" s="132"/>
      <c r="CA80" s="8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61:135" ht="15" thickBot="1" x14ac:dyDescent="0.35">
      <c r="BI81" s="64"/>
      <c r="BJ81" s="16"/>
      <c r="BK81" s="17"/>
      <c r="BL81" s="16"/>
      <c r="BR81" s="133" t="s">
        <v>11</v>
      </c>
      <c r="BS81" s="134"/>
      <c r="BT81" s="135" t="s">
        <v>12</v>
      </c>
      <c r="BU81" s="134"/>
      <c r="BV81" s="135" t="s">
        <v>13</v>
      </c>
      <c r="BW81" s="136"/>
      <c r="CA81" s="8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61:135" ht="10.050000000000001" customHeight="1" x14ac:dyDescent="0.3">
      <c r="BI82" s="64"/>
      <c r="BL82" s="16"/>
      <c r="CA82" s="8"/>
    </row>
    <row r="83" spans="61:135" ht="10.050000000000001" customHeight="1" x14ac:dyDescent="0.3">
      <c r="BI83" s="64"/>
      <c r="BL83" s="16"/>
      <c r="CA83" s="8"/>
    </row>
    <row r="84" spans="61:135" ht="10.050000000000001" customHeight="1" x14ac:dyDescent="0.3">
      <c r="BI84" s="64"/>
      <c r="BJ84" s="90"/>
      <c r="BL84" s="15"/>
      <c r="BN84" s="18"/>
      <c r="BO84" s="18"/>
      <c r="BP84" s="18"/>
      <c r="BQ84" s="18"/>
      <c r="BS84" s="60"/>
      <c r="BU84" s="75" t="s">
        <v>30</v>
      </c>
      <c r="BW84" s="61"/>
      <c r="CA84" s="8"/>
    </row>
    <row r="85" spans="61:135" ht="10.050000000000001" customHeight="1" thickBot="1" x14ac:dyDescent="0.35">
      <c r="BI85" s="64"/>
      <c r="BJ85" s="90"/>
      <c r="BL85" s="74" t="s">
        <v>22</v>
      </c>
      <c r="BN85" s="18"/>
      <c r="BO85" s="18"/>
      <c r="BP85" s="18"/>
      <c r="BQ85" s="18"/>
      <c r="BS85" s="60"/>
      <c r="BU85" s="75"/>
      <c r="BW85" s="61"/>
      <c r="CA85" s="8"/>
    </row>
    <row r="86" spans="61:135" ht="15" customHeight="1" x14ac:dyDescent="0.3">
      <c r="BI86" s="64"/>
      <c r="BJ86" s="90" t="s">
        <v>31</v>
      </c>
      <c r="BK86" s="7"/>
      <c r="BL86" s="74"/>
      <c r="BM86" s="7"/>
      <c r="BN86" s="62" t="s">
        <v>14</v>
      </c>
      <c r="BO86" s="62"/>
      <c r="BP86" s="62"/>
      <c r="BQ86" s="62"/>
      <c r="BR86" s="7"/>
      <c r="BS86" s="60" t="s">
        <v>46</v>
      </c>
      <c r="BT86" s="7"/>
      <c r="BU86" s="75"/>
      <c r="BV86" s="7"/>
      <c r="BW86" s="61" t="s">
        <v>62</v>
      </c>
      <c r="CA86" s="8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61:135" ht="48.75" customHeight="1" x14ac:dyDescent="0.3">
      <c r="BI87" s="64"/>
      <c r="BJ87" s="90"/>
      <c r="BK87" s="7"/>
      <c r="BL87" s="74"/>
      <c r="BM87" s="7"/>
      <c r="BN87" s="62"/>
      <c r="BO87" s="62"/>
      <c r="BP87" s="62"/>
      <c r="BQ87" s="62"/>
      <c r="BR87" s="7"/>
      <c r="BS87" s="60"/>
      <c r="BT87" s="7"/>
      <c r="BU87" s="75"/>
      <c r="BV87" s="7"/>
      <c r="BW87" s="61"/>
      <c r="CA87" s="8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61:135" x14ac:dyDescent="0.3">
      <c r="BI88" s="64"/>
      <c r="BJ88" s="90"/>
      <c r="BK88" s="7"/>
      <c r="BL88" s="74"/>
      <c r="BM88" s="7"/>
      <c r="BN88" s="62"/>
      <c r="BO88" s="62"/>
      <c r="BP88" s="62"/>
      <c r="BQ88" s="62"/>
      <c r="BR88" s="7"/>
      <c r="BS88" s="60"/>
      <c r="BT88" s="7"/>
      <c r="BU88" s="75"/>
      <c r="BV88" s="7"/>
      <c r="BW88" s="61"/>
      <c r="CA88" s="8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61:135" ht="15" thickBot="1" x14ac:dyDescent="0.35">
      <c r="BI89" s="64"/>
      <c r="BJ89" s="90"/>
      <c r="BK89" s="7"/>
      <c r="BL89" s="74"/>
      <c r="BM89" s="7"/>
      <c r="BN89" s="62"/>
      <c r="BO89" s="62"/>
      <c r="BP89" s="62"/>
      <c r="BQ89" s="62"/>
      <c r="BR89" s="7"/>
      <c r="BS89" s="60"/>
      <c r="BT89" s="7"/>
      <c r="BU89" s="75"/>
      <c r="BV89" s="7"/>
      <c r="BW89" s="61"/>
      <c r="CA89" s="8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61:135" ht="10.050000000000001" customHeight="1" thickBot="1" x14ac:dyDescent="0.35">
      <c r="BI90" s="65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10"/>
    </row>
    <row r="91" spans="61:135" ht="10.050000000000001" customHeight="1" thickTop="1" x14ac:dyDescent="0.3"/>
    <row r="92" spans="61:135" ht="10.050000000000001" customHeight="1" x14ac:dyDescent="0.3"/>
    <row r="93" spans="61:135" ht="10.050000000000001" customHeight="1" x14ac:dyDescent="0.3"/>
    <row r="100" ht="48.75" customHeight="1" x14ac:dyDescent="0.3"/>
  </sheetData>
  <mergeCells count="673"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N8:O8"/>
    <mergeCell ref="AN8:AO8"/>
    <mergeCell ref="AP8:AQ8"/>
    <mergeCell ref="AR8:AS8"/>
    <mergeCell ref="AX8:AY8"/>
    <mergeCell ref="AZ8:BA8"/>
    <mergeCell ref="BB8:BC8"/>
    <mergeCell ref="T8:U8"/>
    <mergeCell ref="V8:W8"/>
    <mergeCell ref="X8:Y8"/>
    <mergeCell ref="AD8:AE8"/>
    <mergeCell ref="AF8:AG8"/>
    <mergeCell ref="AH8:AI8"/>
    <mergeCell ref="E7:E8"/>
    <mergeCell ref="F7:F8"/>
    <mergeCell ref="J7:O7"/>
    <mergeCell ref="T7:Y7"/>
    <mergeCell ref="AD7:AI7"/>
    <mergeCell ref="AN7:AS7"/>
    <mergeCell ref="AX7:BC7"/>
    <mergeCell ref="AQ6:AS6"/>
    <mergeCell ref="AX6:AZ6"/>
    <mergeCell ref="BA6:BC6"/>
    <mergeCell ref="G8:G9"/>
    <mergeCell ref="H8:I8"/>
    <mergeCell ref="J8:K8"/>
    <mergeCell ref="L8:M8"/>
    <mergeCell ref="AR9:AS9"/>
    <mergeCell ref="J9:K9"/>
    <mergeCell ref="L9:M9"/>
    <mergeCell ref="N9:O9"/>
    <mergeCell ref="T9:U9"/>
    <mergeCell ref="V9:W9"/>
    <mergeCell ref="X9:Y9"/>
    <mergeCell ref="DT8:DU8"/>
    <mergeCell ref="DZ8:EA8"/>
    <mergeCell ref="EB8:EC8"/>
    <mergeCell ref="ED8:EE8"/>
    <mergeCell ref="BH8:BI8"/>
    <mergeCell ref="BJ8:BK8"/>
    <mergeCell ref="BL8:BM8"/>
    <mergeCell ref="DP6:DU6"/>
    <mergeCell ref="DZ6:EE6"/>
    <mergeCell ref="BH6:BJ6"/>
    <mergeCell ref="BK6:BM6"/>
    <mergeCell ref="BH7:BM7"/>
    <mergeCell ref="DP7:DU7"/>
    <mergeCell ref="DZ7:EE7"/>
    <mergeCell ref="DP8:DQ8"/>
    <mergeCell ref="DR8:DS8"/>
    <mergeCell ref="DZ9:EA9"/>
    <mergeCell ref="EB9:EC9"/>
    <mergeCell ref="ED9:EE9"/>
    <mergeCell ref="D14:D17"/>
    <mergeCell ref="J14:L14"/>
    <mergeCell ref="M14:O14"/>
    <mergeCell ref="T14:V14"/>
    <mergeCell ref="W14:Y14"/>
    <mergeCell ref="AD14:AF14"/>
    <mergeCell ref="AG14:AI14"/>
    <mergeCell ref="DP9:DQ9"/>
    <mergeCell ref="DR9:DS9"/>
    <mergeCell ref="DT9:DU9"/>
    <mergeCell ref="AX9:AY9"/>
    <mergeCell ref="AZ9:BA9"/>
    <mergeCell ref="BB9:BC9"/>
    <mergeCell ref="BH9:BI9"/>
    <mergeCell ref="BJ9:BK9"/>
    <mergeCell ref="BL9:BM9"/>
    <mergeCell ref="AD9:AE9"/>
    <mergeCell ref="AF9:AG9"/>
    <mergeCell ref="AH9:AI9"/>
    <mergeCell ref="AN9:AO9"/>
    <mergeCell ref="AP9:AQ9"/>
    <mergeCell ref="E15:E16"/>
    <mergeCell ref="F15:F16"/>
    <mergeCell ref="J15:O15"/>
    <mergeCell ref="T15:Y15"/>
    <mergeCell ref="AD15:AI15"/>
    <mergeCell ref="AN15:AS15"/>
    <mergeCell ref="AN14:AP14"/>
    <mergeCell ref="AQ14:AS14"/>
    <mergeCell ref="AX14:AZ14"/>
    <mergeCell ref="G16:G17"/>
    <mergeCell ref="H16:I16"/>
    <mergeCell ref="J16:K16"/>
    <mergeCell ref="L16:M16"/>
    <mergeCell ref="AN17:AO17"/>
    <mergeCell ref="AP17:AQ17"/>
    <mergeCell ref="AR17:AS17"/>
    <mergeCell ref="AX17:AY17"/>
    <mergeCell ref="AZ17:BA17"/>
    <mergeCell ref="J17:K17"/>
    <mergeCell ref="L17:M17"/>
    <mergeCell ref="N17:O17"/>
    <mergeCell ref="T17:U17"/>
    <mergeCell ref="V17:W17"/>
    <mergeCell ref="X17:Y17"/>
    <mergeCell ref="DP14:DU14"/>
    <mergeCell ref="DZ14:EE14"/>
    <mergeCell ref="BA14:BC14"/>
    <mergeCell ref="BH14:BJ14"/>
    <mergeCell ref="BK14:BM14"/>
    <mergeCell ref="N16:O16"/>
    <mergeCell ref="T16:U16"/>
    <mergeCell ref="V16:W16"/>
    <mergeCell ref="X16:Y16"/>
    <mergeCell ref="AD16:AE16"/>
    <mergeCell ref="AF16:AG16"/>
    <mergeCell ref="AX15:BC15"/>
    <mergeCell ref="BH15:BM15"/>
    <mergeCell ref="BJ16:BK16"/>
    <mergeCell ref="AH16:AI16"/>
    <mergeCell ref="AN16:AO16"/>
    <mergeCell ref="AP16:AQ16"/>
    <mergeCell ref="AR16:AS16"/>
    <mergeCell ref="AX16:AY16"/>
    <mergeCell ref="AZ16:BA16"/>
    <mergeCell ref="DP15:DU15"/>
    <mergeCell ref="DZ15:EE15"/>
    <mergeCell ref="ED16:EE16"/>
    <mergeCell ref="AD17:AE17"/>
    <mergeCell ref="AF17:AG17"/>
    <mergeCell ref="AH17:AI17"/>
    <mergeCell ref="DP16:DQ16"/>
    <mergeCell ref="DR16:DS16"/>
    <mergeCell ref="DT16:DU16"/>
    <mergeCell ref="DZ16:EA16"/>
    <mergeCell ref="EB16:EC16"/>
    <mergeCell ref="BB16:BC16"/>
    <mergeCell ref="BH16:BI16"/>
    <mergeCell ref="BL16:BM16"/>
    <mergeCell ref="DP17:DQ17"/>
    <mergeCell ref="DR17:DS17"/>
    <mergeCell ref="DT17:DU17"/>
    <mergeCell ref="DZ17:EA17"/>
    <mergeCell ref="EB17:EC17"/>
    <mergeCell ref="B23:B36"/>
    <mergeCell ref="D24:D27"/>
    <mergeCell ref="J24:L24"/>
    <mergeCell ref="M24:O24"/>
    <mergeCell ref="T24:V24"/>
    <mergeCell ref="W24:Y24"/>
    <mergeCell ref="E25:E26"/>
    <mergeCell ref="F25:F26"/>
    <mergeCell ref="J25:O25"/>
    <mergeCell ref="T25:Y25"/>
    <mergeCell ref="G26:G27"/>
    <mergeCell ref="H26:I26"/>
    <mergeCell ref="J26:K26"/>
    <mergeCell ref="L26:M26"/>
    <mergeCell ref="N26:O26"/>
    <mergeCell ref="T26:U26"/>
    <mergeCell ref="V26:W26"/>
    <mergeCell ref="X26:Y26"/>
    <mergeCell ref="L34:M34"/>
    <mergeCell ref="J27:K27"/>
    <mergeCell ref="L27:M27"/>
    <mergeCell ref="N27:O27"/>
    <mergeCell ref="T27:U27"/>
    <mergeCell ref="V27:W27"/>
    <mergeCell ref="AD33:AI33"/>
    <mergeCell ref="AN33:AS33"/>
    <mergeCell ref="AX33:BC33"/>
    <mergeCell ref="AQ32:AS32"/>
    <mergeCell ref="AX32:AZ32"/>
    <mergeCell ref="ED17:EE17"/>
    <mergeCell ref="BH17:BI17"/>
    <mergeCell ref="BJ17:BK17"/>
    <mergeCell ref="BL17:BM17"/>
    <mergeCell ref="BB17:BC17"/>
    <mergeCell ref="DZ25:EE25"/>
    <mergeCell ref="AD25:AI25"/>
    <mergeCell ref="AN25:AS25"/>
    <mergeCell ref="AX25:BC25"/>
    <mergeCell ref="BH25:BM25"/>
    <mergeCell ref="DP25:DU25"/>
    <mergeCell ref="AX27:AY27"/>
    <mergeCell ref="DZ26:EA26"/>
    <mergeCell ref="EB26:EC26"/>
    <mergeCell ref="ED26:EE26"/>
    <mergeCell ref="DT26:DU26"/>
    <mergeCell ref="EB27:EC27"/>
    <mergeCell ref="ED27:EE27"/>
    <mergeCell ref="DT27:DU27"/>
    <mergeCell ref="DZ27:EA27"/>
    <mergeCell ref="BH24:BJ24"/>
    <mergeCell ref="BK24:BM24"/>
    <mergeCell ref="DP24:DU24"/>
    <mergeCell ref="DZ24:EE24"/>
    <mergeCell ref="AD24:AF24"/>
    <mergeCell ref="AG24:AI24"/>
    <mergeCell ref="AN24:AP24"/>
    <mergeCell ref="AQ24:AS24"/>
    <mergeCell ref="AX24:AZ24"/>
    <mergeCell ref="BA24:BC24"/>
    <mergeCell ref="BR24:BT24"/>
    <mergeCell ref="BU24:BW24"/>
    <mergeCell ref="BR25:BW25"/>
    <mergeCell ref="X27:Y27"/>
    <mergeCell ref="AD27:AE27"/>
    <mergeCell ref="DP26:DQ26"/>
    <mergeCell ref="DR26:DS26"/>
    <mergeCell ref="AX26:AY26"/>
    <mergeCell ref="AZ26:BA26"/>
    <mergeCell ref="BB26:BC26"/>
    <mergeCell ref="BH26:BI26"/>
    <mergeCell ref="BJ26:BK26"/>
    <mergeCell ref="BL26:BM26"/>
    <mergeCell ref="AD26:AE26"/>
    <mergeCell ref="AF26:AG26"/>
    <mergeCell ref="AH26:AI26"/>
    <mergeCell ref="AN26:AO26"/>
    <mergeCell ref="DR27:DS27"/>
    <mergeCell ref="AP26:AQ26"/>
    <mergeCell ref="AR26:AS26"/>
    <mergeCell ref="BR27:BS27"/>
    <mergeCell ref="BT27:BU27"/>
    <mergeCell ref="BV27:BW27"/>
    <mergeCell ref="BR26:BS26"/>
    <mergeCell ref="BT26:BU26"/>
    <mergeCell ref="BV26:BW26"/>
    <mergeCell ref="D32:D35"/>
    <mergeCell ref="J32:L32"/>
    <mergeCell ref="M32:O32"/>
    <mergeCell ref="T32:V32"/>
    <mergeCell ref="W32:Y32"/>
    <mergeCell ref="AD32:AF32"/>
    <mergeCell ref="AG32:AI32"/>
    <mergeCell ref="AN32:AP32"/>
    <mergeCell ref="DP27:DQ27"/>
    <mergeCell ref="AZ27:BA27"/>
    <mergeCell ref="BB27:BC27"/>
    <mergeCell ref="BH27:BI27"/>
    <mergeCell ref="BJ27:BK27"/>
    <mergeCell ref="BL27:BM27"/>
    <mergeCell ref="AF27:AG27"/>
    <mergeCell ref="AH27:AI27"/>
    <mergeCell ref="AN27:AO27"/>
    <mergeCell ref="AP27:AQ27"/>
    <mergeCell ref="AR27:AS27"/>
    <mergeCell ref="DP32:DU32"/>
    <mergeCell ref="E33:E34"/>
    <mergeCell ref="F33:F34"/>
    <mergeCell ref="J33:O33"/>
    <mergeCell ref="T33:Y33"/>
    <mergeCell ref="BA32:BC32"/>
    <mergeCell ref="BH32:BJ32"/>
    <mergeCell ref="BK32:BM32"/>
    <mergeCell ref="BH33:BM33"/>
    <mergeCell ref="DP33:DU33"/>
    <mergeCell ref="DZ33:EE33"/>
    <mergeCell ref="G34:G35"/>
    <mergeCell ref="H34:I34"/>
    <mergeCell ref="J34:K34"/>
    <mergeCell ref="DT34:DU34"/>
    <mergeCell ref="DZ34:EA34"/>
    <mergeCell ref="EB34:EC34"/>
    <mergeCell ref="ED34:EE34"/>
    <mergeCell ref="BH34:BI34"/>
    <mergeCell ref="BJ34:BK34"/>
    <mergeCell ref="BL34:BM34"/>
    <mergeCell ref="AN34:AO34"/>
    <mergeCell ref="AP34:AQ34"/>
    <mergeCell ref="AR34:AS34"/>
    <mergeCell ref="AX34:AY34"/>
    <mergeCell ref="AZ34:BA34"/>
    <mergeCell ref="BB34:BC34"/>
    <mergeCell ref="AR35:AS35"/>
    <mergeCell ref="DZ32:EE32"/>
    <mergeCell ref="J35:K35"/>
    <mergeCell ref="L35:M35"/>
    <mergeCell ref="N35:O35"/>
    <mergeCell ref="T35:U35"/>
    <mergeCell ref="V35:W35"/>
    <mergeCell ref="X35:Y35"/>
    <mergeCell ref="DP34:DQ34"/>
    <mergeCell ref="DR34:DS34"/>
    <mergeCell ref="T34:U34"/>
    <mergeCell ref="V34:W34"/>
    <mergeCell ref="X34:Y34"/>
    <mergeCell ref="AD34:AE34"/>
    <mergeCell ref="AF34:AG34"/>
    <mergeCell ref="AH34:AI34"/>
    <mergeCell ref="N34:O34"/>
    <mergeCell ref="DZ35:EA35"/>
    <mergeCell ref="EB35:EC35"/>
    <mergeCell ref="ED35:EE35"/>
    <mergeCell ref="B41:B54"/>
    <mergeCell ref="D42:D45"/>
    <mergeCell ref="J42:L42"/>
    <mergeCell ref="M42:O42"/>
    <mergeCell ref="T42:V42"/>
    <mergeCell ref="W42:Y42"/>
    <mergeCell ref="AD42:AF42"/>
    <mergeCell ref="DP35:DQ35"/>
    <mergeCell ref="DR35:DS35"/>
    <mergeCell ref="DT35:DU35"/>
    <mergeCell ref="AX35:AY35"/>
    <mergeCell ref="AZ35:BA35"/>
    <mergeCell ref="BB35:BC35"/>
    <mergeCell ref="BH35:BI35"/>
    <mergeCell ref="BJ35:BK35"/>
    <mergeCell ref="BL35:BM35"/>
    <mergeCell ref="AD35:AE35"/>
    <mergeCell ref="AF35:AG35"/>
    <mergeCell ref="AH35:AI35"/>
    <mergeCell ref="AN35:AO35"/>
    <mergeCell ref="AP35:AQ35"/>
    <mergeCell ref="BK42:BM42"/>
    <mergeCell ref="DP42:DU42"/>
    <mergeCell ref="DZ42:EE42"/>
    <mergeCell ref="E43:E44"/>
    <mergeCell ref="F43:F44"/>
    <mergeCell ref="J43:O43"/>
    <mergeCell ref="T43:Y43"/>
    <mergeCell ref="AD43:AI43"/>
    <mergeCell ref="AN43:AS43"/>
    <mergeCell ref="AX43:BC43"/>
    <mergeCell ref="AG42:AI42"/>
    <mergeCell ref="AN42:AP42"/>
    <mergeCell ref="AQ42:AS42"/>
    <mergeCell ref="AX42:AZ42"/>
    <mergeCell ref="BA42:BC42"/>
    <mergeCell ref="BH42:BJ42"/>
    <mergeCell ref="AD44:AE44"/>
    <mergeCell ref="AF44:AG44"/>
    <mergeCell ref="AH44:AI44"/>
    <mergeCell ref="AN44:AO44"/>
    <mergeCell ref="BH43:BM43"/>
    <mergeCell ref="DP43:DU43"/>
    <mergeCell ref="DZ43:EE43"/>
    <mergeCell ref="G44:G45"/>
    <mergeCell ref="H44:I44"/>
    <mergeCell ref="J44:K44"/>
    <mergeCell ref="L44:M44"/>
    <mergeCell ref="N44:O44"/>
    <mergeCell ref="T44:U44"/>
    <mergeCell ref="EB44:EC44"/>
    <mergeCell ref="ED44:EE44"/>
    <mergeCell ref="J45:K45"/>
    <mergeCell ref="L45:M45"/>
    <mergeCell ref="N45:O45"/>
    <mergeCell ref="T45:U45"/>
    <mergeCell ref="V45:W45"/>
    <mergeCell ref="X45:Y45"/>
    <mergeCell ref="AD45:AE45"/>
    <mergeCell ref="AF45:AG45"/>
    <mergeCell ref="BJ44:BK44"/>
    <mergeCell ref="BL44:BM44"/>
    <mergeCell ref="DP44:DQ44"/>
    <mergeCell ref="DR44:DS44"/>
    <mergeCell ref="DT44:DU44"/>
    <mergeCell ref="DZ44:EA44"/>
    <mergeCell ref="AP44:AQ44"/>
    <mergeCell ref="AR44:AS44"/>
    <mergeCell ref="AX44:AY44"/>
    <mergeCell ref="AZ44:BA44"/>
    <mergeCell ref="BB44:BC44"/>
    <mergeCell ref="BH44:BI44"/>
    <mergeCell ref="V44:W44"/>
    <mergeCell ref="X44:Y44"/>
    <mergeCell ref="ED45:EE45"/>
    <mergeCell ref="D50:D53"/>
    <mergeCell ref="J50:L50"/>
    <mergeCell ref="M50:O50"/>
    <mergeCell ref="T50:V50"/>
    <mergeCell ref="W50:Y50"/>
    <mergeCell ref="AD50:AF50"/>
    <mergeCell ref="BB45:BC45"/>
    <mergeCell ref="BH45:BI45"/>
    <mergeCell ref="BJ45:BK45"/>
    <mergeCell ref="BL45:BM45"/>
    <mergeCell ref="DP45:DQ45"/>
    <mergeCell ref="DR45:DS45"/>
    <mergeCell ref="AH45:AI45"/>
    <mergeCell ref="AN45:AO45"/>
    <mergeCell ref="AP45:AQ45"/>
    <mergeCell ref="AR45:AS45"/>
    <mergeCell ref="AX45:AY45"/>
    <mergeCell ref="EB45:EC45"/>
    <mergeCell ref="BK50:BM50"/>
    <mergeCell ref="DP50:DU50"/>
    <mergeCell ref="DZ50:EE50"/>
    <mergeCell ref="DP52:DQ52"/>
    <mergeCell ref="AZ45:BA45"/>
    <mergeCell ref="AG50:AI50"/>
    <mergeCell ref="AN50:AP50"/>
    <mergeCell ref="AQ50:AS50"/>
    <mergeCell ref="AX50:AZ50"/>
    <mergeCell ref="BA50:BC50"/>
    <mergeCell ref="BH50:BJ50"/>
    <mergeCell ref="DT45:DU45"/>
    <mergeCell ref="DZ45:EA45"/>
    <mergeCell ref="AX51:BC51"/>
    <mergeCell ref="BH51:BM51"/>
    <mergeCell ref="DP51:DU51"/>
    <mergeCell ref="DZ51:EE51"/>
    <mergeCell ref="AX52:AY52"/>
    <mergeCell ref="AZ52:BA52"/>
    <mergeCell ref="BB52:BC52"/>
    <mergeCell ref="BH52:BI52"/>
    <mergeCell ref="AN52:AO52"/>
    <mergeCell ref="AP52:AQ52"/>
    <mergeCell ref="DR52:DS52"/>
    <mergeCell ref="E51:E52"/>
    <mergeCell ref="F51:F52"/>
    <mergeCell ref="J51:O51"/>
    <mergeCell ref="T51:Y51"/>
    <mergeCell ref="AD51:AI51"/>
    <mergeCell ref="AN51:AS51"/>
    <mergeCell ref="N52:O52"/>
    <mergeCell ref="T52:U52"/>
    <mergeCell ref="V52:W52"/>
    <mergeCell ref="X52:Y52"/>
    <mergeCell ref="AR52:AS52"/>
    <mergeCell ref="G52:G53"/>
    <mergeCell ref="H52:I52"/>
    <mergeCell ref="J52:K52"/>
    <mergeCell ref="L52:M52"/>
    <mergeCell ref="J53:K53"/>
    <mergeCell ref="L53:M53"/>
    <mergeCell ref="N53:O53"/>
    <mergeCell ref="T53:U53"/>
    <mergeCell ref="V53:W53"/>
    <mergeCell ref="AD52:AE52"/>
    <mergeCell ref="AF52:AG52"/>
    <mergeCell ref="AH52:AI52"/>
    <mergeCell ref="AR53:AS53"/>
    <mergeCell ref="DZ52:EA52"/>
    <mergeCell ref="EB52:EC52"/>
    <mergeCell ref="ED52:EE52"/>
    <mergeCell ref="BJ52:BK52"/>
    <mergeCell ref="BL52:BM52"/>
    <mergeCell ref="DT53:DU53"/>
    <mergeCell ref="DZ53:EA53"/>
    <mergeCell ref="EB53:EC53"/>
    <mergeCell ref="ED53:EE53"/>
    <mergeCell ref="DP53:DQ53"/>
    <mergeCell ref="DR53:DS53"/>
    <mergeCell ref="BL53:BM53"/>
    <mergeCell ref="DT52:DU52"/>
    <mergeCell ref="AX53:AY53"/>
    <mergeCell ref="AZ53:BA53"/>
    <mergeCell ref="BB53:BC53"/>
    <mergeCell ref="BH53:BI53"/>
    <mergeCell ref="BJ53:BK53"/>
    <mergeCell ref="X53:Y53"/>
    <mergeCell ref="AD53:AE53"/>
    <mergeCell ref="AF53:AG53"/>
    <mergeCell ref="AH53:AI53"/>
    <mergeCell ref="AN53:AO53"/>
    <mergeCell ref="AP53:AQ53"/>
    <mergeCell ref="DZ61:EE61"/>
    <mergeCell ref="G62:G63"/>
    <mergeCell ref="H62:I62"/>
    <mergeCell ref="ED62:EE62"/>
    <mergeCell ref="M60:O60"/>
    <mergeCell ref="T60:V60"/>
    <mergeCell ref="W60:Y60"/>
    <mergeCell ref="AG68:AI68"/>
    <mergeCell ref="AN68:AP68"/>
    <mergeCell ref="AQ68:AS68"/>
    <mergeCell ref="BH60:BJ60"/>
    <mergeCell ref="BK60:BM60"/>
    <mergeCell ref="DP60:DU60"/>
    <mergeCell ref="BL62:BM62"/>
    <mergeCell ref="T62:U62"/>
    <mergeCell ref="V62:W62"/>
    <mergeCell ref="L62:M62"/>
    <mergeCell ref="N62:O62"/>
    <mergeCell ref="DZ60:EE60"/>
    <mergeCell ref="AX60:AZ60"/>
    <mergeCell ref="BA60:BC60"/>
    <mergeCell ref="AX61:BC61"/>
    <mergeCell ref="BH61:BM61"/>
    <mergeCell ref="DP61:DU61"/>
    <mergeCell ref="E61:E62"/>
    <mergeCell ref="F61:F62"/>
    <mergeCell ref="J61:O61"/>
    <mergeCell ref="T61:Y61"/>
    <mergeCell ref="AD61:AI61"/>
    <mergeCell ref="AN61:AS61"/>
    <mergeCell ref="AD60:AF60"/>
    <mergeCell ref="AG60:AI60"/>
    <mergeCell ref="AN60:AP60"/>
    <mergeCell ref="AQ60:AS60"/>
    <mergeCell ref="X62:Y62"/>
    <mergeCell ref="AD62:AE62"/>
    <mergeCell ref="AF62:AG62"/>
    <mergeCell ref="AH62:AI62"/>
    <mergeCell ref="DP62:DQ62"/>
    <mergeCell ref="DR62:DS62"/>
    <mergeCell ref="DT62:DU62"/>
    <mergeCell ref="AN62:AO62"/>
    <mergeCell ref="AP62:AQ62"/>
    <mergeCell ref="AR62:AS62"/>
    <mergeCell ref="AX62:AY62"/>
    <mergeCell ref="AZ62:BA62"/>
    <mergeCell ref="BB62:BC62"/>
    <mergeCell ref="BH62:BI62"/>
    <mergeCell ref="BJ62:BK62"/>
    <mergeCell ref="DP63:DQ63"/>
    <mergeCell ref="AF63:AG63"/>
    <mergeCell ref="AH63:AI63"/>
    <mergeCell ref="AN63:AO63"/>
    <mergeCell ref="AP63:AQ63"/>
    <mergeCell ref="AR63:AS63"/>
    <mergeCell ref="G70:G71"/>
    <mergeCell ref="H70:I70"/>
    <mergeCell ref="J69:O69"/>
    <mergeCell ref="J63:K63"/>
    <mergeCell ref="L63:M63"/>
    <mergeCell ref="N63:O63"/>
    <mergeCell ref="T63:U63"/>
    <mergeCell ref="V63:W63"/>
    <mergeCell ref="X63:Y63"/>
    <mergeCell ref="AD63:AE63"/>
    <mergeCell ref="AN69:AS69"/>
    <mergeCell ref="DP69:DU69"/>
    <mergeCell ref="DR70:DS70"/>
    <mergeCell ref="T71:U71"/>
    <mergeCell ref="V71:W71"/>
    <mergeCell ref="N70:O70"/>
    <mergeCell ref="T70:U70"/>
    <mergeCell ref="V70:W70"/>
    <mergeCell ref="D68:D71"/>
    <mergeCell ref="J68:L68"/>
    <mergeCell ref="M68:O68"/>
    <mergeCell ref="T68:V68"/>
    <mergeCell ref="W68:Y68"/>
    <mergeCell ref="AZ63:BA63"/>
    <mergeCell ref="BB63:BC63"/>
    <mergeCell ref="BH63:BI63"/>
    <mergeCell ref="BJ63:BK63"/>
    <mergeCell ref="T69:Y69"/>
    <mergeCell ref="AD69:AI69"/>
    <mergeCell ref="AD68:AF68"/>
    <mergeCell ref="BH68:BJ68"/>
    <mergeCell ref="BK68:BM68"/>
    <mergeCell ref="BA68:BC68"/>
    <mergeCell ref="AP71:AQ71"/>
    <mergeCell ref="AR71:AS71"/>
    <mergeCell ref="AD70:AE70"/>
    <mergeCell ref="BL63:BM63"/>
    <mergeCell ref="AD71:AE71"/>
    <mergeCell ref="AF71:AG71"/>
    <mergeCell ref="J71:K71"/>
    <mergeCell ref="L71:M71"/>
    <mergeCell ref="N71:O71"/>
    <mergeCell ref="X70:Y70"/>
    <mergeCell ref="BJ71:BK71"/>
    <mergeCell ref="BL71:BM71"/>
    <mergeCell ref="BH70:BI70"/>
    <mergeCell ref="BJ70:BK70"/>
    <mergeCell ref="BL70:BM70"/>
    <mergeCell ref="BB70:BC70"/>
    <mergeCell ref="BH69:BM69"/>
    <mergeCell ref="AN70:AO70"/>
    <mergeCell ref="X71:Y71"/>
    <mergeCell ref="BI77:BI90"/>
    <mergeCell ref="B59:B72"/>
    <mergeCell ref="D60:D63"/>
    <mergeCell ref="J60:L60"/>
    <mergeCell ref="AX71:AY71"/>
    <mergeCell ref="AZ71:BA71"/>
    <mergeCell ref="BB71:BC71"/>
    <mergeCell ref="BH71:BI71"/>
    <mergeCell ref="AP70:AQ70"/>
    <mergeCell ref="AR70:AS70"/>
    <mergeCell ref="AX70:AY70"/>
    <mergeCell ref="AZ70:BA70"/>
    <mergeCell ref="AX63:AY63"/>
    <mergeCell ref="E69:E70"/>
    <mergeCell ref="F69:F70"/>
    <mergeCell ref="J62:K62"/>
    <mergeCell ref="J70:K70"/>
    <mergeCell ref="L70:M70"/>
    <mergeCell ref="AX68:AZ68"/>
    <mergeCell ref="AF70:AG70"/>
    <mergeCell ref="AH71:AI71"/>
    <mergeCell ref="AN71:AO71"/>
    <mergeCell ref="AH70:AI70"/>
    <mergeCell ref="AX69:BC69"/>
    <mergeCell ref="BJ86:BJ89"/>
    <mergeCell ref="DZ79:EE79"/>
    <mergeCell ref="BR80:BS80"/>
    <mergeCell ref="BT80:BU80"/>
    <mergeCell ref="DZ80:EA80"/>
    <mergeCell ref="EB80:EC80"/>
    <mergeCell ref="ED80:EE80"/>
    <mergeCell ref="BV80:BW80"/>
    <mergeCell ref="ED81:EE81"/>
    <mergeCell ref="BV81:BW81"/>
    <mergeCell ref="DP81:DQ81"/>
    <mergeCell ref="BJ84:BJ85"/>
    <mergeCell ref="BS84:BS85"/>
    <mergeCell ref="BW84:BW85"/>
    <mergeCell ref="BN86:BQ89"/>
    <mergeCell ref="BU84:BU89"/>
    <mergeCell ref="BL85:BL89"/>
    <mergeCell ref="DP80:DQ80"/>
    <mergeCell ref="DR81:DS81"/>
    <mergeCell ref="DT81:DU81"/>
    <mergeCell ref="DZ89:EA89"/>
    <mergeCell ref="BW86:BW89"/>
    <mergeCell ref="DR80:DS80"/>
    <mergeCell ref="DT80:DU80"/>
    <mergeCell ref="EB89:EC89"/>
    <mergeCell ref="BR81:BS81"/>
    <mergeCell ref="BT81:BU81"/>
    <mergeCell ref="DP89:DQ89"/>
    <mergeCell ref="DR89:DS89"/>
    <mergeCell ref="DT89:DU89"/>
    <mergeCell ref="BS86:BS89"/>
    <mergeCell ref="ED89:EE89"/>
    <mergeCell ref="DZ87:EE87"/>
    <mergeCell ref="DZ86:EE86"/>
    <mergeCell ref="ED88:EE88"/>
    <mergeCell ref="DP87:DU87"/>
    <mergeCell ref="DR88:DS88"/>
    <mergeCell ref="DT88:DU88"/>
    <mergeCell ref="DP86:DU86"/>
    <mergeCell ref="DZ88:EA88"/>
    <mergeCell ref="EB88:EC88"/>
    <mergeCell ref="DP88:DQ88"/>
    <mergeCell ref="BR78:BW78"/>
    <mergeCell ref="DP78:DU78"/>
    <mergeCell ref="DZ81:EA81"/>
    <mergeCell ref="EB81:EC81"/>
    <mergeCell ref="DP71:DQ71"/>
    <mergeCell ref="DR71:DS71"/>
    <mergeCell ref="DT71:DU71"/>
    <mergeCell ref="DZ78:EE78"/>
    <mergeCell ref="BR79:BW79"/>
    <mergeCell ref="DP79:DU79"/>
    <mergeCell ref="DZ71:EA71"/>
    <mergeCell ref="EB71:EC71"/>
    <mergeCell ref="ED71:EE71"/>
    <mergeCell ref="DZ69:EE69"/>
    <mergeCell ref="DP70:DQ70"/>
    <mergeCell ref="BR50:BT50"/>
    <mergeCell ref="BU50:BW50"/>
    <mergeCell ref="BR51:BW51"/>
    <mergeCell ref="BR52:BS52"/>
    <mergeCell ref="BT52:BU52"/>
    <mergeCell ref="BV52:BW52"/>
    <mergeCell ref="BR53:BS53"/>
    <mergeCell ref="BT53:BU53"/>
    <mergeCell ref="BV53:BW53"/>
    <mergeCell ref="DT70:DU70"/>
    <mergeCell ref="DZ70:EA70"/>
    <mergeCell ref="EB70:EC70"/>
    <mergeCell ref="DP68:DU68"/>
    <mergeCell ref="DZ68:EE68"/>
    <mergeCell ref="ED70:EE70"/>
    <mergeCell ref="DR63:DS63"/>
    <mergeCell ref="DT63:DU63"/>
    <mergeCell ref="DZ63:EA63"/>
    <mergeCell ref="EB63:EC63"/>
    <mergeCell ref="ED63:EE63"/>
    <mergeCell ref="DZ62:EA62"/>
    <mergeCell ref="EB62:EC62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EE100"/>
  <sheetViews>
    <sheetView zoomScaleNormal="100" workbookViewId="0">
      <selection activeCell="B2" sqref="B2:CA2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176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5" spans="2:135" ht="10.050000000000001" customHeight="1" thickBot="1" x14ac:dyDescent="0.35">
      <c r="B5" s="118" t="s">
        <v>4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121</v>
      </c>
      <c r="K6" s="25"/>
      <c r="L6" s="26"/>
      <c r="M6" s="38" t="s">
        <v>109</v>
      </c>
      <c r="N6" s="39"/>
      <c r="O6" s="40"/>
      <c r="P6" s="4"/>
      <c r="Q6" s="4"/>
      <c r="R6" s="4"/>
      <c r="S6" s="4"/>
      <c r="T6" s="24" t="s">
        <v>119</v>
      </c>
      <c r="U6" s="25"/>
      <c r="V6" s="26"/>
      <c r="W6" s="38" t="s">
        <v>109</v>
      </c>
      <c r="X6" s="39"/>
      <c r="Y6" s="40"/>
      <c r="Z6" s="4"/>
      <c r="AA6" s="4"/>
      <c r="AB6" s="4"/>
      <c r="AC6" s="4"/>
      <c r="AD6" s="24" t="s">
        <v>114</v>
      </c>
      <c r="AE6" s="25"/>
      <c r="AF6" s="26"/>
      <c r="AG6" s="38">
        <v>114</v>
      </c>
      <c r="AH6" s="39"/>
      <c r="AI6" s="40"/>
      <c r="AJ6" s="4"/>
      <c r="AK6" s="4"/>
      <c r="AL6" s="4"/>
      <c r="AM6" s="4"/>
      <c r="AN6" s="24" t="s">
        <v>90</v>
      </c>
      <c r="AO6" s="25"/>
      <c r="AP6" s="26"/>
      <c r="AQ6" s="27" t="s">
        <v>164</v>
      </c>
      <c r="AR6" s="28"/>
      <c r="AS6" s="29"/>
      <c r="AT6" s="4"/>
      <c r="AU6" s="4"/>
      <c r="AV6" s="4"/>
      <c r="AW6" s="4"/>
      <c r="AX6" s="24" t="s">
        <v>19</v>
      </c>
      <c r="AY6" s="25"/>
      <c r="AZ6" s="26"/>
      <c r="BA6" s="27" t="s">
        <v>33</v>
      </c>
      <c r="BB6" s="28"/>
      <c r="BC6" s="29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SUM(N8,X8,AH8,AR8,BB8,BL8)</f>
        <v>705</v>
      </c>
      <c r="H7" s="2"/>
      <c r="I7" s="2"/>
      <c r="J7" s="114" t="s">
        <v>21</v>
      </c>
      <c r="K7" s="115"/>
      <c r="L7" s="115"/>
      <c r="M7" s="115"/>
      <c r="N7" s="116"/>
      <c r="O7" s="117"/>
      <c r="P7" s="4"/>
      <c r="Q7" s="4"/>
      <c r="R7" s="4"/>
      <c r="S7" s="4"/>
      <c r="T7" s="114" t="s">
        <v>120</v>
      </c>
      <c r="U7" s="115"/>
      <c r="V7" s="115"/>
      <c r="W7" s="115"/>
      <c r="X7" s="116"/>
      <c r="Y7" s="117"/>
      <c r="Z7" s="4"/>
      <c r="AA7" s="4"/>
      <c r="AB7" s="4"/>
      <c r="AC7" s="4"/>
      <c r="AD7" s="30" t="s">
        <v>117</v>
      </c>
      <c r="AE7" s="31"/>
      <c r="AF7" s="31"/>
      <c r="AG7" s="31"/>
      <c r="AH7" s="32"/>
      <c r="AI7" s="33"/>
      <c r="AJ7" s="4"/>
      <c r="AK7" s="4"/>
      <c r="AL7" s="4"/>
      <c r="AM7" s="4"/>
      <c r="AN7" s="30" t="s">
        <v>165</v>
      </c>
      <c r="AO7" s="31"/>
      <c r="AP7" s="31"/>
      <c r="AQ7" s="31"/>
      <c r="AR7" s="32"/>
      <c r="AS7" s="33"/>
      <c r="AT7" s="4"/>
      <c r="AU7" s="4"/>
      <c r="AV7" s="4"/>
      <c r="AW7" s="4"/>
      <c r="AX7" s="53" t="s">
        <v>32</v>
      </c>
      <c r="AY7" s="54"/>
      <c r="AZ7" s="54"/>
      <c r="BA7" s="54"/>
      <c r="BB7" s="55"/>
      <c r="BC7" s="56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110">
        <v>2</v>
      </c>
      <c r="K8" s="111"/>
      <c r="L8" s="108">
        <v>2</v>
      </c>
      <c r="M8" s="111"/>
      <c r="N8" s="108">
        <v>90</v>
      </c>
      <c r="O8" s="109"/>
      <c r="P8" s="4"/>
      <c r="Q8" s="4"/>
      <c r="R8" s="4"/>
      <c r="S8" s="4"/>
      <c r="T8" s="110">
        <v>2</v>
      </c>
      <c r="U8" s="111"/>
      <c r="V8" s="108">
        <v>2</v>
      </c>
      <c r="W8" s="111"/>
      <c r="X8" s="108">
        <v>90</v>
      </c>
      <c r="Y8" s="109"/>
      <c r="Z8" s="4"/>
      <c r="AA8" s="4"/>
      <c r="AB8" s="4"/>
      <c r="AC8" s="4"/>
      <c r="AD8" s="34">
        <v>4</v>
      </c>
      <c r="AE8" s="35"/>
      <c r="AF8" s="36">
        <v>5</v>
      </c>
      <c r="AG8" s="35"/>
      <c r="AH8" s="36">
        <v>195</v>
      </c>
      <c r="AI8" s="37"/>
      <c r="AJ8" s="4"/>
      <c r="AK8" s="4"/>
      <c r="AL8" s="4"/>
      <c r="AM8" s="4"/>
      <c r="AN8" s="34">
        <v>3</v>
      </c>
      <c r="AO8" s="35"/>
      <c r="AP8" s="36">
        <v>4</v>
      </c>
      <c r="AQ8" s="35"/>
      <c r="AR8" s="36">
        <v>150</v>
      </c>
      <c r="AS8" s="37"/>
      <c r="AT8" s="4"/>
      <c r="AU8" s="4"/>
      <c r="AV8" s="4"/>
      <c r="AW8" s="4"/>
      <c r="AX8" s="57">
        <v>3</v>
      </c>
      <c r="AY8" s="58"/>
      <c r="AZ8" s="59">
        <v>6</v>
      </c>
      <c r="BA8" s="58"/>
      <c r="BB8" s="59">
        <v>180</v>
      </c>
      <c r="BC8" s="91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SUM(J8,T8,AD8,AN8,AX8,BH8,BR8)</f>
        <v>14</v>
      </c>
      <c r="F9" s="11">
        <f>SUM(J9:BW9)</f>
        <v>19</v>
      </c>
      <c r="G9" s="105"/>
      <c r="H9" s="2"/>
      <c r="I9" s="2"/>
      <c r="J9" s="112">
        <v>2</v>
      </c>
      <c r="K9" s="113"/>
      <c r="L9" s="106">
        <v>0</v>
      </c>
      <c r="M9" s="113"/>
      <c r="N9" s="106">
        <v>0</v>
      </c>
      <c r="O9" s="107"/>
      <c r="P9" s="4"/>
      <c r="Q9" s="4"/>
      <c r="R9" s="4"/>
      <c r="S9" s="4"/>
      <c r="T9" s="112">
        <v>2</v>
      </c>
      <c r="U9" s="113"/>
      <c r="V9" s="106">
        <v>0</v>
      </c>
      <c r="W9" s="113"/>
      <c r="X9" s="106">
        <v>0</v>
      </c>
      <c r="Y9" s="107"/>
      <c r="Z9" s="4"/>
      <c r="AA9" s="4"/>
      <c r="AB9" s="4"/>
      <c r="AC9" s="4"/>
      <c r="AD9" s="20">
        <v>3</v>
      </c>
      <c r="AE9" s="21"/>
      <c r="AF9" s="22">
        <v>2</v>
      </c>
      <c r="AG9" s="21"/>
      <c r="AH9" s="22">
        <v>0</v>
      </c>
      <c r="AI9" s="23"/>
      <c r="AJ9" s="4"/>
      <c r="AK9" s="4"/>
      <c r="AL9" s="4"/>
      <c r="AM9" s="4"/>
      <c r="AN9" s="20">
        <v>2</v>
      </c>
      <c r="AO9" s="21"/>
      <c r="AP9" s="22">
        <v>2</v>
      </c>
      <c r="AQ9" s="21"/>
      <c r="AR9" s="22">
        <v>0</v>
      </c>
      <c r="AS9" s="23"/>
      <c r="AT9" s="4"/>
      <c r="AU9" s="4"/>
      <c r="AV9" s="4"/>
      <c r="AW9" s="4"/>
      <c r="AX9" s="92">
        <v>3</v>
      </c>
      <c r="AY9" s="93"/>
      <c r="AZ9" s="70">
        <v>3</v>
      </c>
      <c r="BA9" s="93"/>
      <c r="BB9" s="70">
        <v>0</v>
      </c>
      <c r="BC9" s="71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122</v>
      </c>
      <c r="K14" s="25"/>
      <c r="L14" s="26"/>
      <c r="M14" s="38" t="s">
        <v>109</v>
      </c>
      <c r="N14" s="39"/>
      <c r="O14" s="40"/>
      <c r="P14" s="4"/>
      <c r="Q14" s="4"/>
      <c r="R14" s="4"/>
      <c r="S14" s="4"/>
      <c r="T14" s="24" t="s">
        <v>114</v>
      </c>
      <c r="U14" s="25"/>
      <c r="V14" s="26"/>
      <c r="W14" s="38">
        <v>313</v>
      </c>
      <c r="X14" s="39"/>
      <c r="Y14" s="40"/>
      <c r="Z14" s="4"/>
      <c r="AA14" s="4"/>
      <c r="AB14" s="4"/>
      <c r="AC14" s="4"/>
      <c r="AD14" s="24" t="s">
        <v>114</v>
      </c>
      <c r="AE14" s="25"/>
      <c r="AF14" s="26"/>
      <c r="AG14" s="38">
        <v>131</v>
      </c>
      <c r="AH14" s="39"/>
      <c r="AI14" s="40"/>
      <c r="AJ14" s="4"/>
      <c r="AK14" s="4"/>
      <c r="AL14" s="4"/>
      <c r="AM14" s="4"/>
      <c r="AN14" s="24" t="s">
        <v>19</v>
      </c>
      <c r="AO14" s="25"/>
      <c r="AP14" s="26"/>
      <c r="AQ14" s="38">
        <v>113</v>
      </c>
      <c r="AR14" s="39"/>
      <c r="AS14" s="40"/>
      <c r="AT14" s="4"/>
      <c r="AU14" s="4"/>
      <c r="AV14" s="4"/>
      <c r="AW14" s="4"/>
      <c r="AX14" s="24" t="s">
        <v>19</v>
      </c>
      <c r="AY14" s="25"/>
      <c r="AZ14" s="26"/>
      <c r="BA14" s="27" t="s">
        <v>35</v>
      </c>
      <c r="BB14" s="28"/>
      <c r="BC14" s="29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750</v>
      </c>
      <c r="H15" s="2"/>
      <c r="I15" s="2"/>
      <c r="J15" s="114" t="s">
        <v>123</v>
      </c>
      <c r="K15" s="115"/>
      <c r="L15" s="115"/>
      <c r="M15" s="115"/>
      <c r="N15" s="116"/>
      <c r="O15" s="117"/>
      <c r="P15" s="4"/>
      <c r="Q15" s="4"/>
      <c r="R15" s="4"/>
      <c r="S15" s="4"/>
      <c r="T15" s="30" t="s">
        <v>125</v>
      </c>
      <c r="U15" s="31"/>
      <c r="V15" s="31"/>
      <c r="W15" s="31"/>
      <c r="X15" s="32"/>
      <c r="Y15" s="33"/>
      <c r="Z15" s="4"/>
      <c r="AA15" s="4"/>
      <c r="AB15" s="4"/>
      <c r="AC15" s="4"/>
      <c r="AD15" s="30" t="s">
        <v>124</v>
      </c>
      <c r="AE15" s="31"/>
      <c r="AF15" s="31"/>
      <c r="AG15" s="31"/>
      <c r="AH15" s="32"/>
      <c r="AI15" s="33"/>
      <c r="AJ15" s="4"/>
      <c r="AK15" s="4"/>
      <c r="AL15" s="4"/>
      <c r="AM15" s="4"/>
      <c r="AN15" s="30" t="s">
        <v>24</v>
      </c>
      <c r="AO15" s="31"/>
      <c r="AP15" s="31"/>
      <c r="AQ15" s="31"/>
      <c r="AR15" s="32"/>
      <c r="AS15" s="33"/>
      <c r="AT15" s="4"/>
      <c r="AU15" s="4"/>
      <c r="AV15" s="4"/>
      <c r="AW15" s="4"/>
      <c r="AX15" s="53" t="s">
        <v>34</v>
      </c>
      <c r="AY15" s="54"/>
      <c r="AZ15" s="54"/>
      <c r="BA15" s="54"/>
      <c r="BB15" s="55"/>
      <c r="BC15" s="56"/>
      <c r="BD15" s="4"/>
      <c r="BE15" s="4"/>
      <c r="BF15" s="4"/>
      <c r="BG15" s="4"/>
      <c r="BH15" s="4"/>
      <c r="BI15" s="4"/>
      <c r="BJ15" s="19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110">
        <v>2</v>
      </c>
      <c r="K16" s="111"/>
      <c r="L16" s="108">
        <v>2</v>
      </c>
      <c r="M16" s="111"/>
      <c r="N16" s="108">
        <v>90</v>
      </c>
      <c r="O16" s="109"/>
      <c r="P16" s="4"/>
      <c r="Q16" s="4"/>
      <c r="R16" s="4"/>
      <c r="S16" s="4"/>
      <c r="T16" s="34">
        <v>4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2</v>
      </c>
      <c r="AE16" s="35"/>
      <c r="AF16" s="36">
        <v>3</v>
      </c>
      <c r="AG16" s="35"/>
      <c r="AH16" s="36">
        <v>105</v>
      </c>
      <c r="AI16" s="37"/>
      <c r="AJ16" s="4"/>
      <c r="AK16" s="4"/>
      <c r="AL16" s="4"/>
      <c r="AM16" s="4"/>
      <c r="AN16" s="34">
        <v>3</v>
      </c>
      <c r="AO16" s="35"/>
      <c r="AP16" s="36">
        <v>6</v>
      </c>
      <c r="AQ16" s="35"/>
      <c r="AR16" s="36">
        <v>180</v>
      </c>
      <c r="AS16" s="37"/>
      <c r="AT16" s="4"/>
      <c r="AU16" s="4"/>
      <c r="AV16" s="4"/>
      <c r="AW16" s="4"/>
      <c r="AX16" s="57">
        <v>3</v>
      </c>
      <c r="AY16" s="58"/>
      <c r="AZ16" s="59">
        <v>6</v>
      </c>
      <c r="BA16" s="58"/>
      <c r="BB16" s="59">
        <v>180</v>
      </c>
      <c r="BC16" s="91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SUM(J16,T16,AD16,AN16,AX16,BH16,BR16)</f>
        <v>14</v>
      </c>
      <c r="F17" s="11">
        <f>SUM(J17:BW17)</f>
        <v>22</v>
      </c>
      <c r="G17" s="105"/>
      <c r="H17" s="2"/>
      <c r="I17" s="2"/>
      <c r="J17" s="112">
        <v>2</v>
      </c>
      <c r="K17" s="113"/>
      <c r="L17" s="106">
        <v>0</v>
      </c>
      <c r="M17" s="113"/>
      <c r="N17" s="106">
        <v>0</v>
      </c>
      <c r="O17" s="107"/>
      <c r="P17" s="4"/>
      <c r="Q17" s="4"/>
      <c r="R17" s="4"/>
      <c r="S17" s="4"/>
      <c r="T17" s="20">
        <v>3</v>
      </c>
      <c r="U17" s="21"/>
      <c r="V17" s="22">
        <v>2</v>
      </c>
      <c r="W17" s="21"/>
      <c r="X17" s="22">
        <v>0</v>
      </c>
      <c r="Y17" s="23"/>
      <c r="Z17" s="4"/>
      <c r="AA17" s="4"/>
      <c r="AB17" s="4"/>
      <c r="AC17" s="4"/>
      <c r="AD17" s="20">
        <v>1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20">
        <v>1</v>
      </c>
      <c r="AO17" s="21"/>
      <c r="AP17" s="22">
        <v>3</v>
      </c>
      <c r="AQ17" s="21"/>
      <c r="AR17" s="22">
        <v>2</v>
      </c>
      <c r="AS17" s="23"/>
      <c r="AT17" s="4"/>
      <c r="AU17" s="4"/>
      <c r="AV17" s="4"/>
      <c r="AW17" s="4"/>
      <c r="AX17" s="92">
        <v>3</v>
      </c>
      <c r="AY17" s="93"/>
      <c r="AZ17" s="70">
        <v>3</v>
      </c>
      <c r="BA17" s="93"/>
      <c r="BB17" s="70">
        <v>0</v>
      </c>
      <c r="BC17" s="71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3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127</v>
      </c>
      <c r="K24" s="25"/>
      <c r="L24" s="26"/>
      <c r="M24" s="38" t="s">
        <v>110</v>
      </c>
      <c r="N24" s="39"/>
      <c r="O24" s="40"/>
      <c r="P24" s="4"/>
      <c r="Q24" s="4"/>
      <c r="R24" s="4"/>
      <c r="S24" s="4"/>
      <c r="T24" s="24" t="s">
        <v>131</v>
      </c>
      <c r="U24" s="25"/>
      <c r="V24" s="26"/>
      <c r="W24" s="38" t="s">
        <v>110</v>
      </c>
      <c r="X24" s="39"/>
      <c r="Y24" s="40"/>
      <c r="Z24" s="4"/>
      <c r="AA24" s="4"/>
      <c r="AB24" s="4"/>
      <c r="AC24" s="4"/>
      <c r="AD24" s="24" t="s">
        <v>114</v>
      </c>
      <c r="AE24" s="25"/>
      <c r="AF24" s="26"/>
      <c r="AG24" s="38">
        <v>112</v>
      </c>
      <c r="AH24" s="39"/>
      <c r="AI24" s="40"/>
      <c r="AJ24" s="4"/>
      <c r="AK24" s="4"/>
      <c r="AL24" s="4"/>
      <c r="AM24" s="4"/>
      <c r="AN24" s="24" t="s">
        <v>114</v>
      </c>
      <c r="AO24" s="25"/>
      <c r="AP24" s="26"/>
      <c r="AQ24" s="38">
        <v>231</v>
      </c>
      <c r="AR24" s="39"/>
      <c r="AS24" s="40"/>
      <c r="AT24" s="4"/>
      <c r="AU24" s="4"/>
      <c r="AV24" s="4"/>
      <c r="AW24" s="4"/>
      <c r="AX24" s="24" t="s">
        <v>19</v>
      </c>
      <c r="AY24" s="25"/>
      <c r="AZ24" s="26"/>
      <c r="BA24" s="38">
        <v>111</v>
      </c>
      <c r="BB24" s="102"/>
      <c r="BC24" s="103"/>
      <c r="BD24" s="4"/>
      <c r="BE24" s="4"/>
      <c r="BF24" s="4"/>
      <c r="BG24" s="4"/>
      <c r="BH24" s="24" t="s">
        <v>19</v>
      </c>
      <c r="BI24" s="25"/>
      <c r="BJ24" s="26"/>
      <c r="BK24" s="38">
        <v>131</v>
      </c>
      <c r="BL24" s="102"/>
      <c r="BM24" s="103"/>
      <c r="BN24" s="4"/>
      <c r="BO24" s="4"/>
      <c r="BP24" s="4"/>
      <c r="BQ24" s="4"/>
      <c r="BR24" s="24" t="s">
        <v>19</v>
      </c>
      <c r="BS24" s="25"/>
      <c r="BT24" s="26"/>
      <c r="BU24" s="38">
        <v>191</v>
      </c>
      <c r="BV24" s="39"/>
      <c r="BW24" s="40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48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SUM(N26,X26,AH26,AR26,BB26,BL26,BV26)</f>
        <v>915</v>
      </c>
      <c r="H25" s="2"/>
      <c r="I25" s="2"/>
      <c r="J25" s="114" t="s">
        <v>128</v>
      </c>
      <c r="K25" s="115"/>
      <c r="L25" s="115"/>
      <c r="M25" s="115"/>
      <c r="N25" s="116"/>
      <c r="O25" s="117"/>
      <c r="P25" s="4"/>
      <c r="Q25" s="4"/>
      <c r="R25" s="4"/>
      <c r="S25" s="4"/>
      <c r="T25" s="114" t="s">
        <v>20</v>
      </c>
      <c r="U25" s="115"/>
      <c r="V25" s="115"/>
      <c r="W25" s="115"/>
      <c r="X25" s="116"/>
      <c r="Y25" s="117"/>
      <c r="Z25" s="4"/>
      <c r="AA25" s="4"/>
      <c r="AB25" s="4"/>
      <c r="AC25" s="4"/>
      <c r="AD25" s="30" t="s">
        <v>126</v>
      </c>
      <c r="AE25" s="31"/>
      <c r="AF25" s="31"/>
      <c r="AG25" s="31"/>
      <c r="AH25" s="32"/>
      <c r="AI25" s="33"/>
      <c r="AJ25" s="4"/>
      <c r="AK25" s="4"/>
      <c r="AL25" s="4"/>
      <c r="AM25" s="4"/>
      <c r="AN25" s="30" t="s">
        <v>148</v>
      </c>
      <c r="AO25" s="31"/>
      <c r="AP25" s="31"/>
      <c r="AQ25" s="31"/>
      <c r="AR25" s="32"/>
      <c r="AS25" s="33"/>
      <c r="AT25" s="4"/>
      <c r="AU25" s="4"/>
      <c r="AV25" s="4"/>
      <c r="AW25" s="4"/>
      <c r="AX25" s="53" t="s">
        <v>36</v>
      </c>
      <c r="AY25" s="54"/>
      <c r="AZ25" s="54"/>
      <c r="BA25" s="54"/>
      <c r="BB25" s="55"/>
      <c r="BC25" s="56"/>
      <c r="BD25" s="4"/>
      <c r="BE25" s="4"/>
      <c r="BF25" s="4"/>
      <c r="BG25" s="4"/>
      <c r="BH25" s="53" t="s">
        <v>37</v>
      </c>
      <c r="BI25" s="54"/>
      <c r="BJ25" s="54"/>
      <c r="BK25" s="54"/>
      <c r="BL25" s="55"/>
      <c r="BM25" s="56"/>
      <c r="BN25" s="4"/>
      <c r="BO25" s="4"/>
      <c r="BP25" s="4"/>
      <c r="BQ25" s="4"/>
      <c r="BR25" s="41" t="s">
        <v>156</v>
      </c>
      <c r="BS25" s="42"/>
      <c r="BT25" s="42"/>
      <c r="BU25" s="42"/>
      <c r="BV25" s="43"/>
      <c r="BW25" s="4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110">
        <v>2</v>
      </c>
      <c r="K26" s="111"/>
      <c r="L26" s="108">
        <v>2</v>
      </c>
      <c r="M26" s="111"/>
      <c r="N26" s="108">
        <v>90</v>
      </c>
      <c r="O26" s="109"/>
      <c r="P26" s="4"/>
      <c r="Q26" s="4"/>
      <c r="R26" s="4"/>
      <c r="S26" s="4"/>
      <c r="T26" s="110">
        <v>2</v>
      </c>
      <c r="U26" s="111"/>
      <c r="V26" s="108">
        <v>2</v>
      </c>
      <c r="W26" s="111"/>
      <c r="X26" s="108">
        <v>90</v>
      </c>
      <c r="Y26" s="109"/>
      <c r="Z26" s="4"/>
      <c r="AA26" s="4"/>
      <c r="AB26" s="4"/>
      <c r="AC26" s="4"/>
      <c r="AD26" s="34">
        <v>3</v>
      </c>
      <c r="AE26" s="35"/>
      <c r="AF26" s="36">
        <v>4</v>
      </c>
      <c r="AG26" s="35"/>
      <c r="AH26" s="36">
        <v>150</v>
      </c>
      <c r="AI26" s="37"/>
      <c r="AJ26" s="4"/>
      <c r="AK26" s="4"/>
      <c r="AL26" s="4"/>
      <c r="AM26" s="4"/>
      <c r="AN26" s="34">
        <v>3</v>
      </c>
      <c r="AO26" s="35"/>
      <c r="AP26" s="36">
        <v>4</v>
      </c>
      <c r="AQ26" s="35"/>
      <c r="AR26" s="36">
        <v>150</v>
      </c>
      <c r="AS26" s="37"/>
      <c r="AT26" s="4"/>
      <c r="AU26" s="4"/>
      <c r="AV26" s="4"/>
      <c r="AW26" s="4"/>
      <c r="AX26" s="57">
        <v>3</v>
      </c>
      <c r="AY26" s="58"/>
      <c r="AZ26" s="59">
        <v>6</v>
      </c>
      <c r="BA26" s="58"/>
      <c r="BB26" s="59">
        <v>180</v>
      </c>
      <c r="BC26" s="91"/>
      <c r="BD26" s="4"/>
      <c r="BE26" s="4"/>
      <c r="BF26" s="4"/>
      <c r="BG26" s="4"/>
      <c r="BH26" s="57">
        <v>3</v>
      </c>
      <c r="BI26" s="58"/>
      <c r="BJ26" s="59">
        <v>7</v>
      </c>
      <c r="BK26" s="58"/>
      <c r="BL26" s="59">
        <v>195</v>
      </c>
      <c r="BM26" s="91"/>
      <c r="BN26" s="4"/>
      <c r="BO26" s="4"/>
      <c r="BP26" s="4"/>
      <c r="BQ26" s="4"/>
      <c r="BR26" s="45">
        <v>2</v>
      </c>
      <c r="BS26" s="46"/>
      <c r="BT26" s="47">
        <v>2</v>
      </c>
      <c r="BU26" s="46"/>
      <c r="BV26" s="47">
        <v>60</v>
      </c>
      <c r="BW26" s="48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thickBot="1" x14ac:dyDescent="0.35">
      <c r="B27" s="118"/>
      <c r="C27" s="1"/>
      <c r="D27" s="119"/>
      <c r="E27" s="11">
        <f>SUM(J26,T26,AD26,AN26,AX26,BH26,BR26)</f>
        <v>18</v>
      </c>
      <c r="F27" s="11">
        <f>SUM(J27:BW27)</f>
        <v>27</v>
      </c>
      <c r="G27" s="105"/>
      <c r="H27" s="2"/>
      <c r="I27" s="2"/>
      <c r="J27" s="112">
        <v>2</v>
      </c>
      <c r="K27" s="113"/>
      <c r="L27" s="106">
        <v>0</v>
      </c>
      <c r="M27" s="113"/>
      <c r="N27" s="106">
        <v>0</v>
      </c>
      <c r="O27" s="107"/>
      <c r="P27" s="4"/>
      <c r="Q27" s="4"/>
      <c r="R27" s="4"/>
      <c r="S27" s="4"/>
      <c r="T27" s="112">
        <v>2</v>
      </c>
      <c r="U27" s="113"/>
      <c r="V27" s="106">
        <v>0</v>
      </c>
      <c r="W27" s="113"/>
      <c r="X27" s="106">
        <v>0</v>
      </c>
      <c r="Y27" s="107"/>
      <c r="Z27" s="4"/>
      <c r="AA27" s="4"/>
      <c r="AB27" s="4"/>
      <c r="AC27" s="4"/>
      <c r="AD27" s="20">
        <v>2</v>
      </c>
      <c r="AE27" s="21"/>
      <c r="AF27" s="22">
        <v>2</v>
      </c>
      <c r="AG27" s="21"/>
      <c r="AH27" s="22">
        <v>0</v>
      </c>
      <c r="AI27" s="23"/>
      <c r="AJ27" s="4"/>
      <c r="AK27" s="4"/>
      <c r="AL27" s="4"/>
      <c r="AM27" s="4"/>
      <c r="AN27" s="20">
        <v>2</v>
      </c>
      <c r="AO27" s="21"/>
      <c r="AP27" s="22">
        <v>2</v>
      </c>
      <c r="AQ27" s="21"/>
      <c r="AR27" s="22">
        <v>0</v>
      </c>
      <c r="AS27" s="23"/>
      <c r="AT27" s="4"/>
      <c r="AU27" s="4"/>
      <c r="AV27" s="4"/>
      <c r="AW27" s="4"/>
      <c r="AX27" s="92">
        <v>3</v>
      </c>
      <c r="AY27" s="93"/>
      <c r="AZ27" s="70">
        <v>3</v>
      </c>
      <c r="BA27" s="93"/>
      <c r="BB27" s="70">
        <v>0</v>
      </c>
      <c r="BC27" s="71"/>
      <c r="BD27" s="4"/>
      <c r="BE27" s="4"/>
      <c r="BF27" s="4"/>
      <c r="BG27" s="4"/>
      <c r="BH27" s="92">
        <v>3</v>
      </c>
      <c r="BI27" s="93"/>
      <c r="BJ27" s="70">
        <v>2</v>
      </c>
      <c r="BK27" s="93"/>
      <c r="BL27" s="70">
        <v>2</v>
      </c>
      <c r="BM27" s="71"/>
      <c r="BN27" s="4"/>
      <c r="BO27" s="4"/>
      <c r="BP27" s="4"/>
      <c r="BQ27" s="4"/>
      <c r="BR27" s="49">
        <v>2</v>
      </c>
      <c r="BS27" s="50"/>
      <c r="BT27" s="51">
        <v>0</v>
      </c>
      <c r="BU27" s="50"/>
      <c r="BV27" s="51">
        <v>0</v>
      </c>
      <c r="BW27" s="52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129</v>
      </c>
      <c r="K32" s="25"/>
      <c r="L32" s="26"/>
      <c r="M32" s="38" t="s">
        <v>110</v>
      </c>
      <c r="N32" s="39"/>
      <c r="O32" s="40"/>
      <c r="P32" s="4"/>
      <c r="Q32" s="4"/>
      <c r="R32" s="4"/>
      <c r="S32" s="4"/>
      <c r="T32" s="24" t="s">
        <v>19</v>
      </c>
      <c r="U32" s="25"/>
      <c r="V32" s="26"/>
      <c r="W32" s="38">
        <v>315</v>
      </c>
      <c r="X32" s="39"/>
      <c r="Y32" s="40"/>
      <c r="Z32" s="4"/>
      <c r="AA32" s="4"/>
      <c r="AB32" s="4"/>
      <c r="AC32" s="4"/>
      <c r="AD32" s="24" t="s">
        <v>19</v>
      </c>
      <c r="AE32" s="25"/>
      <c r="AF32" s="26"/>
      <c r="AG32" s="38">
        <v>112</v>
      </c>
      <c r="AH32" s="102"/>
      <c r="AI32" s="103"/>
      <c r="AJ32" s="4"/>
      <c r="AK32" s="4"/>
      <c r="AL32" s="4"/>
      <c r="AM32" s="4"/>
      <c r="AN32" s="24" t="s">
        <v>19</v>
      </c>
      <c r="AO32" s="25"/>
      <c r="AP32" s="26"/>
      <c r="AQ32" s="38">
        <v>221</v>
      </c>
      <c r="AR32" s="102"/>
      <c r="AS32" s="103"/>
      <c r="AT32" s="4"/>
      <c r="AU32" s="4"/>
      <c r="AV32" s="4"/>
      <c r="AW32" s="4"/>
      <c r="AX32" s="24" t="s">
        <v>19</v>
      </c>
      <c r="AY32" s="25"/>
      <c r="AZ32" s="26"/>
      <c r="BA32" s="38">
        <v>132</v>
      </c>
      <c r="BB32" s="102"/>
      <c r="BC32" s="103"/>
      <c r="BD32" s="4"/>
      <c r="BE32" s="4"/>
      <c r="BF32" s="4"/>
      <c r="BG32" s="4"/>
      <c r="BH32" s="24" t="s">
        <v>19</v>
      </c>
      <c r="BI32" s="25"/>
      <c r="BJ32" s="26"/>
      <c r="BK32" s="38">
        <v>251</v>
      </c>
      <c r="BL32" s="102"/>
      <c r="BM32" s="103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945</v>
      </c>
      <c r="H33" s="2"/>
      <c r="I33" s="2"/>
      <c r="J33" s="114" t="s">
        <v>130</v>
      </c>
      <c r="K33" s="115"/>
      <c r="L33" s="115"/>
      <c r="M33" s="115"/>
      <c r="N33" s="116"/>
      <c r="O33" s="117"/>
      <c r="P33" s="4"/>
      <c r="Q33" s="4"/>
      <c r="R33" s="4"/>
      <c r="S33" s="4"/>
      <c r="T33" s="30" t="s">
        <v>26</v>
      </c>
      <c r="U33" s="31"/>
      <c r="V33" s="31"/>
      <c r="W33" s="31"/>
      <c r="X33" s="32"/>
      <c r="Y33" s="33"/>
      <c r="Z33" s="4"/>
      <c r="AA33" s="4"/>
      <c r="AB33" s="4"/>
      <c r="AC33" s="4"/>
      <c r="AD33" s="53" t="s">
        <v>38</v>
      </c>
      <c r="AE33" s="54"/>
      <c r="AF33" s="54"/>
      <c r="AG33" s="54"/>
      <c r="AH33" s="55"/>
      <c r="AI33" s="56"/>
      <c r="AJ33" s="4"/>
      <c r="AK33" s="4"/>
      <c r="AL33" s="4"/>
      <c r="AM33" s="4"/>
      <c r="AN33" s="53" t="s">
        <v>43</v>
      </c>
      <c r="AO33" s="54"/>
      <c r="AP33" s="54"/>
      <c r="AQ33" s="54"/>
      <c r="AR33" s="55"/>
      <c r="AS33" s="56"/>
      <c r="AT33" s="4"/>
      <c r="AU33" s="4"/>
      <c r="AV33" s="4"/>
      <c r="AW33" s="4"/>
      <c r="AX33" s="53" t="s">
        <v>39</v>
      </c>
      <c r="AY33" s="54"/>
      <c r="AZ33" s="54"/>
      <c r="BA33" s="54"/>
      <c r="BB33" s="55"/>
      <c r="BC33" s="56"/>
      <c r="BD33" s="4"/>
      <c r="BE33" s="4"/>
      <c r="BF33" s="4"/>
      <c r="BG33" s="4"/>
      <c r="BH33" s="53" t="s">
        <v>67</v>
      </c>
      <c r="BI33" s="54"/>
      <c r="BJ33" s="54"/>
      <c r="BK33" s="54"/>
      <c r="BL33" s="55"/>
      <c r="BM33" s="56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110">
        <v>2</v>
      </c>
      <c r="K34" s="111"/>
      <c r="L34" s="108">
        <v>2</v>
      </c>
      <c r="M34" s="111"/>
      <c r="N34" s="108">
        <v>90</v>
      </c>
      <c r="O34" s="109"/>
      <c r="P34" s="4"/>
      <c r="Q34" s="4"/>
      <c r="R34" s="4"/>
      <c r="S34" s="4"/>
      <c r="T34" s="34">
        <v>3</v>
      </c>
      <c r="U34" s="35"/>
      <c r="V34" s="36">
        <v>4</v>
      </c>
      <c r="W34" s="35"/>
      <c r="X34" s="36">
        <v>150</v>
      </c>
      <c r="Y34" s="37"/>
      <c r="Z34" s="4"/>
      <c r="AA34" s="4"/>
      <c r="AB34" s="4"/>
      <c r="AC34" s="4"/>
      <c r="AD34" s="57">
        <v>3</v>
      </c>
      <c r="AE34" s="58"/>
      <c r="AF34" s="59">
        <v>6</v>
      </c>
      <c r="AG34" s="58"/>
      <c r="AH34" s="59">
        <v>180</v>
      </c>
      <c r="AI34" s="91"/>
      <c r="AJ34" s="4"/>
      <c r="AK34" s="4"/>
      <c r="AL34" s="4"/>
      <c r="AM34" s="4"/>
      <c r="AN34" s="57">
        <v>3</v>
      </c>
      <c r="AO34" s="58"/>
      <c r="AP34" s="59">
        <v>6</v>
      </c>
      <c r="AQ34" s="58"/>
      <c r="AR34" s="59">
        <v>180</v>
      </c>
      <c r="AS34" s="91"/>
      <c r="AT34" s="4"/>
      <c r="AU34" s="4"/>
      <c r="AV34" s="4"/>
      <c r="AW34" s="4"/>
      <c r="AX34" s="57">
        <v>3</v>
      </c>
      <c r="AY34" s="58"/>
      <c r="AZ34" s="59">
        <v>5</v>
      </c>
      <c r="BA34" s="58"/>
      <c r="BB34" s="59">
        <v>165</v>
      </c>
      <c r="BC34" s="91"/>
      <c r="BD34" s="4"/>
      <c r="BE34" s="4"/>
      <c r="BF34" s="4"/>
      <c r="BG34" s="4"/>
      <c r="BH34" s="57">
        <v>3</v>
      </c>
      <c r="BI34" s="58"/>
      <c r="BJ34" s="59">
        <v>6</v>
      </c>
      <c r="BK34" s="58"/>
      <c r="BL34" s="59">
        <v>180</v>
      </c>
      <c r="BM34" s="91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SUM(J34,T34,AD34,AN34,AX34,BH34,BR34)</f>
        <v>17</v>
      </c>
      <c r="F35" s="11">
        <f>L34+V34+AF34+AP34+AZ34+BJ34+BT34</f>
        <v>29</v>
      </c>
      <c r="G35" s="105"/>
      <c r="H35" s="2"/>
      <c r="I35" s="2"/>
      <c r="J35" s="112">
        <v>2</v>
      </c>
      <c r="K35" s="113"/>
      <c r="L35" s="106">
        <v>0</v>
      </c>
      <c r="M35" s="113"/>
      <c r="N35" s="106">
        <v>0</v>
      </c>
      <c r="O35" s="107"/>
      <c r="P35" s="4"/>
      <c r="Q35" s="4"/>
      <c r="R35" s="4"/>
      <c r="S35" s="4"/>
      <c r="T35" s="20">
        <v>2</v>
      </c>
      <c r="U35" s="21"/>
      <c r="V35" s="22">
        <v>0</v>
      </c>
      <c r="W35" s="21"/>
      <c r="X35" s="22">
        <v>2</v>
      </c>
      <c r="Y35" s="23"/>
      <c r="Z35" s="4"/>
      <c r="AA35" s="4"/>
      <c r="AB35" s="4"/>
      <c r="AC35" s="4"/>
      <c r="AD35" s="92">
        <v>3</v>
      </c>
      <c r="AE35" s="93"/>
      <c r="AF35" s="70">
        <v>3</v>
      </c>
      <c r="AG35" s="93"/>
      <c r="AH35" s="70">
        <v>0</v>
      </c>
      <c r="AI35" s="71"/>
      <c r="AJ35" s="4"/>
      <c r="AK35" s="4"/>
      <c r="AL35" s="4"/>
      <c r="AM35" s="4"/>
      <c r="AN35" s="92">
        <v>3</v>
      </c>
      <c r="AO35" s="93"/>
      <c r="AP35" s="70">
        <v>3</v>
      </c>
      <c r="AQ35" s="93"/>
      <c r="AR35" s="70">
        <v>0</v>
      </c>
      <c r="AS35" s="71"/>
      <c r="AT35" s="4"/>
      <c r="AU35" s="4"/>
      <c r="AV35" s="4"/>
      <c r="AW35" s="4"/>
      <c r="AX35" s="92">
        <v>3</v>
      </c>
      <c r="AY35" s="93"/>
      <c r="AZ35" s="70">
        <v>2</v>
      </c>
      <c r="BA35" s="93"/>
      <c r="BB35" s="70">
        <v>0</v>
      </c>
      <c r="BC35" s="71"/>
      <c r="BD35" s="4"/>
      <c r="BE35" s="4"/>
      <c r="BF35" s="4"/>
      <c r="BG35" s="4"/>
      <c r="BH35" s="92">
        <v>3</v>
      </c>
      <c r="BI35" s="93"/>
      <c r="BJ35" s="70">
        <v>3</v>
      </c>
      <c r="BK35" s="93"/>
      <c r="BL35" s="70">
        <v>0</v>
      </c>
      <c r="BM35" s="71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2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133</v>
      </c>
      <c r="K42" s="25"/>
      <c r="L42" s="26"/>
      <c r="M42" s="38" t="s">
        <v>110</v>
      </c>
      <c r="N42" s="39"/>
      <c r="O42" s="40"/>
      <c r="P42" s="4"/>
      <c r="Q42" s="4"/>
      <c r="R42" s="4"/>
      <c r="S42" s="4"/>
      <c r="T42" s="24" t="s">
        <v>19</v>
      </c>
      <c r="U42" s="25"/>
      <c r="V42" s="26"/>
      <c r="W42" s="38">
        <v>233</v>
      </c>
      <c r="X42" s="102"/>
      <c r="Y42" s="103"/>
      <c r="Z42" s="4"/>
      <c r="AA42" s="4"/>
      <c r="AB42" s="4"/>
      <c r="AC42" s="4"/>
      <c r="AD42" s="24" t="s">
        <v>19</v>
      </c>
      <c r="AE42" s="25"/>
      <c r="AF42" s="26"/>
      <c r="AG42" s="38">
        <v>261</v>
      </c>
      <c r="AH42" s="102"/>
      <c r="AI42" s="103"/>
      <c r="AJ42" s="4"/>
      <c r="AK42" s="4"/>
      <c r="AL42" s="4"/>
      <c r="AM42" s="4"/>
      <c r="AN42" s="24" t="s">
        <v>19</v>
      </c>
      <c r="AO42" s="25"/>
      <c r="AP42" s="26"/>
      <c r="AQ42" s="38">
        <v>211</v>
      </c>
      <c r="AR42" s="102"/>
      <c r="AS42" s="103"/>
      <c r="AT42" s="4"/>
      <c r="AU42" s="4"/>
      <c r="AV42" s="4"/>
      <c r="AW42" s="4"/>
      <c r="AX42" s="24" t="s">
        <v>48</v>
      </c>
      <c r="AY42" s="25"/>
      <c r="AZ42" s="26"/>
      <c r="BA42" s="38">
        <v>111</v>
      </c>
      <c r="BB42" s="39"/>
      <c r="BC42" s="40"/>
      <c r="BD42" s="4"/>
      <c r="BE42" s="4"/>
      <c r="BF42" s="4"/>
      <c r="BG42" s="4"/>
      <c r="BH42" s="24" t="s">
        <v>19</v>
      </c>
      <c r="BI42" s="25"/>
      <c r="BJ42" s="26"/>
      <c r="BK42" s="38">
        <v>271</v>
      </c>
      <c r="BL42" s="102"/>
      <c r="BM42" s="103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945</v>
      </c>
      <c r="H43" s="2"/>
      <c r="I43" s="2"/>
      <c r="J43" s="114" t="s">
        <v>132</v>
      </c>
      <c r="K43" s="115"/>
      <c r="L43" s="115"/>
      <c r="M43" s="115"/>
      <c r="N43" s="116"/>
      <c r="O43" s="117"/>
      <c r="P43" s="4"/>
      <c r="Q43" s="4"/>
      <c r="R43" s="4"/>
      <c r="S43" s="4"/>
      <c r="T43" s="53" t="s">
        <v>40</v>
      </c>
      <c r="U43" s="54"/>
      <c r="V43" s="54"/>
      <c r="W43" s="54"/>
      <c r="X43" s="55"/>
      <c r="Y43" s="56"/>
      <c r="Z43" s="4"/>
      <c r="AA43" s="4"/>
      <c r="AB43" s="4"/>
      <c r="AC43" s="4"/>
      <c r="AD43" s="53" t="s">
        <v>41</v>
      </c>
      <c r="AE43" s="54"/>
      <c r="AF43" s="54"/>
      <c r="AG43" s="54"/>
      <c r="AH43" s="55"/>
      <c r="AI43" s="56"/>
      <c r="AJ43" s="4"/>
      <c r="AK43" s="4"/>
      <c r="AL43" s="4"/>
      <c r="AM43" s="4"/>
      <c r="AN43" s="53" t="s">
        <v>66</v>
      </c>
      <c r="AO43" s="54"/>
      <c r="AP43" s="54"/>
      <c r="AQ43" s="54"/>
      <c r="AR43" s="55"/>
      <c r="AS43" s="56"/>
      <c r="AT43" s="4"/>
      <c r="AU43" s="4"/>
      <c r="AV43" s="4"/>
      <c r="AW43" s="4"/>
      <c r="AX43" s="146" t="s">
        <v>47</v>
      </c>
      <c r="AY43" s="147"/>
      <c r="AZ43" s="147"/>
      <c r="BA43" s="147"/>
      <c r="BB43" s="148"/>
      <c r="BC43" s="149"/>
      <c r="BD43" s="4"/>
      <c r="BE43" s="4"/>
      <c r="BF43" s="4"/>
      <c r="BG43" s="4"/>
      <c r="BH43" s="94" t="s">
        <v>82</v>
      </c>
      <c r="BI43" s="95"/>
      <c r="BJ43" s="95"/>
      <c r="BK43" s="95"/>
      <c r="BL43" s="96"/>
      <c r="BM43" s="97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110">
        <v>2</v>
      </c>
      <c r="K44" s="111"/>
      <c r="L44" s="108">
        <v>2</v>
      </c>
      <c r="M44" s="111"/>
      <c r="N44" s="108">
        <v>90</v>
      </c>
      <c r="O44" s="109"/>
      <c r="P44" s="4"/>
      <c r="Q44" s="4"/>
      <c r="R44" s="4"/>
      <c r="S44" s="4"/>
      <c r="T44" s="57">
        <v>3</v>
      </c>
      <c r="U44" s="58"/>
      <c r="V44" s="59">
        <v>5</v>
      </c>
      <c r="W44" s="58"/>
      <c r="X44" s="59">
        <v>165</v>
      </c>
      <c r="Y44" s="91"/>
      <c r="Z44" s="4"/>
      <c r="AA44" s="4"/>
      <c r="AB44" s="4"/>
      <c r="AC44" s="4"/>
      <c r="AD44" s="57">
        <v>3</v>
      </c>
      <c r="AE44" s="58"/>
      <c r="AF44" s="59">
        <v>5</v>
      </c>
      <c r="AG44" s="58"/>
      <c r="AH44" s="59">
        <v>165</v>
      </c>
      <c r="AI44" s="91"/>
      <c r="AJ44" s="4"/>
      <c r="AK44" s="4"/>
      <c r="AL44" s="4"/>
      <c r="AM44" s="4"/>
      <c r="AN44" s="57">
        <v>3</v>
      </c>
      <c r="AO44" s="58"/>
      <c r="AP44" s="59">
        <v>5</v>
      </c>
      <c r="AQ44" s="58"/>
      <c r="AR44" s="59">
        <v>165</v>
      </c>
      <c r="AS44" s="91"/>
      <c r="AT44" s="4"/>
      <c r="AU44" s="4"/>
      <c r="AV44" s="4"/>
      <c r="AW44" s="4"/>
      <c r="AX44" s="138">
        <v>3</v>
      </c>
      <c r="AY44" s="139"/>
      <c r="AZ44" s="140">
        <v>6</v>
      </c>
      <c r="BA44" s="139"/>
      <c r="BB44" s="140">
        <v>180</v>
      </c>
      <c r="BC44" s="141"/>
      <c r="BD44" s="4"/>
      <c r="BE44" s="4"/>
      <c r="BF44" s="4"/>
      <c r="BG44" s="4"/>
      <c r="BH44" s="98">
        <v>3</v>
      </c>
      <c r="BI44" s="99"/>
      <c r="BJ44" s="100">
        <v>6</v>
      </c>
      <c r="BK44" s="99"/>
      <c r="BL44" s="100">
        <v>180</v>
      </c>
      <c r="BM44" s="101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17</v>
      </c>
      <c r="F45" s="11">
        <f>SUM(J45:BM45)</f>
        <v>29</v>
      </c>
      <c r="G45" s="105"/>
      <c r="H45" s="2"/>
      <c r="I45" s="2"/>
      <c r="J45" s="112">
        <v>2</v>
      </c>
      <c r="K45" s="113"/>
      <c r="L45" s="106">
        <v>0</v>
      </c>
      <c r="M45" s="113"/>
      <c r="N45" s="106">
        <v>0</v>
      </c>
      <c r="O45" s="107"/>
      <c r="P45" s="4"/>
      <c r="Q45" s="4"/>
      <c r="R45" s="4"/>
      <c r="S45" s="4"/>
      <c r="T45" s="92">
        <v>3</v>
      </c>
      <c r="U45" s="93"/>
      <c r="V45" s="70">
        <v>2</v>
      </c>
      <c r="W45" s="93"/>
      <c r="X45" s="70">
        <v>0</v>
      </c>
      <c r="Y45" s="71"/>
      <c r="Z45" s="4"/>
      <c r="AA45" s="4"/>
      <c r="AB45" s="4"/>
      <c r="AC45" s="4"/>
      <c r="AD45" s="92">
        <v>3</v>
      </c>
      <c r="AE45" s="93"/>
      <c r="AF45" s="70">
        <v>2</v>
      </c>
      <c r="AG45" s="93"/>
      <c r="AH45" s="70">
        <v>0</v>
      </c>
      <c r="AI45" s="71"/>
      <c r="AJ45" s="4"/>
      <c r="AK45" s="4"/>
      <c r="AL45" s="4"/>
      <c r="AM45" s="4"/>
      <c r="AN45" s="92">
        <v>3</v>
      </c>
      <c r="AO45" s="93"/>
      <c r="AP45" s="70">
        <v>2</v>
      </c>
      <c r="AQ45" s="93"/>
      <c r="AR45" s="70">
        <v>0</v>
      </c>
      <c r="AS45" s="71"/>
      <c r="AT45" s="4"/>
      <c r="AU45" s="4"/>
      <c r="AV45" s="4"/>
      <c r="AW45" s="4"/>
      <c r="AX45" s="142">
        <v>3</v>
      </c>
      <c r="AY45" s="143"/>
      <c r="AZ45" s="144">
        <v>3</v>
      </c>
      <c r="BA45" s="143"/>
      <c r="BB45" s="144">
        <v>0</v>
      </c>
      <c r="BC45" s="145"/>
      <c r="BD45" s="4"/>
      <c r="BE45" s="4"/>
      <c r="BF45" s="4"/>
      <c r="BG45" s="4"/>
      <c r="BH45" s="72">
        <v>3</v>
      </c>
      <c r="BI45" s="73"/>
      <c r="BJ45" s="68">
        <v>3</v>
      </c>
      <c r="BK45" s="73"/>
      <c r="BL45" s="68">
        <v>0</v>
      </c>
      <c r="BM45" s="69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135</v>
      </c>
      <c r="K50" s="25"/>
      <c r="L50" s="26"/>
      <c r="M50" s="38" t="s">
        <v>111</v>
      </c>
      <c r="N50" s="39"/>
      <c r="O50" s="40"/>
      <c r="P50" s="4"/>
      <c r="Q50" s="4"/>
      <c r="R50" s="4"/>
      <c r="S50" s="4"/>
      <c r="T50" s="24" t="s">
        <v>144</v>
      </c>
      <c r="U50" s="25"/>
      <c r="V50" s="26"/>
      <c r="W50" s="38" t="s">
        <v>111</v>
      </c>
      <c r="X50" s="39"/>
      <c r="Y50" s="40"/>
      <c r="Z50" s="4"/>
      <c r="AA50" s="4"/>
      <c r="AB50" s="4"/>
      <c r="AC50" s="4"/>
      <c r="AD50" s="24" t="s">
        <v>19</v>
      </c>
      <c r="AE50" s="25"/>
      <c r="AF50" s="26"/>
      <c r="AG50" s="38">
        <v>212</v>
      </c>
      <c r="AH50" s="102"/>
      <c r="AI50" s="103"/>
      <c r="AJ50" s="4"/>
      <c r="AK50" s="4"/>
      <c r="AL50" s="4"/>
      <c r="AM50" s="4"/>
      <c r="AN50" s="24" t="s">
        <v>19</v>
      </c>
      <c r="AO50" s="25"/>
      <c r="AP50" s="26"/>
      <c r="AQ50" s="38">
        <v>352</v>
      </c>
      <c r="AR50" s="102"/>
      <c r="AS50" s="103"/>
      <c r="AT50" s="4"/>
      <c r="AU50" s="4"/>
      <c r="AV50" s="4"/>
      <c r="AW50" s="4"/>
      <c r="AX50" s="24" t="s">
        <v>48</v>
      </c>
      <c r="AY50" s="25"/>
      <c r="AZ50" s="26"/>
      <c r="BA50" s="38">
        <v>121</v>
      </c>
      <c r="BB50" s="39"/>
      <c r="BC50" s="40"/>
      <c r="BD50" s="4"/>
      <c r="BE50" s="4"/>
      <c r="BF50" s="4"/>
      <c r="BG50" s="4"/>
      <c r="BH50" s="24" t="s">
        <v>19</v>
      </c>
      <c r="BI50" s="25"/>
      <c r="BJ50" s="26"/>
      <c r="BK50" s="38">
        <v>322</v>
      </c>
      <c r="BL50" s="102"/>
      <c r="BM50" s="103"/>
      <c r="BN50" s="4"/>
      <c r="BO50" s="4"/>
      <c r="BP50" s="4"/>
      <c r="BQ50" s="4"/>
      <c r="BR50" s="24" t="s">
        <v>19</v>
      </c>
      <c r="BS50" s="25"/>
      <c r="BT50" s="26"/>
      <c r="BU50" s="38">
        <v>292</v>
      </c>
      <c r="BV50" s="39"/>
      <c r="BW50" s="40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SUM(N52,X52,AH52,AR52,BB52,BL52,BV52)</f>
        <v>945</v>
      </c>
      <c r="H51" s="2"/>
      <c r="I51" s="2"/>
      <c r="J51" s="114" t="s">
        <v>134</v>
      </c>
      <c r="K51" s="115"/>
      <c r="L51" s="115"/>
      <c r="M51" s="115"/>
      <c r="N51" s="116"/>
      <c r="O51" s="117"/>
      <c r="P51" s="4"/>
      <c r="Q51" s="4"/>
      <c r="R51" s="4"/>
      <c r="S51" s="4"/>
      <c r="T51" s="114" t="s">
        <v>106</v>
      </c>
      <c r="U51" s="115"/>
      <c r="V51" s="115"/>
      <c r="W51" s="115"/>
      <c r="X51" s="116"/>
      <c r="Y51" s="117"/>
      <c r="Z51" s="4"/>
      <c r="AA51" s="4"/>
      <c r="AB51" s="4"/>
      <c r="AC51" s="4"/>
      <c r="AD51" s="53" t="s">
        <v>86</v>
      </c>
      <c r="AE51" s="54"/>
      <c r="AF51" s="54"/>
      <c r="AG51" s="54"/>
      <c r="AH51" s="55"/>
      <c r="AI51" s="56"/>
      <c r="AJ51" s="4"/>
      <c r="AK51" s="4"/>
      <c r="AL51" s="4"/>
      <c r="AM51" s="4"/>
      <c r="AN51" s="53" t="s">
        <v>91</v>
      </c>
      <c r="AO51" s="54"/>
      <c r="AP51" s="54"/>
      <c r="AQ51" s="54"/>
      <c r="AR51" s="55"/>
      <c r="AS51" s="56"/>
      <c r="AT51" s="4"/>
      <c r="AU51" s="4"/>
      <c r="AV51" s="4"/>
      <c r="AW51" s="4"/>
      <c r="AX51" s="146" t="s">
        <v>49</v>
      </c>
      <c r="AY51" s="147"/>
      <c r="AZ51" s="147"/>
      <c r="BA51" s="147"/>
      <c r="BB51" s="148"/>
      <c r="BC51" s="149"/>
      <c r="BD51" s="4"/>
      <c r="BE51" s="4"/>
      <c r="BF51" s="4"/>
      <c r="BG51" s="4"/>
      <c r="BH51" s="94" t="s">
        <v>73</v>
      </c>
      <c r="BI51" s="95"/>
      <c r="BJ51" s="95"/>
      <c r="BK51" s="95"/>
      <c r="BL51" s="96"/>
      <c r="BM51" s="97"/>
      <c r="BN51" s="4"/>
      <c r="BO51" s="4"/>
      <c r="BP51" s="4"/>
      <c r="BQ51" s="4"/>
      <c r="BR51" s="41" t="s">
        <v>157</v>
      </c>
      <c r="BS51" s="42"/>
      <c r="BT51" s="42"/>
      <c r="BU51" s="42"/>
      <c r="BV51" s="43"/>
      <c r="BW51" s="4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110">
        <v>2</v>
      </c>
      <c r="K52" s="111"/>
      <c r="L52" s="108">
        <v>2</v>
      </c>
      <c r="M52" s="111"/>
      <c r="N52" s="108">
        <v>90</v>
      </c>
      <c r="O52" s="109"/>
      <c r="P52" s="4"/>
      <c r="Q52" s="4"/>
      <c r="R52" s="4"/>
      <c r="S52" s="4"/>
      <c r="T52" s="110">
        <v>2</v>
      </c>
      <c r="U52" s="111"/>
      <c r="V52" s="108">
        <v>2</v>
      </c>
      <c r="W52" s="111"/>
      <c r="X52" s="108">
        <v>90</v>
      </c>
      <c r="Y52" s="109"/>
      <c r="Z52" s="4"/>
      <c r="AA52" s="4"/>
      <c r="AB52" s="4"/>
      <c r="AC52" s="4"/>
      <c r="AD52" s="57">
        <v>3</v>
      </c>
      <c r="AE52" s="58"/>
      <c r="AF52" s="59">
        <v>6</v>
      </c>
      <c r="AG52" s="58"/>
      <c r="AH52" s="59">
        <v>180</v>
      </c>
      <c r="AI52" s="91"/>
      <c r="AJ52" s="4"/>
      <c r="AK52" s="4"/>
      <c r="AL52" s="4"/>
      <c r="AM52" s="4"/>
      <c r="AN52" s="57">
        <v>3</v>
      </c>
      <c r="AO52" s="58"/>
      <c r="AP52" s="59">
        <v>5</v>
      </c>
      <c r="AQ52" s="58"/>
      <c r="AR52" s="59">
        <v>165</v>
      </c>
      <c r="AS52" s="91"/>
      <c r="AT52" s="4"/>
      <c r="AU52" s="4"/>
      <c r="AV52" s="4"/>
      <c r="AW52" s="4"/>
      <c r="AX52" s="138">
        <v>3</v>
      </c>
      <c r="AY52" s="139"/>
      <c r="AZ52" s="140">
        <v>6</v>
      </c>
      <c r="BA52" s="139"/>
      <c r="BB52" s="140">
        <v>180</v>
      </c>
      <c r="BC52" s="141"/>
      <c r="BD52" s="4"/>
      <c r="BE52" s="4"/>
      <c r="BF52" s="4"/>
      <c r="BG52" s="4"/>
      <c r="BH52" s="98">
        <v>3</v>
      </c>
      <c r="BI52" s="99"/>
      <c r="BJ52" s="100">
        <v>6</v>
      </c>
      <c r="BK52" s="99"/>
      <c r="BL52" s="100">
        <v>180</v>
      </c>
      <c r="BM52" s="101"/>
      <c r="BN52" s="4"/>
      <c r="BO52" s="4"/>
      <c r="BP52" s="4"/>
      <c r="BQ52" s="4"/>
      <c r="BR52" s="45">
        <v>2</v>
      </c>
      <c r="BS52" s="46"/>
      <c r="BT52" s="47">
        <v>2</v>
      </c>
      <c r="BU52" s="46"/>
      <c r="BV52" s="47">
        <v>60</v>
      </c>
      <c r="BW52" s="48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J52+T52+AD52+AN52+AX52+BH52+BR52</f>
        <v>18</v>
      </c>
      <c r="F53" s="11">
        <f>L52+V52+AF52+AP52+AZ52+BJ52+BT52</f>
        <v>29</v>
      </c>
      <c r="G53" s="105"/>
      <c r="H53" s="2"/>
      <c r="I53" s="2"/>
      <c r="J53" s="112">
        <v>2</v>
      </c>
      <c r="K53" s="113"/>
      <c r="L53" s="106">
        <v>0</v>
      </c>
      <c r="M53" s="113"/>
      <c r="N53" s="106">
        <v>0</v>
      </c>
      <c r="O53" s="107"/>
      <c r="P53" s="4"/>
      <c r="Q53" s="4"/>
      <c r="R53" s="4"/>
      <c r="S53" s="4"/>
      <c r="T53" s="112">
        <v>2</v>
      </c>
      <c r="U53" s="113"/>
      <c r="V53" s="106">
        <v>0</v>
      </c>
      <c r="W53" s="113"/>
      <c r="X53" s="106">
        <v>0</v>
      </c>
      <c r="Y53" s="107"/>
      <c r="Z53" s="4"/>
      <c r="AA53" s="4"/>
      <c r="AB53" s="4"/>
      <c r="AC53" s="4"/>
      <c r="AD53" s="92">
        <v>3</v>
      </c>
      <c r="AE53" s="93"/>
      <c r="AF53" s="70">
        <v>3</v>
      </c>
      <c r="AG53" s="93"/>
      <c r="AH53" s="70">
        <v>0</v>
      </c>
      <c r="AI53" s="71"/>
      <c r="AJ53" s="4"/>
      <c r="AK53" s="4"/>
      <c r="AL53" s="4"/>
      <c r="AM53" s="4"/>
      <c r="AN53" s="92">
        <v>3</v>
      </c>
      <c r="AO53" s="93"/>
      <c r="AP53" s="70">
        <v>2</v>
      </c>
      <c r="AQ53" s="93"/>
      <c r="AR53" s="70">
        <v>0</v>
      </c>
      <c r="AS53" s="71"/>
      <c r="AT53" s="4"/>
      <c r="AU53" s="4"/>
      <c r="AV53" s="4"/>
      <c r="AW53" s="4"/>
      <c r="AX53" s="142">
        <v>3</v>
      </c>
      <c r="AY53" s="143"/>
      <c r="AZ53" s="144">
        <v>3</v>
      </c>
      <c r="BA53" s="143"/>
      <c r="BB53" s="144">
        <v>0</v>
      </c>
      <c r="BC53" s="145"/>
      <c r="BD53" s="4"/>
      <c r="BE53" s="4"/>
      <c r="BF53" s="4"/>
      <c r="BG53" s="4"/>
      <c r="BH53" s="72">
        <v>3</v>
      </c>
      <c r="BI53" s="73"/>
      <c r="BJ53" s="68">
        <v>3</v>
      </c>
      <c r="BK53" s="73"/>
      <c r="BL53" s="68">
        <v>0</v>
      </c>
      <c r="BM53" s="69"/>
      <c r="BN53" s="4"/>
      <c r="BO53" s="4"/>
      <c r="BP53" s="4"/>
      <c r="BQ53" s="4"/>
      <c r="BR53" s="49">
        <v>2</v>
      </c>
      <c r="BS53" s="50"/>
      <c r="BT53" s="51">
        <v>0</v>
      </c>
      <c r="BU53" s="50"/>
      <c r="BV53" s="51">
        <v>0</v>
      </c>
      <c r="BW53" s="52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1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141</v>
      </c>
      <c r="K60" s="25"/>
      <c r="L60" s="26"/>
      <c r="M60" s="38" t="s">
        <v>111</v>
      </c>
      <c r="N60" s="39"/>
      <c r="O60" s="40"/>
      <c r="P60" s="4"/>
      <c r="Q60" s="4"/>
      <c r="R60" s="4"/>
      <c r="S60" s="4"/>
      <c r="T60" s="24" t="s">
        <v>19</v>
      </c>
      <c r="U60" s="25"/>
      <c r="V60" s="26"/>
      <c r="W60" s="38">
        <v>427</v>
      </c>
      <c r="X60" s="102"/>
      <c r="Y60" s="103"/>
      <c r="Z60" s="4"/>
      <c r="AA60" s="4"/>
      <c r="AB60" s="4"/>
      <c r="AC60" s="4"/>
      <c r="AD60" s="24" t="s">
        <v>48</v>
      </c>
      <c r="AE60" s="25"/>
      <c r="AF60" s="26"/>
      <c r="AG60" s="38">
        <v>323</v>
      </c>
      <c r="AH60" s="102"/>
      <c r="AI60" s="103"/>
      <c r="AJ60" s="4"/>
      <c r="AK60" s="4"/>
      <c r="AL60" s="4"/>
      <c r="AM60" s="4"/>
      <c r="AN60" s="24" t="s">
        <v>136</v>
      </c>
      <c r="AO60" s="25"/>
      <c r="AP60" s="26"/>
      <c r="AQ60" s="38" t="s">
        <v>111</v>
      </c>
      <c r="AR60" s="39"/>
      <c r="AS60" s="40"/>
      <c r="AT60" s="4"/>
      <c r="AU60" s="4"/>
      <c r="AV60" s="4"/>
      <c r="AW60" s="4"/>
      <c r="AX60" s="24" t="s">
        <v>19</v>
      </c>
      <c r="AY60" s="25"/>
      <c r="AZ60" s="26"/>
      <c r="BA60" s="38">
        <v>493</v>
      </c>
      <c r="BB60" s="39"/>
      <c r="BC60" s="40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765</v>
      </c>
      <c r="H61" s="2"/>
      <c r="I61" s="2"/>
      <c r="J61" s="114" t="s">
        <v>142</v>
      </c>
      <c r="K61" s="115"/>
      <c r="L61" s="115"/>
      <c r="M61" s="115"/>
      <c r="N61" s="116"/>
      <c r="O61" s="117"/>
      <c r="P61" s="4"/>
      <c r="Q61" s="4"/>
      <c r="R61" s="4"/>
      <c r="S61" s="4"/>
      <c r="T61" s="94" t="s">
        <v>84</v>
      </c>
      <c r="U61" s="95"/>
      <c r="V61" s="95"/>
      <c r="W61" s="95"/>
      <c r="X61" s="96"/>
      <c r="Y61" s="97"/>
      <c r="Z61" s="4"/>
      <c r="AA61" s="4"/>
      <c r="AB61" s="4"/>
      <c r="AC61" s="4"/>
      <c r="AD61" s="94" t="s">
        <v>57</v>
      </c>
      <c r="AE61" s="95"/>
      <c r="AF61" s="95"/>
      <c r="AG61" s="95"/>
      <c r="AH61" s="96"/>
      <c r="AI61" s="97"/>
      <c r="AJ61" s="4"/>
      <c r="AK61" s="4"/>
      <c r="AL61" s="4"/>
      <c r="AM61" s="4"/>
      <c r="AN61" s="76" t="s">
        <v>138</v>
      </c>
      <c r="AO61" s="77"/>
      <c r="AP61" s="77"/>
      <c r="AQ61" s="77"/>
      <c r="AR61" s="77"/>
      <c r="AS61" s="78"/>
      <c r="AT61" s="4"/>
      <c r="AU61" s="4"/>
      <c r="AV61" s="4"/>
      <c r="AW61" s="4"/>
      <c r="AX61" s="41" t="s">
        <v>63</v>
      </c>
      <c r="AY61" s="42"/>
      <c r="AZ61" s="42"/>
      <c r="BA61" s="42"/>
      <c r="BB61" s="43"/>
      <c r="BC61" s="4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110">
        <v>2</v>
      </c>
      <c r="K62" s="111"/>
      <c r="L62" s="108">
        <v>2</v>
      </c>
      <c r="M62" s="111"/>
      <c r="N62" s="108">
        <v>90</v>
      </c>
      <c r="O62" s="109"/>
      <c r="P62" s="4"/>
      <c r="Q62" s="4"/>
      <c r="R62" s="4"/>
      <c r="S62" s="4"/>
      <c r="T62" s="98">
        <v>3</v>
      </c>
      <c r="U62" s="99"/>
      <c r="V62" s="100">
        <v>6</v>
      </c>
      <c r="W62" s="99"/>
      <c r="X62" s="100">
        <v>180</v>
      </c>
      <c r="Y62" s="101"/>
      <c r="Z62" s="4"/>
      <c r="AA62" s="4"/>
      <c r="AB62" s="4"/>
      <c r="AC62" s="4"/>
      <c r="AD62" s="98">
        <v>3</v>
      </c>
      <c r="AE62" s="99"/>
      <c r="AF62" s="100">
        <v>6</v>
      </c>
      <c r="AG62" s="99"/>
      <c r="AH62" s="100">
        <v>180</v>
      </c>
      <c r="AI62" s="101"/>
      <c r="AJ62" s="4"/>
      <c r="AK62" s="4"/>
      <c r="AL62" s="4"/>
      <c r="AM62" s="4"/>
      <c r="AN62" s="79">
        <v>3</v>
      </c>
      <c r="AO62" s="80"/>
      <c r="AP62" s="81">
        <v>7</v>
      </c>
      <c r="AQ62" s="80"/>
      <c r="AR62" s="81">
        <v>195</v>
      </c>
      <c r="AS62" s="82"/>
      <c r="AT62" s="4"/>
      <c r="AU62" s="4"/>
      <c r="AV62" s="4"/>
      <c r="AW62" s="4"/>
      <c r="AX62" s="45">
        <v>3</v>
      </c>
      <c r="AY62" s="46"/>
      <c r="AZ62" s="47">
        <v>2</v>
      </c>
      <c r="BA62" s="46"/>
      <c r="BB62" s="47">
        <v>120</v>
      </c>
      <c r="BC62" s="48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14</v>
      </c>
      <c r="F63" s="11">
        <f>SUM(J63:BM63)</f>
        <v>23</v>
      </c>
      <c r="G63" s="105"/>
      <c r="H63" s="2"/>
      <c r="I63" s="2"/>
      <c r="J63" s="112">
        <v>2</v>
      </c>
      <c r="K63" s="113"/>
      <c r="L63" s="106">
        <v>0</v>
      </c>
      <c r="M63" s="113"/>
      <c r="N63" s="106">
        <v>0</v>
      </c>
      <c r="O63" s="107"/>
      <c r="P63" s="4"/>
      <c r="Q63" s="4"/>
      <c r="R63" s="4"/>
      <c r="S63" s="4"/>
      <c r="T63" s="72">
        <v>3</v>
      </c>
      <c r="U63" s="73"/>
      <c r="V63" s="68">
        <v>3</v>
      </c>
      <c r="W63" s="73"/>
      <c r="X63" s="68">
        <v>0</v>
      </c>
      <c r="Y63" s="69"/>
      <c r="Z63" s="4"/>
      <c r="AA63" s="4"/>
      <c r="AB63" s="4"/>
      <c r="AC63" s="4"/>
      <c r="AD63" s="72">
        <v>3</v>
      </c>
      <c r="AE63" s="73"/>
      <c r="AF63" s="68">
        <v>3</v>
      </c>
      <c r="AG63" s="73"/>
      <c r="AH63" s="68">
        <v>0</v>
      </c>
      <c r="AI63" s="69"/>
      <c r="AJ63" s="4"/>
      <c r="AK63" s="4"/>
      <c r="AL63" s="4"/>
      <c r="AM63" s="4"/>
      <c r="AN63" s="83">
        <v>3</v>
      </c>
      <c r="AO63" s="84"/>
      <c r="AP63" s="85">
        <v>2</v>
      </c>
      <c r="AQ63" s="84"/>
      <c r="AR63" s="85">
        <v>2</v>
      </c>
      <c r="AS63" s="86"/>
      <c r="AT63" s="4"/>
      <c r="AU63" s="4"/>
      <c r="AV63" s="4"/>
      <c r="AW63" s="4"/>
      <c r="AX63" s="49">
        <v>2</v>
      </c>
      <c r="AY63" s="50"/>
      <c r="AZ63" s="51">
        <v>0</v>
      </c>
      <c r="BA63" s="50"/>
      <c r="BB63" s="51">
        <v>0</v>
      </c>
      <c r="BC63" s="52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48</v>
      </c>
      <c r="K68" s="25"/>
      <c r="L68" s="26"/>
      <c r="M68" s="38">
        <v>342</v>
      </c>
      <c r="N68" s="39"/>
      <c r="O68" s="40"/>
      <c r="P68" s="4"/>
      <c r="Q68" s="4"/>
      <c r="R68" s="4"/>
      <c r="S68" s="4"/>
      <c r="T68" s="24" t="s">
        <v>19</v>
      </c>
      <c r="U68" s="25"/>
      <c r="V68" s="26"/>
      <c r="W68" s="38">
        <v>363</v>
      </c>
      <c r="X68" s="102"/>
      <c r="Y68" s="103"/>
      <c r="Z68" s="4"/>
      <c r="AA68" s="4"/>
      <c r="AB68" s="4"/>
      <c r="AC68" s="4"/>
      <c r="AD68" s="24" t="s">
        <v>136</v>
      </c>
      <c r="AE68" s="25"/>
      <c r="AF68" s="26"/>
      <c r="AG68" s="38" t="s">
        <v>112</v>
      </c>
      <c r="AH68" s="39"/>
      <c r="AI68" s="40"/>
      <c r="AJ68" s="4"/>
      <c r="AK68" s="4"/>
      <c r="AL68" s="4"/>
      <c r="AM68" s="4"/>
      <c r="AN68" s="24" t="s">
        <v>136</v>
      </c>
      <c r="AO68" s="25"/>
      <c r="AP68" s="26"/>
      <c r="AQ68" s="38" t="s">
        <v>112</v>
      </c>
      <c r="AR68" s="39"/>
      <c r="AS68" s="40"/>
      <c r="AT68" s="4"/>
      <c r="AU68" s="4"/>
      <c r="AV68" s="4"/>
      <c r="AW68" s="4"/>
      <c r="AX68" s="24" t="s">
        <v>19</v>
      </c>
      <c r="AY68" s="25"/>
      <c r="AZ68" s="26"/>
      <c r="BA68" s="38">
        <v>494</v>
      </c>
      <c r="BB68" s="39"/>
      <c r="BC68" s="40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870</v>
      </c>
      <c r="H69" s="2"/>
      <c r="I69" s="2"/>
      <c r="J69" s="94" t="s">
        <v>94</v>
      </c>
      <c r="K69" s="95"/>
      <c r="L69" s="95"/>
      <c r="M69" s="95"/>
      <c r="N69" s="96"/>
      <c r="O69" s="97"/>
      <c r="P69" s="4"/>
      <c r="Q69" s="4"/>
      <c r="R69" s="4"/>
      <c r="S69" s="4"/>
      <c r="T69" s="94" t="s">
        <v>72</v>
      </c>
      <c r="U69" s="95"/>
      <c r="V69" s="95"/>
      <c r="W69" s="95"/>
      <c r="X69" s="96"/>
      <c r="Y69" s="97"/>
      <c r="Z69" s="4"/>
      <c r="AA69" s="4"/>
      <c r="AB69" s="4"/>
      <c r="AC69" s="4"/>
      <c r="AD69" s="76" t="s">
        <v>139</v>
      </c>
      <c r="AE69" s="77"/>
      <c r="AF69" s="77"/>
      <c r="AG69" s="77"/>
      <c r="AH69" s="77"/>
      <c r="AI69" s="78"/>
      <c r="AJ69" s="4"/>
      <c r="AK69" s="4"/>
      <c r="AL69" s="4"/>
      <c r="AM69" s="4"/>
      <c r="AN69" s="76" t="s">
        <v>140</v>
      </c>
      <c r="AO69" s="77"/>
      <c r="AP69" s="77"/>
      <c r="AQ69" s="77"/>
      <c r="AR69" s="77"/>
      <c r="AS69" s="78"/>
      <c r="AT69" s="4"/>
      <c r="AU69" s="4"/>
      <c r="AV69" s="4"/>
      <c r="AW69" s="4"/>
      <c r="AX69" s="41" t="s">
        <v>64</v>
      </c>
      <c r="AY69" s="42"/>
      <c r="AZ69" s="42"/>
      <c r="BA69" s="42"/>
      <c r="BB69" s="43"/>
      <c r="BC69" s="4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98">
        <v>3</v>
      </c>
      <c r="K70" s="99"/>
      <c r="L70" s="100">
        <v>6</v>
      </c>
      <c r="M70" s="99"/>
      <c r="N70" s="100">
        <v>180</v>
      </c>
      <c r="O70" s="101"/>
      <c r="P70" s="4"/>
      <c r="Q70" s="4"/>
      <c r="R70" s="4"/>
      <c r="S70" s="4"/>
      <c r="T70" s="98">
        <v>3</v>
      </c>
      <c r="U70" s="99"/>
      <c r="V70" s="100">
        <v>6</v>
      </c>
      <c r="W70" s="99"/>
      <c r="X70" s="100">
        <v>180</v>
      </c>
      <c r="Y70" s="101"/>
      <c r="Z70" s="4"/>
      <c r="AA70" s="4"/>
      <c r="AB70" s="4"/>
      <c r="AC70" s="4"/>
      <c r="AD70" s="79">
        <v>3</v>
      </c>
      <c r="AE70" s="80"/>
      <c r="AF70" s="81">
        <v>7</v>
      </c>
      <c r="AG70" s="80"/>
      <c r="AH70" s="81">
        <v>195</v>
      </c>
      <c r="AI70" s="82"/>
      <c r="AJ70" s="4"/>
      <c r="AK70" s="4"/>
      <c r="AL70" s="4"/>
      <c r="AM70" s="4"/>
      <c r="AN70" s="79">
        <v>3</v>
      </c>
      <c r="AO70" s="80"/>
      <c r="AP70" s="81">
        <v>7</v>
      </c>
      <c r="AQ70" s="80"/>
      <c r="AR70" s="81">
        <v>195</v>
      </c>
      <c r="AS70" s="82"/>
      <c r="AT70" s="4"/>
      <c r="AU70" s="4"/>
      <c r="AV70" s="4"/>
      <c r="AW70" s="4"/>
      <c r="AX70" s="45">
        <v>3</v>
      </c>
      <c r="AY70" s="46"/>
      <c r="AZ70" s="47">
        <v>2</v>
      </c>
      <c r="BA70" s="46"/>
      <c r="BB70" s="47">
        <v>120</v>
      </c>
      <c r="BC70" s="48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SUM(J70,T70,AD70,AN70,AX70)</f>
        <v>15</v>
      </c>
      <c r="F71" s="11">
        <f>L70+V70+AF70+AP70+AZ70</f>
        <v>28</v>
      </c>
      <c r="G71" s="105"/>
      <c r="H71" s="2"/>
      <c r="I71" s="2"/>
      <c r="J71" s="72">
        <v>3</v>
      </c>
      <c r="K71" s="73"/>
      <c r="L71" s="68">
        <v>3</v>
      </c>
      <c r="M71" s="73"/>
      <c r="N71" s="68">
        <v>0</v>
      </c>
      <c r="O71" s="69"/>
      <c r="P71" s="4"/>
      <c r="Q71" s="4"/>
      <c r="R71" s="4"/>
      <c r="S71" s="4"/>
      <c r="T71" s="72">
        <v>3</v>
      </c>
      <c r="U71" s="73"/>
      <c r="V71" s="68">
        <v>3</v>
      </c>
      <c r="W71" s="73"/>
      <c r="X71" s="68">
        <v>0</v>
      </c>
      <c r="Y71" s="69"/>
      <c r="Z71" s="4"/>
      <c r="AA71" s="4"/>
      <c r="AB71" s="4"/>
      <c r="AC71" s="4"/>
      <c r="AD71" s="83">
        <v>3</v>
      </c>
      <c r="AE71" s="84"/>
      <c r="AF71" s="85">
        <v>2</v>
      </c>
      <c r="AG71" s="84"/>
      <c r="AH71" s="85">
        <v>2</v>
      </c>
      <c r="AI71" s="86"/>
      <c r="AJ71" s="4"/>
      <c r="AK71" s="4"/>
      <c r="AL71" s="4"/>
      <c r="AM71" s="4"/>
      <c r="AN71" s="83">
        <v>3</v>
      </c>
      <c r="AO71" s="84"/>
      <c r="AP71" s="85">
        <v>2</v>
      </c>
      <c r="AQ71" s="84"/>
      <c r="AR71" s="85">
        <v>2</v>
      </c>
      <c r="AS71" s="86"/>
      <c r="AT71" s="4"/>
      <c r="AU71" s="4"/>
      <c r="AV71" s="4"/>
      <c r="AW71" s="4"/>
      <c r="AX71" s="49">
        <v>2</v>
      </c>
      <c r="AY71" s="50"/>
      <c r="AZ71" s="51">
        <v>0</v>
      </c>
      <c r="BA71" s="50"/>
      <c r="BB71" s="51">
        <v>0</v>
      </c>
      <c r="BC71" s="52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thickBot="1" x14ac:dyDescent="0.35"/>
    <row r="77" spans="2:135" ht="10.050000000000001" customHeight="1" thickTop="1" thickBot="1" x14ac:dyDescent="0.35">
      <c r="BI77" s="63" t="s">
        <v>15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6"/>
    </row>
    <row r="78" spans="2:135" ht="15" customHeight="1" x14ac:dyDescent="0.3">
      <c r="BI78" s="64"/>
      <c r="BJ78" s="137" t="s">
        <v>65</v>
      </c>
      <c r="BK78" s="17"/>
      <c r="BL78" s="16"/>
      <c r="BR78" s="123" t="s">
        <v>7</v>
      </c>
      <c r="BS78" s="124"/>
      <c r="BT78" s="124"/>
      <c r="BU78" s="124"/>
      <c r="BV78" s="125"/>
      <c r="BW78" s="126"/>
      <c r="CA78" s="8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I79" s="64"/>
      <c r="BJ79" s="137"/>
      <c r="BK79" s="17"/>
      <c r="BL79" s="16"/>
      <c r="BR79" s="127" t="s">
        <v>8</v>
      </c>
      <c r="BS79" s="128"/>
      <c r="BT79" s="128"/>
      <c r="BU79" s="128"/>
      <c r="BV79" s="129"/>
      <c r="BW79" s="130"/>
      <c r="CA79" s="8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I80" s="64"/>
      <c r="BJ80" s="137"/>
      <c r="BK80" s="17"/>
      <c r="BL80" s="16"/>
      <c r="BR80" s="66" t="s">
        <v>9</v>
      </c>
      <c r="BS80" s="67"/>
      <c r="BT80" s="131" t="s">
        <v>18</v>
      </c>
      <c r="BU80" s="67"/>
      <c r="BV80" s="131" t="s">
        <v>10</v>
      </c>
      <c r="BW80" s="132"/>
      <c r="CA80" s="8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61:135" ht="15" thickBot="1" x14ac:dyDescent="0.35">
      <c r="BI81" s="64"/>
      <c r="BJ81" s="137"/>
      <c r="BK81" s="17"/>
      <c r="BL81" s="16"/>
      <c r="BR81" s="133" t="s">
        <v>11</v>
      </c>
      <c r="BS81" s="134"/>
      <c r="BT81" s="135" t="s">
        <v>12</v>
      </c>
      <c r="BU81" s="134"/>
      <c r="BV81" s="135" t="s">
        <v>13</v>
      </c>
      <c r="BW81" s="136"/>
      <c r="CA81" s="8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61:135" ht="10.050000000000001" customHeight="1" x14ac:dyDescent="0.3">
      <c r="BI82" s="64"/>
      <c r="BL82" s="16"/>
      <c r="CA82" s="8"/>
    </row>
    <row r="83" spans="61:135" ht="10.050000000000001" customHeight="1" x14ac:dyDescent="0.3">
      <c r="BI83" s="64"/>
      <c r="BL83" s="16"/>
      <c r="CA83" s="8"/>
    </row>
    <row r="84" spans="61:135" ht="10.050000000000001" customHeight="1" x14ac:dyDescent="0.3">
      <c r="BI84" s="64"/>
      <c r="BJ84" s="90"/>
      <c r="BL84" s="15"/>
      <c r="BN84" s="18"/>
      <c r="BO84" s="18"/>
      <c r="BP84" s="18"/>
      <c r="BS84" s="60"/>
      <c r="BU84" s="75" t="s">
        <v>30</v>
      </c>
      <c r="BW84" s="61"/>
      <c r="CA84" s="8"/>
    </row>
    <row r="85" spans="61:135" ht="10.050000000000001" customHeight="1" thickBot="1" x14ac:dyDescent="0.35">
      <c r="BI85" s="64"/>
      <c r="BJ85" s="90"/>
      <c r="BL85" s="74" t="s">
        <v>22</v>
      </c>
      <c r="BN85" s="18"/>
      <c r="BO85" s="18"/>
      <c r="BP85" s="18"/>
      <c r="BS85" s="60"/>
      <c r="BU85" s="75"/>
      <c r="BW85" s="61"/>
      <c r="CA85" s="8"/>
    </row>
    <row r="86" spans="61:135" ht="15" customHeight="1" x14ac:dyDescent="0.3">
      <c r="BI86" s="64"/>
      <c r="BJ86" s="90" t="s">
        <v>31</v>
      </c>
      <c r="BK86" s="7"/>
      <c r="BL86" s="74"/>
      <c r="BM86" s="7"/>
      <c r="BN86" s="62" t="s">
        <v>14</v>
      </c>
      <c r="BO86" s="62"/>
      <c r="BP86" s="62"/>
      <c r="BQ86" s="62"/>
      <c r="BR86" s="7"/>
      <c r="BS86" s="60" t="s">
        <v>46</v>
      </c>
      <c r="BT86" s="7"/>
      <c r="BU86" s="75"/>
      <c r="BV86" s="7"/>
      <c r="BW86" s="61" t="s">
        <v>62</v>
      </c>
      <c r="CA86" s="8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61:135" ht="48.75" customHeight="1" x14ac:dyDescent="0.3">
      <c r="BI87" s="64"/>
      <c r="BJ87" s="90"/>
      <c r="BK87" s="7"/>
      <c r="BL87" s="74"/>
      <c r="BM87" s="7"/>
      <c r="BN87" s="62"/>
      <c r="BO87" s="62"/>
      <c r="BP87" s="62"/>
      <c r="BQ87" s="62"/>
      <c r="BR87" s="7"/>
      <c r="BS87" s="60"/>
      <c r="BT87" s="7"/>
      <c r="BU87" s="75"/>
      <c r="BV87" s="7"/>
      <c r="BW87" s="61"/>
      <c r="CA87" s="8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61:135" x14ac:dyDescent="0.3">
      <c r="BI88" s="64"/>
      <c r="BJ88" s="90"/>
      <c r="BK88" s="7"/>
      <c r="BL88" s="74"/>
      <c r="BM88" s="7"/>
      <c r="BN88" s="62"/>
      <c r="BO88" s="62"/>
      <c r="BP88" s="62"/>
      <c r="BQ88" s="62"/>
      <c r="BR88" s="7"/>
      <c r="BS88" s="60"/>
      <c r="BT88" s="7"/>
      <c r="BU88" s="75"/>
      <c r="BV88" s="7"/>
      <c r="BW88" s="61"/>
      <c r="CA88" s="8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61:135" ht="15" thickBot="1" x14ac:dyDescent="0.35">
      <c r="BI89" s="64"/>
      <c r="BJ89" s="90"/>
      <c r="BK89" s="7"/>
      <c r="BL89" s="74"/>
      <c r="BM89" s="7"/>
      <c r="BN89" s="62"/>
      <c r="BO89" s="62"/>
      <c r="BP89" s="62"/>
      <c r="BQ89" s="62"/>
      <c r="BR89" s="7"/>
      <c r="BS89" s="60"/>
      <c r="BT89" s="7"/>
      <c r="BU89" s="75"/>
      <c r="BV89" s="7"/>
      <c r="BW89" s="61"/>
      <c r="CA89" s="8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61:135" ht="10.050000000000001" customHeight="1" thickBot="1" x14ac:dyDescent="0.35">
      <c r="BI90" s="65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10"/>
    </row>
    <row r="91" spans="61:135" ht="10.050000000000001" customHeight="1" thickTop="1" x14ac:dyDescent="0.3"/>
    <row r="92" spans="61:135" ht="10.050000000000001" customHeight="1" x14ac:dyDescent="0.3"/>
    <row r="93" spans="61:135" ht="10.050000000000001" customHeight="1" x14ac:dyDescent="0.3"/>
    <row r="100" ht="48.75" customHeight="1" x14ac:dyDescent="0.3"/>
  </sheetData>
  <mergeCells count="638"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N8:O8"/>
    <mergeCell ref="AN8:AO8"/>
    <mergeCell ref="AP8:AQ8"/>
    <mergeCell ref="AR8:AS8"/>
    <mergeCell ref="AX8:AY8"/>
    <mergeCell ref="AZ8:BA8"/>
    <mergeCell ref="BB8:BC8"/>
    <mergeCell ref="T8:U8"/>
    <mergeCell ref="V8:W8"/>
    <mergeCell ref="X8:Y8"/>
    <mergeCell ref="AD8:AE8"/>
    <mergeCell ref="AF8:AG8"/>
    <mergeCell ref="AH8:AI8"/>
    <mergeCell ref="AN9:AO9"/>
    <mergeCell ref="ED8:EE8"/>
    <mergeCell ref="DP6:DU6"/>
    <mergeCell ref="DZ6:EE6"/>
    <mergeCell ref="E7:E8"/>
    <mergeCell ref="F7:F8"/>
    <mergeCell ref="J7:O7"/>
    <mergeCell ref="T7:Y7"/>
    <mergeCell ref="AD7:AI7"/>
    <mergeCell ref="AN7:AS7"/>
    <mergeCell ref="AX7:BC7"/>
    <mergeCell ref="AQ6:AS6"/>
    <mergeCell ref="AX6:AZ6"/>
    <mergeCell ref="BA6:BC6"/>
    <mergeCell ref="DP7:DU7"/>
    <mergeCell ref="DZ7:EE7"/>
    <mergeCell ref="G8:G9"/>
    <mergeCell ref="H8:I8"/>
    <mergeCell ref="J8:K8"/>
    <mergeCell ref="L8:M8"/>
    <mergeCell ref="N9:O9"/>
    <mergeCell ref="T9:U9"/>
    <mergeCell ref="V9:W9"/>
    <mergeCell ref="X9:Y9"/>
    <mergeCell ref="DP8:DQ8"/>
    <mergeCell ref="DR8:DS8"/>
    <mergeCell ref="DT8:DU8"/>
    <mergeCell ref="DZ8:EA8"/>
    <mergeCell ref="EB8:EC8"/>
    <mergeCell ref="DZ9:EA9"/>
    <mergeCell ref="EB9:EC9"/>
    <mergeCell ref="ED9:EE9"/>
    <mergeCell ref="D14:D17"/>
    <mergeCell ref="J14:L14"/>
    <mergeCell ref="M14:O14"/>
    <mergeCell ref="T14:V14"/>
    <mergeCell ref="W14:Y14"/>
    <mergeCell ref="AD14:AF14"/>
    <mergeCell ref="AG14:AI14"/>
    <mergeCell ref="DP9:DQ9"/>
    <mergeCell ref="DR9:DS9"/>
    <mergeCell ref="DT9:DU9"/>
    <mergeCell ref="AX9:AY9"/>
    <mergeCell ref="AZ9:BA9"/>
    <mergeCell ref="BB9:BC9"/>
    <mergeCell ref="AD9:AE9"/>
    <mergeCell ref="AF9:AG9"/>
    <mergeCell ref="AH9:AI9"/>
    <mergeCell ref="AP9:AQ9"/>
    <mergeCell ref="AR9:AS9"/>
    <mergeCell ref="J9:K9"/>
    <mergeCell ref="L9:M9"/>
    <mergeCell ref="E15:E16"/>
    <mergeCell ref="F15:F16"/>
    <mergeCell ref="J15:O15"/>
    <mergeCell ref="T15:Y15"/>
    <mergeCell ref="AD15:AI15"/>
    <mergeCell ref="AN15:AS15"/>
    <mergeCell ref="AN14:AP14"/>
    <mergeCell ref="AQ14:AS14"/>
    <mergeCell ref="AX14:AZ14"/>
    <mergeCell ref="DP15:DU15"/>
    <mergeCell ref="DZ15:EE15"/>
    <mergeCell ref="G16:G17"/>
    <mergeCell ref="H16:I16"/>
    <mergeCell ref="J16:K16"/>
    <mergeCell ref="L16:M16"/>
    <mergeCell ref="DP14:DU14"/>
    <mergeCell ref="DZ14:EE14"/>
    <mergeCell ref="BA14:BC14"/>
    <mergeCell ref="N16:O16"/>
    <mergeCell ref="T16:U16"/>
    <mergeCell ref="V16:W16"/>
    <mergeCell ref="X16:Y16"/>
    <mergeCell ref="AD16:AE16"/>
    <mergeCell ref="AF16:AG16"/>
    <mergeCell ref="AX15:BC15"/>
    <mergeCell ref="ED16:EE16"/>
    <mergeCell ref="J17:K17"/>
    <mergeCell ref="L17:M17"/>
    <mergeCell ref="N17:O17"/>
    <mergeCell ref="T17:U17"/>
    <mergeCell ref="V17:W17"/>
    <mergeCell ref="X17:Y17"/>
    <mergeCell ref="AF17:AG17"/>
    <mergeCell ref="AH17:AI17"/>
    <mergeCell ref="DP16:DQ16"/>
    <mergeCell ref="DR16:DS16"/>
    <mergeCell ref="DT16:DU16"/>
    <mergeCell ref="DZ16:EA16"/>
    <mergeCell ref="EB16:EC16"/>
    <mergeCell ref="BB16:BC16"/>
    <mergeCell ref="AH16:AI16"/>
    <mergeCell ref="AN16:AO16"/>
    <mergeCell ref="AP16:AQ16"/>
    <mergeCell ref="AR16:AS16"/>
    <mergeCell ref="AX16:AY16"/>
    <mergeCell ref="AZ16:BA16"/>
    <mergeCell ref="DP17:DQ17"/>
    <mergeCell ref="DR17:DS17"/>
    <mergeCell ref="DT17:DU17"/>
    <mergeCell ref="DZ17:EA17"/>
    <mergeCell ref="EB17:EC17"/>
    <mergeCell ref="B23:B36"/>
    <mergeCell ref="D24:D27"/>
    <mergeCell ref="J24:L24"/>
    <mergeCell ref="M24:O24"/>
    <mergeCell ref="T24:V24"/>
    <mergeCell ref="W24:Y24"/>
    <mergeCell ref="E25:E26"/>
    <mergeCell ref="F25:F26"/>
    <mergeCell ref="J25:O25"/>
    <mergeCell ref="T25:Y25"/>
    <mergeCell ref="G26:G27"/>
    <mergeCell ref="H26:I26"/>
    <mergeCell ref="J26:K26"/>
    <mergeCell ref="L26:M26"/>
    <mergeCell ref="N26:O26"/>
    <mergeCell ref="T26:U26"/>
    <mergeCell ref="J27:K27"/>
    <mergeCell ref="L27:M27"/>
    <mergeCell ref="N27:O27"/>
    <mergeCell ref="T27:U27"/>
    <mergeCell ref="V27:W27"/>
    <mergeCell ref="X27:Y27"/>
    <mergeCell ref="V26:W26"/>
    <mergeCell ref="D32:D35"/>
    <mergeCell ref="ED17:EE17"/>
    <mergeCell ref="AN17:AO17"/>
    <mergeCell ref="AP17:AQ17"/>
    <mergeCell ref="AR17:AS17"/>
    <mergeCell ref="AX17:AY17"/>
    <mergeCell ref="AZ17:BA17"/>
    <mergeCell ref="BB17:BC17"/>
    <mergeCell ref="DZ25:EE25"/>
    <mergeCell ref="AD25:AI25"/>
    <mergeCell ref="AN25:AS25"/>
    <mergeCell ref="AX25:BC25"/>
    <mergeCell ref="BH25:BM25"/>
    <mergeCell ref="DP25:DU25"/>
    <mergeCell ref="DZ24:EE24"/>
    <mergeCell ref="AD24:AF24"/>
    <mergeCell ref="AG24:AI24"/>
    <mergeCell ref="AN24:AP24"/>
    <mergeCell ref="AQ24:AS24"/>
    <mergeCell ref="AX24:AZ24"/>
    <mergeCell ref="BA24:BC24"/>
    <mergeCell ref="BH24:BJ24"/>
    <mergeCell ref="BK24:BM24"/>
    <mergeCell ref="DP24:DU24"/>
    <mergeCell ref="AD17:AE17"/>
    <mergeCell ref="BH27:BI27"/>
    <mergeCell ref="BJ27:BK27"/>
    <mergeCell ref="BL27:BM27"/>
    <mergeCell ref="DP26:DQ26"/>
    <mergeCell ref="DR26:DS26"/>
    <mergeCell ref="AX26:AY26"/>
    <mergeCell ref="AZ26:BA26"/>
    <mergeCell ref="BB26:BC26"/>
    <mergeCell ref="BH26:BI26"/>
    <mergeCell ref="BJ26:BK26"/>
    <mergeCell ref="BL26:BM26"/>
    <mergeCell ref="AX27:AY27"/>
    <mergeCell ref="DP27:DQ27"/>
    <mergeCell ref="AZ27:BA27"/>
    <mergeCell ref="BB27:BC27"/>
    <mergeCell ref="DZ26:EA26"/>
    <mergeCell ref="EB26:EC26"/>
    <mergeCell ref="ED26:EE26"/>
    <mergeCell ref="DT26:DU26"/>
    <mergeCell ref="EB27:EC27"/>
    <mergeCell ref="ED27:EE27"/>
    <mergeCell ref="DT27:DU27"/>
    <mergeCell ref="DZ27:EA27"/>
    <mergeCell ref="DR27:DS27"/>
    <mergeCell ref="AD26:AE26"/>
    <mergeCell ref="AF26:AG26"/>
    <mergeCell ref="AH26:AI26"/>
    <mergeCell ref="AN26:AO26"/>
    <mergeCell ref="X26:Y26"/>
    <mergeCell ref="AP26:AQ26"/>
    <mergeCell ref="AR26:AS26"/>
    <mergeCell ref="AR27:AS27"/>
    <mergeCell ref="AD27:AE27"/>
    <mergeCell ref="AF27:AG27"/>
    <mergeCell ref="AH27:AI27"/>
    <mergeCell ref="AN27:AO27"/>
    <mergeCell ref="AP27:AQ27"/>
    <mergeCell ref="BK32:BM32"/>
    <mergeCell ref="BH33:BM33"/>
    <mergeCell ref="DP33:DU33"/>
    <mergeCell ref="AD34:AE34"/>
    <mergeCell ref="AF34:AG34"/>
    <mergeCell ref="AH34:AI34"/>
    <mergeCell ref="DP34:DQ34"/>
    <mergeCell ref="DR34:DS34"/>
    <mergeCell ref="DT34:DU34"/>
    <mergeCell ref="AD32:AF32"/>
    <mergeCell ref="AG32:AI32"/>
    <mergeCell ref="AN32:AP32"/>
    <mergeCell ref="AD33:AI33"/>
    <mergeCell ref="AN33:AS33"/>
    <mergeCell ref="E33:E34"/>
    <mergeCell ref="F33:F34"/>
    <mergeCell ref="J33:O33"/>
    <mergeCell ref="T33:Y33"/>
    <mergeCell ref="AX33:BC33"/>
    <mergeCell ref="AQ32:AS32"/>
    <mergeCell ref="AX32:AZ32"/>
    <mergeCell ref="BA32:BC32"/>
    <mergeCell ref="BH32:BJ32"/>
    <mergeCell ref="J32:L32"/>
    <mergeCell ref="M32:O32"/>
    <mergeCell ref="T32:V32"/>
    <mergeCell ref="W32:Y32"/>
    <mergeCell ref="DZ33:EE33"/>
    <mergeCell ref="DZ32:EE32"/>
    <mergeCell ref="G34:G35"/>
    <mergeCell ref="H34:I34"/>
    <mergeCell ref="J34:K34"/>
    <mergeCell ref="AN34:AO34"/>
    <mergeCell ref="AP34:AQ34"/>
    <mergeCell ref="AR34:AS34"/>
    <mergeCell ref="AX34:AY34"/>
    <mergeCell ref="AZ34:BA34"/>
    <mergeCell ref="AD35:AE35"/>
    <mergeCell ref="AF35:AG35"/>
    <mergeCell ref="AH35:AI35"/>
    <mergeCell ref="AN35:AO35"/>
    <mergeCell ref="AP35:AQ35"/>
    <mergeCell ref="AR35:AS35"/>
    <mergeCell ref="J35:K35"/>
    <mergeCell ref="L34:M34"/>
    <mergeCell ref="N34:O34"/>
    <mergeCell ref="BB34:BC34"/>
    <mergeCell ref="T34:U34"/>
    <mergeCell ref="V34:W34"/>
    <mergeCell ref="X34:Y34"/>
    <mergeCell ref="DP32:DU32"/>
    <mergeCell ref="DZ34:EA34"/>
    <mergeCell ref="EB34:EC34"/>
    <mergeCell ref="ED34:EE34"/>
    <mergeCell ref="BH34:BI34"/>
    <mergeCell ref="BJ34:BK34"/>
    <mergeCell ref="BL34:BM34"/>
    <mergeCell ref="ED35:EE35"/>
    <mergeCell ref="B41:B54"/>
    <mergeCell ref="D42:D45"/>
    <mergeCell ref="J42:L42"/>
    <mergeCell ref="M42:O42"/>
    <mergeCell ref="T42:V42"/>
    <mergeCell ref="W42:Y42"/>
    <mergeCell ref="AD42:AF42"/>
    <mergeCell ref="DP35:DQ35"/>
    <mergeCell ref="DR35:DS35"/>
    <mergeCell ref="DT35:DU35"/>
    <mergeCell ref="AX35:AY35"/>
    <mergeCell ref="AZ35:BA35"/>
    <mergeCell ref="BB35:BC35"/>
    <mergeCell ref="BH35:BI35"/>
    <mergeCell ref="BJ35:BK35"/>
    <mergeCell ref="BL35:BM35"/>
    <mergeCell ref="N44:O44"/>
    <mergeCell ref="L45:M45"/>
    <mergeCell ref="N45:O45"/>
    <mergeCell ref="AN44:AO44"/>
    <mergeCell ref="AP44:AQ44"/>
    <mergeCell ref="AR44:AS44"/>
    <mergeCell ref="DZ35:EA35"/>
    <mergeCell ref="EB35:EC35"/>
    <mergeCell ref="L35:M35"/>
    <mergeCell ref="N35:O35"/>
    <mergeCell ref="T35:U35"/>
    <mergeCell ref="V35:W35"/>
    <mergeCell ref="X35:Y35"/>
    <mergeCell ref="BH43:BM43"/>
    <mergeCell ref="DP43:DU43"/>
    <mergeCell ref="DZ43:EE43"/>
    <mergeCell ref="BK42:BM42"/>
    <mergeCell ref="DP42:DU42"/>
    <mergeCell ref="DZ42:EE42"/>
    <mergeCell ref="BH42:BJ42"/>
    <mergeCell ref="AF44:AG44"/>
    <mergeCell ref="AH44:AI44"/>
    <mergeCell ref="DP44:DQ44"/>
    <mergeCell ref="DR44:DS44"/>
    <mergeCell ref="DT44:DU44"/>
    <mergeCell ref="E43:E44"/>
    <mergeCell ref="F43:F44"/>
    <mergeCell ref="J43:O43"/>
    <mergeCell ref="T43:Y43"/>
    <mergeCell ref="AD43:AI43"/>
    <mergeCell ref="AG42:AI42"/>
    <mergeCell ref="AN42:AP42"/>
    <mergeCell ref="AQ42:AS42"/>
    <mergeCell ref="AX42:AZ42"/>
    <mergeCell ref="AN43:AS43"/>
    <mergeCell ref="AX43:BC43"/>
    <mergeCell ref="BA42:BC42"/>
    <mergeCell ref="G44:G45"/>
    <mergeCell ref="H44:I44"/>
    <mergeCell ref="J44:K44"/>
    <mergeCell ref="L44:M44"/>
    <mergeCell ref="AX44:AY44"/>
    <mergeCell ref="AZ44:BA44"/>
    <mergeCell ref="BB44:BC44"/>
    <mergeCell ref="T44:U44"/>
    <mergeCell ref="V44:W44"/>
    <mergeCell ref="X44:Y44"/>
    <mergeCell ref="AD44:AE44"/>
    <mergeCell ref="J45:K45"/>
    <mergeCell ref="DZ44:EA44"/>
    <mergeCell ref="EB44:EC44"/>
    <mergeCell ref="ED44:EE44"/>
    <mergeCell ref="BH44:BI44"/>
    <mergeCell ref="BJ44:BK44"/>
    <mergeCell ref="BL44:BM44"/>
    <mergeCell ref="AN45:AO45"/>
    <mergeCell ref="AP45:AQ45"/>
    <mergeCell ref="AR45:AS45"/>
    <mergeCell ref="AX45:AY45"/>
    <mergeCell ref="AZ45:BA45"/>
    <mergeCell ref="BB45:BC45"/>
    <mergeCell ref="DZ45:EA45"/>
    <mergeCell ref="EB45:EC45"/>
    <mergeCell ref="ED45:EE45"/>
    <mergeCell ref="T45:U45"/>
    <mergeCell ref="V45:W45"/>
    <mergeCell ref="X45:Y45"/>
    <mergeCell ref="AD45:AE45"/>
    <mergeCell ref="AF45:AG45"/>
    <mergeCell ref="AH45:AI45"/>
    <mergeCell ref="DP45:DQ45"/>
    <mergeCell ref="DR45:DS45"/>
    <mergeCell ref="DT45:DU45"/>
    <mergeCell ref="BH45:BI45"/>
    <mergeCell ref="BJ45:BK45"/>
    <mergeCell ref="BL45:BM45"/>
    <mergeCell ref="D50:D53"/>
    <mergeCell ref="J50:L50"/>
    <mergeCell ref="M50:O50"/>
    <mergeCell ref="T50:V50"/>
    <mergeCell ref="W50:Y50"/>
    <mergeCell ref="AD50:AF50"/>
    <mergeCell ref="E51:E52"/>
    <mergeCell ref="F51:F52"/>
    <mergeCell ref="J51:O51"/>
    <mergeCell ref="T51:Y51"/>
    <mergeCell ref="T52:U52"/>
    <mergeCell ref="V52:W52"/>
    <mergeCell ref="X52:Y52"/>
    <mergeCell ref="AD52:AE52"/>
    <mergeCell ref="AF52:AG52"/>
    <mergeCell ref="G52:G53"/>
    <mergeCell ref="H52:I52"/>
    <mergeCell ref="J52:K52"/>
    <mergeCell ref="L52:M52"/>
    <mergeCell ref="J53:K53"/>
    <mergeCell ref="L53:M53"/>
    <mergeCell ref="N53:O53"/>
    <mergeCell ref="T53:U53"/>
    <mergeCell ref="V53:W53"/>
    <mergeCell ref="DZ50:EE50"/>
    <mergeCell ref="DZ51:EE51"/>
    <mergeCell ref="DP52:DQ52"/>
    <mergeCell ref="DR52:DS52"/>
    <mergeCell ref="DT52:DU52"/>
    <mergeCell ref="AG50:AI50"/>
    <mergeCell ref="AN50:AP50"/>
    <mergeCell ref="AQ50:AS50"/>
    <mergeCell ref="AX50:AZ50"/>
    <mergeCell ref="BA50:BC50"/>
    <mergeCell ref="BH50:BJ50"/>
    <mergeCell ref="AD51:AI51"/>
    <mergeCell ref="AN51:AS51"/>
    <mergeCell ref="AX51:BC51"/>
    <mergeCell ref="BH51:BM51"/>
    <mergeCell ref="DP51:DU51"/>
    <mergeCell ref="DZ52:EA52"/>
    <mergeCell ref="EB52:EC52"/>
    <mergeCell ref="ED52:EE52"/>
    <mergeCell ref="BK50:BM50"/>
    <mergeCell ref="DP50:DU50"/>
    <mergeCell ref="AZ52:BA52"/>
    <mergeCell ref="BB52:BC52"/>
    <mergeCell ref="BL52:BM52"/>
    <mergeCell ref="X53:Y53"/>
    <mergeCell ref="AD53:AE53"/>
    <mergeCell ref="BH52:BI52"/>
    <mergeCell ref="BJ52:BK52"/>
    <mergeCell ref="N52:O52"/>
    <mergeCell ref="AN53:AO53"/>
    <mergeCell ref="AP53:AQ53"/>
    <mergeCell ref="AR53:AS53"/>
    <mergeCell ref="AX53:AY53"/>
    <mergeCell ref="AN52:AO52"/>
    <mergeCell ref="AP52:AQ52"/>
    <mergeCell ref="AR52:AS52"/>
    <mergeCell ref="AX52:AY52"/>
    <mergeCell ref="ED62:EE62"/>
    <mergeCell ref="EB53:EC53"/>
    <mergeCell ref="ED53:EE53"/>
    <mergeCell ref="AH52:AI52"/>
    <mergeCell ref="AF53:AG53"/>
    <mergeCell ref="AH53:AI53"/>
    <mergeCell ref="DP53:DQ53"/>
    <mergeCell ref="DR53:DS53"/>
    <mergeCell ref="DT53:DU53"/>
    <mergeCell ref="DZ53:EA53"/>
    <mergeCell ref="AZ53:BA53"/>
    <mergeCell ref="BB53:BC53"/>
    <mergeCell ref="BH53:BI53"/>
    <mergeCell ref="BJ53:BK53"/>
    <mergeCell ref="BL53:BM53"/>
    <mergeCell ref="AH63:AI63"/>
    <mergeCell ref="DZ60:EE60"/>
    <mergeCell ref="E61:E62"/>
    <mergeCell ref="F61:F62"/>
    <mergeCell ref="J61:O61"/>
    <mergeCell ref="T61:Y61"/>
    <mergeCell ref="AD61:AI61"/>
    <mergeCell ref="AN61:AS61"/>
    <mergeCell ref="AX61:BC61"/>
    <mergeCell ref="AN60:AP60"/>
    <mergeCell ref="AQ60:AS60"/>
    <mergeCell ref="AX60:AZ60"/>
    <mergeCell ref="BA60:BC60"/>
    <mergeCell ref="AF62:AG62"/>
    <mergeCell ref="AH62:AI62"/>
    <mergeCell ref="AN62:AO62"/>
    <mergeCell ref="AP62:AQ62"/>
    <mergeCell ref="DP61:DU61"/>
    <mergeCell ref="DZ61:EE61"/>
    <mergeCell ref="G62:G63"/>
    <mergeCell ref="J60:L60"/>
    <mergeCell ref="M60:O60"/>
    <mergeCell ref="J62:K62"/>
    <mergeCell ref="L62:M62"/>
    <mergeCell ref="DZ63:EA63"/>
    <mergeCell ref="EB63:EC63"/>
    <mergeCell ref="ED63:EE63"/>
    <mergeCell ref="D60:D63"/>
    <mergeCell ref="W60:Y60"/>
    <mergeCell ref="AD60:AF60"/>
    <mergeCell ref="AG60:AI60"/>
    <mergeCell ref="DP62:DQ62"/>
    <mergeCell ref="DR62:DS62"/>
    <mergeCell ref="DT62:DU62"/>
    <mergeCell ref="DZ62:EA62"/>
    <mergeCell ref="EB62:EC62"/>
    <mergeCell ref="AR62:AS62"/>
    <mergeCell ref="AX62:AY62"/>
    <mergeCell ref="AZ62:BA62"/>
    <mergeCell ref="BB62:BC62"/>
    <mergeCell ref="J63:K63"/>
    <mergeCell ref="L63:M63"/>
    <mergeCell ref="N63:O63"/>
    <mergeCell ref="T63:U63"/>
    <mergeCell ref="V63:W63"/>
    <mergeCell ref="X63:Y63"/>
    <mergeCell ref="AD63:AE63"/>
    <mergeCell ref="AF63:AG63"/>
    <mergeCell ref="D68:D71"/>
    <mergeCell ref="J68:L68"/>
    <mergeCell ref="M68:O68"/>
    <mergeCell ref="T68:V68"/>
    <mergeCell ref="W68:Y68"/>
    <mergeCell ref="AD68:AF68"/>
    <mergeCell ref="AG68:AI68"/>
    <mergeCell ref="T60:V60"/>
    <mergeCell ref="H62:I62"/>
    <mergeCell ref="N62:O62"/>
    <mergeCell ref="T62:U62"/>
    <mergeCell ref="V62:W62"/>
    <mergeCell ref="L70:M70"/>
    <mergeCell ref="N70:O70"/>
    <mergeCell ref="T70:U70"/>
    <mergeCell ref="V70:W70"/>
    <mergeCell ref="H70:I70"/>
    <mergeCell ref="J70:K70"/>
    <mergeCell ref="X70:Y70"/>
    <mergeCell ref="AD70:AE70"/>
    <mergeCell ref="AF70:AG70"/>
    <mergeCell ref="AH70:AI70"/>
    <mergeCell ref="X62:Y62"/>
    <mergeCell ref="AD62:AE62"/>
    <mergeCell ref="DT63:DU63"/>
    <mergeCell ref="AN63:AO63"/>
    <mergeCell ref="AP63:AQ63"/>
    <mergeCell ref="AR63:AS63"/>
    <mergeCell ref="AX63:AY63"/>
    <mergeCell ref="AZ63:BA63"/>
    <mergeCell ref="BB63:BC63"/>
    <mergeCell ref="DP68:DU68"/>
    <mergeCell ref="DP63:DQ63"/>
    <mergeCell ref="DR63:DS63"/>
    <mergeCell ref="DZ68:EE68"/>
    <mergeCell ref="E69:E70"/>
    <mergeCell ref="F69:F70"/>
    <mergeCell ref="J69:O69"/>
    <mergeCell ref="T69:Y69"/>
    <mergeCell ref="AD69:AI69"/>
    <mergeCell ref="AN69:AS69"/>
    <mergeCell ref="AX69:BC69"/>
    <mergeCell ref="AN68:AP68"/>
    <mergeCell ref="AQ68:AS68"/>
    <mergeCell ref="AX68:AZ68"/>
    <mergeCell ref="BA68:BC68"/>
    <mergeCell ref="AR70:AS70"/>
    <mergeCell ref="AX70:AY70"/>
    <mergeCell ref="AZ70:BA70"/>
    <mergeCell ref="DP69:DU69"/>
    <mergeCell ref="DZ69:EE69"/>
    <mergeCell ref="G70:G71"/>
    <mergeCell ref="AR71:AS71"/>
    <mergeCell ref="AX71:AY71"/>
    <mergeCell ref="AZ71:BA71"/>
    <mergeCell ref="AN70:AO70"/>
    <mergeCell ref="AP70:AQ70"/>
    <mergeCell ref="B59:B72"/>
    <mergeCell ref="BT80:BU80"/>
    <mergeCell ref="BR81:BS81"/>
    <mergeCell ref="DZ78:EE78"/>
    <mergeCell ref="BR79:BW79"/>
    <mergeCell ref="DP79:DU79"/>
    <mergeCell ref="BJ78:BJ81"/>
    <mergeCell ref="BR78:BW78"/>
    <mergeCell ref="ED71:EE71"/>
    <mergeCell ref="ED70:EE70"/>
    <mergeCell ref="J71:K71"/>
    <mergeCell ref="L71:M71"/>
    <mergeCell ref="N71:O71"/>
    <mergeCell ref="T71:U71"/>
    <mergeCell ref="V71:W71"/>
    <mergeCell ref="X71:Y71"/>
    <mergeCell ref="BB70:BC70"/>
    <mergeCell ref="AD71:AE71"/>
    <mergeCell ref="AF71:AG71"/>
    <mergeCell ref="AH71:AI71"/>
    <mergeCell ref="AN71:AO71"/>
    <mergeCell ref="AP71:AQ71"/>
    <mergeCell ref="BB71:BC71"/>
    <mergeCell ref="DP70:DQ70"/>
    <mergeCell ref="BI77:BI90"/>
    <mergeCell ref="BT81:BU81"/>
    <mergeCell ref="BV81:BW81"/>
    <mergeCell ref="DT70:DU70"/>
    <mergeCell ref="DZ70:EA70"/>
    <mergeCell ref="EB70:EC70"/>
    <mergeCell ref="DP71:DQ71"/>
    <mergeCell ref="DR71:DS71"/>
    <mergeCell ref="DT71:DU71"/>
    <mergeCell ref="DZ71:EA71"/>
    <mergeCell ref="EB71:EC71"/>
    <mergeCell ref="DR70:DS70"/>
    <mergeCell ref="DP86:DU86"/>
    <mergeCell ref="DP78:DU78"/>
    <mergeCell ref="BR80:BS80"/>
    <mergeCell ref="DZ79:EE79"/>
    <mergeCell ref="DP81:DQ81"/>
    <mergeCell ref="DR81:DS81"/>
    <mergeCell ref="DT81:DU81"/>
    <mergeCell ref="EB80:EC80"/>
    <mergeCell ref="ED80:EE80"/>
    <mergeCell ref="BV80:BW80"/>
    <mergeCell ref="DP80:DQ80"/>
    <mergeCell ref="DR80:DS80"/>
    <mergeCell ref="ED81:EE81"/>
    <mergeCell ref="DP87:DU87"/>
    <mergeCell ref="BJ84:BJ85"/>
    <mergeCell ref="BS84:BS85"/>
    <mergeCell ref="BW84:BW85"/>
    <mergeCell ref="DZ87:EE87"/>
    <mergeCell ref="BJ86:BJ89"/>
    <mergeCell ref="ED88:EE88"/>
    <mergeCell ref="DZ86:EE86"/>
    <mergeCell ref="DP88:DQ88"/>
    <mergeCell ref="DR88:DS88"/>
    <mergeCell ref="ED89:EE89"/>
    <mergeCell ref="DT88:DU88"/>
    <mergeCell ref="DZ88:EA88"/>
    <mergeCell ref="EB88:EC88"/>
    <mergeCell ref="DZ89:EA89"/>
    <mergeCell ref="EB89:EC89"/>
    <mergeCell ref="DP89:DQ89"/>
    <mergeCell ref="DR89:DS89"/>
    <mergeCell ref="DT89:DU89"/>
    <mergeCell ref="BU84:BU89"/>
    <mergeCell ref="BL85:BL89"/>
    <mergeCell ref="BN86:BQ89"/>
    <mergeCell ref="BS86:BS89"/>
    <mergeCell ref="BW86:BW89"/>
    <mergeCell ref="DT80:DU80"/>
    <mergeCell ref="DZ80:EA80"/>
    <mergeCell ref="DZ81:EA81"/>
    <mergeCell ref="EB81:EC81"/>
    <mergeCell ref="BR24:BT24"/>
    <mergeCell ref="BU24:BW24"/>
    <mergeCell ref="BR25:BW25"/>
    <mergeCell ref="BR26:BS26"/>
    <mergeCell ref="BT26:BU26"/>
    <mergeCell ref="BV26:BW26"/>
    <mergeCell ref="BR27:BS27"/>
    <mergeCell ref="BT27:BU27"/>
    <mergeCell ref="BV27:BW27"/>
    <mergeCell ref="BR50:BT50"/>
    <mergeCell ref="BU50:BW50"/>
    <mergeCell ref="BR51:BW51"/>
    <mergeCell ref="BR52:BS52"/>
    <mergeCell ref="BT52:BU52"/>
    <mergeCell ref="BV52:BW52"/>
    <mergeCell ref="BR53:BS53"/>
    <mergeCell ref="BT53:BU53"/>
    <mergeCell ref="BV53:BW53"/>
    <mergeCell ref="DP60:DU60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B2:EE100"/>
  <sheetViews>
    <sheetView zoomScale="80" zoomScaleNormal="80" workbookViewId="0">
      <selection activeCell="AN69" sqref="AN69:AS69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239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5" spans="2:135" ht="10.050000000000001" customHeight="1" thickBot="1" x14ac:dyDescent="0.35">
      <c r="B5" s="118" t="s">
        <v>4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19</v>
      </c>
      <c r="K6" s="25"/>
      <c r="L6" s="26"/>
      <c r="M6" s="27" t="s">
        <v>33</v>
      </c>
      <c r="N6" s="28"/>
      <c r="O6" s="29"/>
      <c r="P6" s="4"/>
      <c r="Q6" s="4"/>
      <c r="R6" s="4"/>
      <c r="S6" s="4"/>
      <c r="T6" s="24" t="s">
        <v>90</v>
      </c>
      <c r="U6" s="25"/>
      <c r="V6" s="26"/>
      <c r="W6" s="27" t="s">
        <v>164</v>
      </c>
      <c r="X6" s="28"/>
      <c r="Y6" s="29"/>
      <c r="Z6" s="4"/>
      <c r="AA6" s="4"/>
      <c r="AB6" s="4"/>
      <c r="AC6" s="4"/>
      <c r="AD6" s="24" t="s">
        <v>181</v>
      </c>
      <c r="AE6" s="25"/>
      <c r="AF6" s="26"/>
      <c r="AG6" s="38">
        <v>111</v>
      </c>
      <c r="AH6" s="39"/>
      <c r="AI6" s="40"/>
      <c r="AJ6" s="4"/>
      <c r="AK6" s="4"/>
      <c r="AL6" s="4"/>
      <c r="AM6" s="4"/>
      <c r="AN6" s="24" t="s">
        <v>119</v>
      </c>
      <c r="AO6" s="25"/>
      <c r="AP6" s="26"/>
      <c r="AQ6" s="38" t="s">
        <v>109</v>
      </c>
      <c r="AR6" s="39"/>
      <c r="AS6" s="40"/>
      <c r="AT6" s="4"/>
      <c r="AU6" s="4"/>
      <c r="AV6" s="4"/>
      <c r="AW6" s="4"/>
      <c r="AX6" s="24" t="s">
        <v>122</v>
      </c>
      <c r="AY6" s="25"/>
      <c r="AZ6" s="26"/>
      <c r="BA6" s="38" t="s">
        <v>109</v>
      </c>
      <c r="BB6" s="39"/>
      <c r="BC6" s="40"/>
      <c r="BD6" s="4"/>
      <c r="BE6" s="4"/>
      <c r="BF6" s="4"/>
      <c r="BG6" s="4"/>
      <c r="BH6" s="24" t="s">
        <v>121</v>
      </c>
      <c r="BI6" s="25"/>
      <c r="BJ6" s="26"/>
      <c r="BK6" s="38" t="s">
        <v>109</v>
      </c>
      <c r="BL6" s="39"/>
      <c r="BM6" s="40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SUM(N8,X8,AH8,AR8,BB8,BL8)</f>
        <v>750</v>
      </c>
      <c r="H7" s="2"/>
      <c r="I7" s="2"/>
      <c r="J7" s="53" t="s">
        <v>32</v>
      </c>
      <c r="K7" s="54"/>
      <c r="L7" s="54"/>
      <c r="M7" s="54"/>
      <c r="N7" s="55"/>
      <c r="O7" s="56"/>
      <c r="P7" s="4"/>
      <c r="Q7" s="4"/>
      <c r="R7" s="4"/>
      <c r="S7" s="4"/>
      <c r="T7" s="30" t="s">
        <v>165</v>
      </c>
      <c r="U7" s="31"/>
      <c r="V7" s="31"/>
      <c r="W7" s="31"/>
      <c r="X7" s="32"/>
      <c r="Y7" s="33"/>
      <c r="Z7" s="4"/>
      <c r="AA7" s="4"/>
      <c r="AB7" s="4"/>
      <c r="AC7" s="4"/>
      <c r="AD7" s="30" t="s">
        <v>180</v>
      </c>
      <c r="AE7" s="31"/>
      <c r="AF7" s="31"/>
      <c r="AG7" s="31"/>
      <c r="AH7" s="32"/>
      <c r="AI7" s="33"/>
      <c r="AJ7" s="4"/>
      <c r="AK7" s="4"/>
      <c r="AL7" s="4"/>
      <c r="AM7" s="4"/>
      <c r="AN7" s="114" t="s">
        <v>120</v>
      </c>
      <c r="AO7" s="115"/>
      <c r="AP7" s="115"/>
      <c r="AQ7" s="115"/>
      <c r="AR7" s="116"/>
      <c r="AS7" s="117"/>
      <c r="AT7" s="4"/>
      <c r="AU7" s="4"/>
      <c r="AV7" s="4"/>
      <c r="AW7" s="4"/>
      <c r="AX7" s="114" t="s">
        <v>123</v>
      </c>
      <c r="AY7" s="115"/>
      <c r="AZ7" s="115"/>
      <c r="BA7" s="115"/>
      <c r="BB7" s="116"/>
      <c r="BC7" s="117"/>
      <c r="BD7" s="4"/>
      <c r="BE7" s="4"/>
      <c r="BF7" s="4"/>
      <c r="BG7" s="4"/>
      <c r="BH7" s="114" t="s">
        <v>21</v>
      </c>
      <c r="BI7" s="115"/>
      <c r="BJ7" s="115"/>
      <c r="BK7" s="115"/>
      <c r="BL7" s="116"/>
      <c r="BM7" s="117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57">
        <v>3</v>
      </c>
      <c r="K8" s="58"/>
      <c r="L8" s="59">
        <v>5</v>
      </c>
      <c r="M8" s="58"/>
      <c r="N8" s="59">
        <v>180</v>
      </c>
      <c r="O8" s="91"/>
      <c r="P8" s="4"/>
      <c r="Q8" s="4"/>
      <c r="R8" s="4"/>
      <c r="S8" s="4"/>
      <c r="T8" s="34">
        <v>3</v>
      </c>
      <c r="U8" s="35"/>
      <c r="V8" s="36">
        <v>4</v>
      </c>
      <c r="W8" s="35"/>
      <c r="X8" s="36">
        <v>150</v>
      </c>
      <c r="Y8" s="37"/>
      <c r="Z8" s="4"/>
      <c r="AA8" s="4"/>
      <c r="AB8" s="4"/>
      <c r="AC8" s="4"/>
      <c r="AD8" s="34">
        <v>3</v>
      </c>
      <c r="AE8" s="35"/>
      <c r="AF8" s="36">
        <v>4</v>
      </c>
      <c r="AG8" s="35"/>
      <c r="AH8" s="36">
        <v>150</v>
      </c>
      <c r="AI8" s="37"/>
      <c r="AJ8" s="4"/>
      <c r="AK8" s="4"/>
      <c r="AL8" s="4"/>
      <c r="AM8" s="4"/>
      <c r="AN8" s="110">
        <v>2</v>
      </c>
      <c r="AO8" s="111"/>
      <c r="AP8" s="108">
        <v>2</v>
      </c>
      <c r="AQ8" s="111"/>
      <c r="AR8" s="108">
        <v>90</v>
      </c>
      <c r="AS8" s="109"/>
      <c r="AT8" s="4"/>
      <c r="AU8" s="4"/>
      <c r="AV8" s="4"/>
      <c r="AW8" s="4"/>
      <c r="AX8" s="110">
        <v>2</v>
      </c>
      <c r="AY8" s="111"/>
      <c r="AZ8" s="108">
        <v>2</v>
      </c>
      <c r="BA8" s="111"/>
      <c r="BB8" s="108">
        <v>90</v>
      </c>
      <c r="BC8" s="109"/>
      <c r="BD8" s="4"/>
      <c r="BE8" s="4"/>
      <c r="BF8" s="4"/>
      <c r="BG8" s="4"/>
      <c r="BH8" s="110">
        <v>2</v>
      </c>
      <c r="BI8" s="111"/>
      <c r="BJ8" s="108">
        <v>2</v>
      </c>
      <c r="BK8" s="111"/>
      <c r="BL8" s="108">
        <v>90</v>
      </c>
      <c r="BM8" s="109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SUM(J8,T8,AD8,AN8,AX8,BH8)</f>
        <v>15</v>
      </c>
      <c r="F9" s="11">
        <f>SUM(L8,V8,AF8,AP8,AZ8,BJ8)</f>
        <v>19</v>
      </c>
      <c r="G9" s="105"/>
      <c r="H9" s="2"/>
      <c r="I9" s="2"/>
      <c r="J9" s="92">
        <v>2</v>
      </c>
      <c r="K9" s="93"/>
      <c r="L9" s="70">
        <v>0</v>
      </c>
      <c r="M9" s="93"/>
      <c r="N9" s="70">
        <v>3</v>
      </c>
      <c r="O9" s="71"/>
      <c r="P9" s="4"/>
      <c r="Q9" s="4"/>
      <c r="R9" s="4"/>
      <c r="S9" s="4"/>
      <c r="T9" s="20">
        <v>2</v>
      </c>
      <c r="U9" s="21"/>
      <c r="V9" s="22">
        <v>0</v>
      </c>
      <c r="W9" s="21"/>
      <c r="X9" s="22">
        <v>2</v>
      </c>
      <c r="Y9" s="23"/>
      <c r="Z9" s="4"/>
      <c r="AA9" s="4"/>
      <c r="AB9" s="4"/>
      <c r="AC9" s="4"/>
      <c r="AD9" s="20">
        <v>3</v>
      </c>
      <c r="AE9" s="21"/>
      <c r="AF9" s="22">
        <v>1</v>
      </c>
      <c r="AG9" s="21"/>
      <c r="AH9" s="22">
        <v>0</v>
      </c>
      <c r="AI9" s="23"/>
      <c r="AJ9" s="4"/>
      <c r="AK9" s="4"/>
      <c r="AL9" s="4"/>
      <c r="AM9" s="4"/>
      <c r="AN9" s="112">
        <v>2</v>
      </c>
      <c r="AO9" s="113"/>
      <c r="AP9" s="106">
        <v>0</v>
      </c>
      <c r="AQ9" s="113"/>
      <c r="AR9" s="106">
        <v>0</v>
      </c>
      <c r="AS9" s="107"/>
      <c r="AT9" s="4"/>
      <c r="AU9" s="4"/>
      <c r="AV9" s="4"/>
      <c r="AW9" s="4"/>
      <c r="AX9" s="112">
        <v>2</v>
      </c>
      <c r="AY9" s="113"/>
      <c r="AZ9" s="106">
        <v>0</v>
      </c>
      <c r="BA9" s="113"/>
      <c r="BB9" s="106">
        <v>0</v>
      </c>
      <c r="BC9" s="107"/>
      <c r="BD9" s="4"/>
      <c r="BE9" s="4"/>
      <c r="BF9" s="4"/>
      <c r="BG9" s="4"/>
      <c r="BH9" s="112">
        <v>2</v>
      </c>
      <c r="BI9" s="113"/>
      <c r="BJ9" s="106">
        <v>0</v>
      </c>
      <c r="BK9" s="113"/>
      <c r="BL9" s="106">
        <v>0</v>
      </c>
      <c r="BM9" s="107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19</v>
      </c>
      <c r="K14" s="25"/>
      <c r="L14" s="26"/>
      <c r="M14" s="27" t="s">
        <v>35</v>
      </c>
      <c r="N14" s="28"/>
      <c r="O14" s="29"/>
      <c r="P14" s="4"/>
      <c r="Q14" s="4"/>
      <c r="R14" s="4"/>
      <c r="S14" s="4"/>
      <c r="T14" s="24" t="s">
        <v>114</v>
      </c>
      <c r="U14" s="25"/>
      <c r="V14" s="26"/>
      <c r="W14" s="38">
        <v>131</v>
      </c>
      <c r="X14" s="39"/>
      <c r="Y14" s="40"/>
      <c r="Z14" s="4"/>
      <c r="AA14" s="4"/>
      <c r="AB14" s="4"/>
      <c r="AC14" s="4"/>
      <c r="AD14" s="24" t="s">
        <v>19</v>
      </c>
      <c r="AE14" s="25"/>
      <c r="AF14" s="26"/>
      <c r="AG14" s="38">
        <v>315</v>
      </c>
      <c r="AH14" s="39"/>
      <c r="AI14" s="40"/>
      <c r="AJ14" s="4"/>
      <c r="AK14" s="4"/>
      <c r="AL14" s="4"/>
      <c r="AM14" s="4"/>
      <c r="AN14" s="24" t="s">
        <v>114</v>
      </c>
      <c r="AO14" s="25"/>
      <c r="AP14" s="26"/>
      <c r="AQ14" s="38">
        <v>112</v>
      </c>
      <c r="AR14" s="39"/>
      <c r="AS14" s="40"/>
      <c r="AT14" s="4"/>
      <c r="AU14" s="4"/>
      <c r="AV14" s="4"/>
      <c r="AW14" s="4"/>
      <c r="AX14" s="24" t="s">
        <v>127</v>
      </c>
      <c r="AY14" s="25"/>
      <c r="AZ14" s="26"/>
      <c r="BA14" s="38" t="s">
        <v>110</v>
      </c>
      <c r="BB14" s="39"/>
      <c r="BC14" s="40"/>
      <c r="BD14" s="4"/>
      <c r="BE14" s="4"/>
      <c r="BF14" s="4"/>
      <c r="BG14" s="4"/>
      <c r="BH14" s="24" t="s">
        <v>131</v>
      </c>
      <c r="BI14" s="25"/>
      <c r="BJ14" s="26"/>
      <c r="BK14" s="38" t="s">
        <v>110</v>
      </c>
      <c r="BL14" s="39"/>
      <c r="BM14" s="40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855</v>
      </c>
      <c r="H15" s="2"/>
      <c r="I15" s="2"/>
      <c r="J15" s="53" t="s">
        <v>34</v>
      </c>
      <c r="K15" s="54"/>
      <c r="L15" s="54"/>
      <c r="M15" s="54"/>
      <c r="N15" s="55"/>
      <c r="O15" s="56"/>
      <c r="P15" s="4"/>
      <c r="Q15" s="4"/>
      <c r="R15" s="4"/>
      <c r="S15" s="4"/>
      <c r="T15" s="30" t="s">
        <v>189</v>
      </c>
      <c r="U15" s="31"/>
      <c r="V15" s="31"/>
      <c r="W15" s="31"/>
      <c r="X15" s="32"/>
      <c r="Y15" s="33"/>
      <c r="Z15" s="4"/>
      <c r="AA15" s="4"/>
      <c r="AB15" s="4"/>
      <c r="AC15" s="4"/>
      <c r="AD15" s="164" t="s">
        <v>26</v>
      </c>
      <c r="AE15" s="165"/>
      <c r="AF15" s="165"/>
      <c r="AG15" s="165"/>
      <c r="AH15" s="165"/>
      <c r="AI15" s="166"/>
      <c r="AJ15" s="4"/>
      <c r="AK15" s="4"/>
      <c r="AL15" s="4"/>
      <c r="AM15" s="4"/>
      <c r="AN15" s="30" t="s">
        <v>126</v>
      </c>
      <c r="AO15" s="31"/>
      <c r="AP15" s="31"/>
      <c r="AQ15" s="31"/>
      <c r="AR15" s="32"/>
      <c r="AS15" s="33"/>
      <c r="AT15" s="4"/>
      <c r="AU15" s="4"/>
      <c r="AV15" s="4"/>
      <c r="AW15" s="4"/>
      <c r="AX15" s="114" t="s">
        <v>128</v>
      </c>
      <c r="AY15" s="115"/>
      <c r="AZ15" s="115"/>
      <c r="BA15" s="115"/>
      <c r="BB15" s="116"/>
      <c r="BC15" s="117"/>
      <c r="BD15" s="4"/>
      <c r="BE15" s="4"/>
      <c r="BF15" s="4"/>
      <c r="BG15" s="4"/>
      <c r="BH15" s="114" t="s">
        <v>20</v>
      </c>
      <c r="BI15" s="115"/>
      <c r="BJ15" s="115"/>
      <c r="BK15" s="115"/>
      <c r="BL15" s="116"/>
      <c r="BM15" s="117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57">
        <v>3</v>
      </c>
      <c r="K16" s="58"/>
      <c r="L16" s="59">
        <v>5</v>
      </c>
      <c r="M16" s="58"/>
      <c r="N16" s="59">
        <v>180</v>
      </c>
      <c r="O16" s="91"/>
      <c r="P16" s="4"/>
      <c r="Q16" s="4"/>
      <c r="R16" s="4"/>
      <c r="S16" s="4"/>
      <c r="T16" s="34">
        <v>3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3</v>
      </c>
      <c r="AE16" s="35"/>
      <c r="AF16" s="36">
        <v>4</v>
      </c>
      <c r="AG16" s="35"/>
      <c r="AH16" s="36">
        <v>150</v>
      </c>
      <c r="AI16" s="37"/>
      <c r="AJ16" s="4"/>
      <c r="AK16" s="4"/>
      <c r="AL16" s="4"/>
      <c r="AM16" s="4"/>
      <c r="AN16" s="34">
        <v>3</v>
      </c>
      <c r="AO16" s="35"/>
      <c r="AP16" s="36">
        <v>4</v>
      </c>
      <c r="AQ16" s="35"/>
      <c r="AR16" s="36">
        <v>150</v>
      </c>
      <c r="AS16" s="37"/>
      <c r="AT16" s="4"/>
      <c r="AU16" s="4"/>
      <c r="AV16" s="4"/>
      <c r="AW16" s="4"/>
      <c r="AX16" s="110">
        <v>2</v>
      </c>
      <c r="AY16" s="111"/>
      <c r="AZ16" s="108">
        <v>2</v>
      </c>
      <c r="BA16" s="111"/>
      <c r="BB16" s="108">
        <v>90</v>
      </c>
      <c r="BC16" s="109"/>
      <c r="BD16" s="4"/>
      <c r="BE16" s="4"/>
      <c r="BF16" s="4"/>
      <c r="BG16" s="4"/>
      <c r="BH16" s="110">
        <v>2</v>
      </c>
      <c r="BI16" s="111"/>
      <c r="BJ16" s="108">
        <v>2</v>
      </c>
      <c r="BK16" s="111"/>
      <c r="BL16" s="108">
        <v>90</v>
      </c>
      <c r="BM16" s="109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SUM(J16,T16,AD16,AN16,AX16,BH16)</f>
        <v>16</v>
      </c>
      <c r="F17" s="11">
        <f>SUM(L16,V16,AF16,AP16,AZ16,BJ16)</f>
        <v>22</v>
      </c>
      <c r="G17" s="105"/>
      <c r="H17" s="2"/>
      <c r="I17" s="2"/>
      <c r="J17" s="92">
        <v>2</v>
      </c>
      <c r="K17" s="93"/>
      <c r="L17" s="70">
        <v>0</v>
      </c>
      <c r="M17" s="93"/>
      <c r="N17" s="70">
        <v>3</v>
      </c>
      <c r="O17" s="71"/>
      <c r="P17" s="4"/>
      <c r="Q17" s="4"/>
      <c r="R17" s="4"/>
      <c r="S17" s="4"/>
      <c r="T17" s="20">
        <v>2</v>
      </c>
      <c r="U17" s="21"/>
      <c r="V17" s="22">
        <v>2</v>
      </c>
      <c r="W17" s="21"/>
      <c r="X17" s="22">
        <v>1</v>
      </c>
      <c r="Y17" s="23"/>
      <c r="Z17" s="4"/>
      <c r="AA17" s="4"/>
      <c r="AB17" s="4"/>
      <c r="AC17" s="4"/>
      <c r="AD17" s="20">
        <v>2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20">
        <v>3</v>
      </c>
      <c r="AO17" s="21"/>
      <c r="AP17" s="22">
        <v>1</v>
      </c>
      <c r="AQ17" s="21"/>
      <c r="AR17" s="22">
        <v>0</v>
      </c>
      <c r="AS17" s="23"/>
      <c r="AT17" s="4"/>
      <c r="AU17" s="4"/>
      <c r="AV17" s="4"/>
      <c r="AW17" s="4"/>
      <c r="AX17" s="112">
        <v>2</v>
      </c>
      <c r="AY17" s="113"/>
      <c r="AZ17" s="106">
        <v>0</v>
      </c>
      <c r="BA17" s="113"/>
      <c r="BB17" s="106">
        <v>0</v>
      </c>
      <c r="BC17" s="107"/>
      <c r="BD17" s="4"/>
      <c r="BE17" s="4"/>
      <c r="BF17" s="4"/>
      <c r="BG17" s="4"/>
      <c r="BH17" s="112">
        <v>2</v>
      </c>
      <c r="BI17" s="113"/>
      <c r="BJ17" s="106">
        <v>0</v>
      </c>
      <c r="BK17" s="113"/>
      <c r="BL17" s="106">
        <v>0</v>
      </c>
      <c r="BM17" s="107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3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19</v>
      </c>
      <c r="K24" s="25"/>
      <c r="L24" s="26"/>
      <c r="M24" s="38">
        <v>111</v>
      </c>
      <c r="N24" s="102"/>
      <c r="O24" s="103"/>
      <c r="P24" s="4"/>
      <c r="Q24" s="4"/>
      <c r="R24" s="4"/>
      <c r="S24" s="4"/>
      <c r="T24" s="24" t="s">
        <v>19</v>
      </c>
      <c r="U24" s="25"/>
      <c r="V24" s="26"/>
      <c r="W24" s="38">
        <v>131</v>
      </c>
      <c r="X24" s="102"/>
      <c r="Y24" s="103"/>
      <c r="Z24" s="4"/>
      <c r="AA24" s="4"/>
      <c r="AB24" s="4"/>
      <c r="AC24" s="4"/>
      <c r="AD24" s="24" t="s">
        <v>114</v>
      </c>
      <c r="AE24" s="25"/>
      <c r="AF24" s="26"/>
      <c r="AG24" s="38">
        <v>231</v>
      </c>
      <c r="AH24" s="39"/>
      <c r="AI24" s="40"/>
      <c r="AJ24" s="4"/>
      <c r="AK24" s="4"/>
      <c r="AL24" s="4"/>
      <c r="AM24" s="4"/>
      <c r="AN24" s="24" t="s">
        <v>48</v>
      </c>
      <c r="AO24" s="25"/>
      <c r="AP24" s="26"/>
      <c r="AQ24" s="38">
        <v>111</v>
      </c>
      <c r="AR24" s="39"/>
      <c r="AS24" s="40"/>
      <c r="AT24" s="4"/>
      <c r="AU24" s="4"/>
      <c r="AV24" s="4"/>
      <c r="AW24" s="4"/>
      <c r="AX24" s="24" t="s">
        <v>114</v>
      </c>
      <c r="AY24" s="25"/>
      <c r="AZ24" s="26"/>
      <c r="BA24" s="38">
        <v>212</v>
      </c>
      <c r="BB24" s="39"/>
      <c r="BC24" s="40"/>
      <c r="BD24" s="4"/>
      <c r="BE24" s="4"/>
      <c r="BF24" s="4"/>
      <c r="BG24" s="4"/>
      <c r="BH24" s="24" t="s">
        <v>129</v>
      </c>
      <c r="BI24" s="25"/>
      <c r="BJ24" s="26"/>
      <c r="BK24" s="38" t="s">
        <v>110</v>
      </c>
      <c r="BL24" s="39"/>
      <c r="BM24" s="40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48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SUM(N26,X26,AH26,J25,AR26,BB26,BL26)</f>
        <v>990</v>
      </c>
      <c r="H25" s="2"/>
      <c r="I25" s="2"/>
      <c r="J25" s="53" t="s">
        <v>36</v>
      </c>
      <c r="K25" s="54"/>
      <c r="L25" s="54"/>
      <c r="M25" s="54"/>
      <c r="N25" s="55"/>
      <c r="O25" s="56"/>
      <c r="P25" s="4"/>
      <c r="Q25" s="4"/>
      <c r="R25" s="4"/>
      <c r="S25" s="4"/>
      <c r="T25" s="53" t="s">
        <v>37</v>
      </c>
      <c r="U25" s="54"/>
      <c r="V25" s="54"/>
      <c r="W25" s="54"/>
      <c r="X25" s="55"/>
      <c r="Y25" s="56"/>
      <c r="Z25" s="4"/>
      <c r="AA25" s="4"/>
      <c r="AB25" s="4"/>
      <c r="AC25" s="4"/>
      <c r="AD25" s="30" t="s">
        <v>190</v>
      </c>
      <c r="AE25" s="31"/>
      <c r="AF25" s="31"/>
      <c r="AG25" s="31"/>
      <c r="AH25" s="32"/>
      <c r="AI25" s="33"/>
      <c r="AJ25" s="4"/>
      <c r="AK25" s="4"/>
      <c r="AL25" s="4"/>
      <c r="AM25" s="4"/>
      <c r="AN25" s="53" t="s">
        <v>47</v>
      </c>
      <c r="AO25" s="54"/>
      <c r="AP25" s="54"/>
      <c r="AQ25" s="54"/>
      <c r="AR25" s="55"/>
      <c r="AS25" s="56"/>
      <c r="AT25" s="4"/>
      <c r="AU25" s="4"/>
      <c r="AV25" s="4"/>
      <c r="AW25" s="4"/>
      <c r="AX25" s="30" t="s">
        <v>182</v>
      </c>
      <c r="AY25" s="31"/>
      <c r="AZ25" s="31"/>
      <c r="BA25" s="31"/>
      <c r="BB25" s="32"/>
      <c r="BC25" s="33"/>
      <c r="BD25" s="4"/>
      <c r="BE25" s="4"/>
      <c r="BF25" s="4"/>
      <c r="BG25" s="4"/>
      <c r="BH25" s="114" t="s">
        <v>130</v>
      </c>
      <c r="BI25" s="115"/>
      <c r="BJ25" s="115"/>
      <c r="BK25" s="115"/>
      <c r="BL25" s="116"/>
      <c r="BM25" s="117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57">
        <v>3</v>
      </c>
      <c r="K26" s="58"/>
      <c r="L26" s="59">
        <v>5</v>
      </c>
      <c r="M26" s="58"/>
      <c r="N26" s="59">
        <v>180</v>
      </c>
      <c r="O26" s="91"/>
      <c r="P26" s="4"/>
      <c r="Q26" s="4"/>
      <c r="R26" s="4"/>
      <c r="S26" s="4"/>
      <c r="T26" s="57">
        <v>3</v>
      </c>
      <c r="U26" s="58"/>
      <c r="V26" s="59">
        <v>6</v>
      </c>
      <c r="W26" s="58"/>
      <c r="X26" s="59">
        <v>195</v>
      </c>
      <c r="Y26" s="91"/>
      <c r="Z26" s="4"/>
      <c r="AA26" s="4"/>
      <c r="AB26" s="4"/>
      <c r="AC26" s="4"/>
      <c r="AD26" s="34">
        <v>3</v>
      </c>
      <c r="AE26" s="35"/>
      <c r="AF26" s="36">
        <v>5</v>
      </c>
      <c r="AG26" s="35"/>
      <c r="AH26" s="36">
        <v>195</v>
      </c>
      <c r="AI26" s="37"/>
      <c r="AJ26" s="4"/>
      <c r="AK26" s="4"/>
      <c r="AL26" s="4"/>
      <c r="AM26" s="4"/>
      <c r="AN26" s="57">
        <v>3</v>
      </c>
      <c r="AO26" s="58"/>
      <c r="AP26" s="59">
        <v>5</v>
      </c>
      <c r="AQ26" s="58"/>
      <c r="AR26" s="59">
        <v>180</v>
      </c>
      <c r="AS26" s="91"/>
      <c r="AT26" s="4"/>
      <c r="AU26" s="4"/>
      <c r="AV26" s="4"/>
      <c r="AW26" s="4"/>
      <c r="AX26" s="34">
        <v>3</v>
      </c>
      <c r="AY26" s="35"/>
      <c r="AZ26" s="36">
        <v>4</v>
      </c>
      <c r="BA26" s="35"/>
      <c r="BB26" s="36">
        <v>150</v>
      </c>
      <c r="BC26" s="37"/>
      <c r="BD26" s="4"/>
      <c r="BE26" s="4"/>
      <c r="BF26" s="4"/>
      <c r="BG26" s="4"/>
      <c r="BH26" s="110">
        <v>2</v>
      </c>
      <c r="BI26" s="111"/>
      <c r="BJ26" s="108">
        <v>2</v>
      </c>
      <c r="BK26" s="111"/>
      <c r="BL26" s="108">
        <v>90</v>
      </c>
      <c r="BM26" s="109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customHeight="1" thickBot="1" x14ac:dyDescent="0.35">
      <c r="B27" s="118"/>
      <c r="C27" s="1"/>
      <c r="D27" s="119"/>
      <c r="E27" s="11">
        <f>SUM(J26,T26,AD26,AN26,AX26,BH26)</f>
        <v>17</v>
      </c>
      <c r="F27" s="11">
        <f>SUM(L26,V26,AF26,AP26,AZ26,BJ26)</f>
        <v>27</v>
      </c>
      <c r="G27" s="105"/>
      <c r="H27" s="2"/>
      <c r="I27" s="2"/>
      <c r="J27" s="92">
        <v>2</v>
      </c>
      <c r="K27" s="93"/>
      <c r="L27" s="70">
        <v>0</v>
      </c>
      <c r="M27" s="93"/>
      <c r="N27" s="70">
        <v>3</v>
      </c>
      <c r="O27" s="71"/>
      <c r="P27" s="4"/>
      <c r="Q27" s="4"/>
      <c r="R27" s="4"/>
      <c r="S27" s="4"/>
      <c r="T27" s="92">
        <v>2</v>
      </c>
      <c r="U27" s="93"/>
      <c r="V27" s="70">
        <v>2</v>
      </c>
      <c r="W27" s="93"/>
      <c r="X27" s="70">
        <v>2</v>
      </c>
      <c r="Y27" s="71"/>
      <c r="Z27" s="4"/>
      <c r="AA27" s="4"/>
      <c r="AB27" s="4"/>
      <c r="AC27" s="4"/>
      <c r="AD27" s="20">
        <v>2</v>
      </c>
      <c r="AE27" s="21"/>
      <c r="AF27" s="22">
        <v>1</v>
      </c>
      <c r="AG27" s="21"/>
      <c r="AH27" s="22">
        <v>2</v>
      </c>
      <c r="AI27" s="23"/>
      <c r="AJ27" s="4"/>
      <c r="AK27" s="4"/>
      <c r="AL27" s="4"/>
      <c r="AM27" s="4"/>
      <c r="AN27" s="92">
        <v>2</v>
      </c>
      <c r="AO27" s="93"/>
      <c r="AP27" s="70">
        <v>1</v>
      </c>
      <c r="AQ27" s="93"/>
      <c r="AR27" s="70">
        <v>2</v>
      </c>
      <c r="AS27" s="71"/>
      <c r="AT27" s="4"/>
      <c r="AU27" s="4"/>
      <c r="AV27" s="4"/>
      <c r="AW27" s="4"/>
      <c r="AX27" s="20">
        <v>2</v>
      </c>
      <c r="AY27" s="21"/>
      <c r="AZ27" s="22">
        <v>0</v>
      </c>
      <c r="BA27" s="21"/>
      <c r="BB27" s="22">
        <v>2</v>
      </c>
      <c r="BC27" s="23"/>
      <c r="BD27" s="4"/>
      <c r="BE27" s="4"/>
      <c r="BF27" s="4"/>
      <c r="BG27" s="4"/>
      <c r="BH27" s="112">
        <v>2</v>
      </c>
      <c r="BI27" s="113"/>
      <c r="BJ27" s="106">
        <v>0</v>
      </c>
      <c r="BK27" s="113"/>
      <c r="BL27" s="106">
        <v>0</v>
      </c>
      <c r="BM27" s="107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19</v>
      </c>
      <c r="K32" s="25"/>
      <c r="L32" s="26"/>
      <c r="M32" s="27" t="s">
        <v>164</v>
      </c>
      <c r="N32" s="28"/>
      <c r="O32" s="29"/>
      <c r="P32" s="4"/>
      <c r="Q32" s="4"/>
      <c r="R32" s="4"/>
      <c r="S32" s="4"/>
      <c r="T32" s="24" t="s">
        <v>19</v>
      </c>
      <c r="U32" s="25"/>
      <c r="V32" s="26"/>
      <c r="W32" s="38">
        <v>221</v>
      </c>
      <c r="X32" s="102"/>
      <c r="Y32" s="103"/>
      <c r="Z32" s="4"/>
      <c r="AA32" s="4"/>
      <c r="AB32" s="4"/>
      <c r="AC32" s="4"/>
      <c r="AD32" s="24" t="s">
        <v>19</v>
      </c>
      <c r="AE32" s="25"/>
      <c r="AF32" s="26"/>
      <c r="AG32" s="38">
        <v>132</v>
      </c>
      <c r="AH32" s="102"/>
      <c r="AI32" s="103"/>
      <c r="AJ32" s="4"/>
      <c r="AK32" s="4"/>
      <c r="AL32" s="4"/>
      <c r="AM32" s="4"/>
      <c r="AN32" s="24" t="s">
        <v>114</v>
      </c>
      <c r="AO32" s="25"/>
      <c r="AP32" s="26"/>
      <c r="AQ32" s="38">
        <v>312</v>
      </c>
      <c r="AR32" s="39"/>
      <c r="AS32" s="40"/>
      <c r="AT32" s="4"/>
      <c r="AU32" s="4"/>
      <c r="AV32" s="4"/>
      <c r="AW32" s="4"/>
      <c r="AX32" s="24" t="s">
        <v>19</v>
      </c>
      <c r="AY32" s="25"/>
      <c r="AZ32" s="26"/>
      <c r="BA32" s="38">
        <v>191</v>
      </c>
      <c r="BB32" s="102"/>
      <c r="BC32" s="103"/>
      <c r="BD32" s="4"/>
      <c r="BE32" s="4"/>
      <c r="BF32" s="4"/>
      <c r="BG32" s="4"/>
      <c r="BH32" s="24" t="s">
        <v>19</v>
      </c>
      <c r="BI32" s="25"/>
      <c r="BJ32" s="26"/>
      <c r="BK32" s="38">
        <v>251</v>
      </c>
      <c r="BL32" s="102"/>
      <c r="BM32" s="103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SUM(N34,X34,AR34,BB34,AH34,BL34)</f>
        <v>900</v>
      </c>
      <c r="H33" s="2"/>
      <c r="I33" s="2"/>
      <c r="J33" s="94" t="s">
        <v>66</v>
      </c>
      <c r="K33" s="95"/>
      <c r="L33" s="95"/>
      <c r="M33" s="95"/>
      <c r="N33" s="96"/>
      <c r="O33" s="97"/>
      <c r="P33" s="4"/>
      <c r="Q33" s="4"/>
      <c r="R33" s="4"/>
      <c r="S33" s="4"/>
      <c r="T33" s="53" t="s">
        <v>43</v>
      </c>
      <c r="U33" s="54"/>
      <c r="V33" s="54"/>
      <c r="W33" s="54"/>
      <c r="X33" s="55"/>
      <c r="Y33" s="56"/>
      <c r="Z33" s="4"/>
      <c r="AA33" s="4"/>
      <c r="AB33" s="4"/>
      <c r="AC33" s="4"/>
      <c r="AD33" s="53" t="s">
        <v>39</v>
      </c>
      <c r="AE33" s="54"/>
      <c r="AF33" s="54"/>
      <c r="AG33" s="54"/>
      <c r="AH33" s="55"/>
      <c r="AI33" s="56"/>
      <c r="AJ33" s="4"/>
      <c r="AK33" s="4"/>
      <c r="AL33" s="4"/>
      <c r="AM33" s="4"/>
      <c r="AN33" s="30" t="s">
        <v>250</v>
      </c>
      <c r="AO33" s="31"/>
      <c r="AP33" s="31"/>
      <c r="AQ33" s="31"/>
      <c r="AR33" s="32"/>
      <c r="AS33" s="33"/>
      <c r="AT33" s="4"/>
      <c r="AU33" s="4"/>
      <c r="AV33" s="4"/>
      <c r="AW33" s="4"/>
      <c r="AX33" s="41" t="s">
        <v>183</v>
      </c>
      <c r="AY33" s="42"/>
      <c r="AZ33" s="42"/>
      <c r="BA33" s="42"/>
      <c r="BB33" s="43"/>
      <c r="BC33" s="44"/>
      <c r="BD33" s="4"/>
      <c r="BE33" s="4"/>
      <c r="BF33" s="4"/>
      <c r="BG33" s="4"/>
      <c r="BH33" s="53" t="s">
        <v>67</v>
      </c>
      <c r="BI33" s="54"/>
      <c r="BJ33" s="54"/>
      <c r="BK33" s="54"/>
      <c r="BL33" s="55"/>
      <c r="BM33" s="56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98">
        <v>3</v>
      </c>
      <c r="K34" s="99"/>
      <c r="L34" s="100">
        <v>5</v>
      </c>
      <c r="M34" s="99"/>
      <c r="N34" s="100">
        <v>165</v>
      </c>
      <c r="O34" s="101"/>
      <c r="P34" s="4"/>
      <c r="Q34" s="4"/>
      <c r="R34" s="4"/>
      <c r="S34" s="4"/>
      <c r="T34" s="57">
        <v>3</v>
      </c>
      <c r="U34" s="58"/>
      <c r="V34" s="59">
        <v>5</v>
      </c>
      <c r="W34" s="58"/>
      <c r="X34" s="59">
        <v>180</v>
      </c>
      <c r="Y34" s="91"/>
      <c r="Z34" s="4"/>
      <c r="AA34" s="4"/>
      <c r="AB34" s="4"/>
      <c r="AC34" s="4"/>
      <c r="AD34" s="57">
        <v>3</v>
      </c>
      <c r="AE34" s="58"/>
      <c r="AF34" s="59">
        <v>5</v>
      </c>
      <c r="AG34" s="58"/>
      <c r="AH34" s="59">
        <v>165</v>
      </c>
      <c r="AI34" s="91"/>
      <c r="AJ34" s="4"/>
      <c r="AK34" s="4"/>
      <c r="AL34" s="4"/>
      <c r="AM34" s="4"/>
      <c r="AN34" s="34">
        <v>3</v>
      </c>
      <c r="AO34" s="35"/>
      <c r="AP34" s="36">
        <v>4</v>
      </c>
      <c r="AQ34" s="35"/>
      <c r="AR34" s="36">
        <v>150</v>
      </c>
      <c r="AS34" s="37"/>
      <c r="AT34" s="4"/>
      <c r="AU34" s="4"/>
      <c r="AV34" s="4"/>
      <c r="AW34" s="4"/>
      <c r="AX34" s="45">
        <v>2</v>
      </c>
      <c r="AY34" s="46"/>
      <c r="AZ34" s="47">
        <v>2</v>
      </c>
      <c r="BA34" s="46"/>
      <c r="BB34" s="47">
        <v>60</v>
      </c>
      <c r="BC34" s="48"/>
      <c r="BD34" s="4"/>
      <c r="BE34" s="4"/>
      <c r="BF34" s="4"/>
      <c r="BG34" s="4"/>
      <c r="BH34" s="57">
        <v>3</v>
      </c>
      <c r="BI34" s="58"/>
      <c r="BJ34" s="59">
        <v>5</v>
      </c>
      <c r="BK34" s="58"/>
      <c r="BL34" s="59">
        <v>180</v>
      </c>
      <c r="BM34" s="91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SUM(J34,T34,AD34,AN34,AX34,BH34)</f>
        <v>17</v>
      </c>
      <c r="F35" s="11">
        <f>L34+V34+AF34+AP34+AZ34+BJ34</f>
        <v>26</v>
      </c>
      <c r="G35" s="105"/>
      <c r="H35" s="2"/>
      <c r="I35" s="2"/>
      <c r="J35" s="72">
        <v>2</v>
      </c>
      <c r="K35" s="73"/>
      <c r="L35" s="68">
        <v>1</v>
      </c>
      <c r="M35" s="73"/>
      <c r="N35" s="68">
        <v>2</v>
      </c>
      <c r="O35" s="69"/>
      <c r="P35" s="4"/>
      <c r="Q35" s="4"/>
      <c r="R35" s="4"/>
      <c r="S35" s="4"/>
      <c r="T35" s="92">
        <v>2</v>
      </c>
      <c r="U35" s="93"/>
      <c r="V35" s="70">
        <v>1</v>
      </c>
      <c r="W35" s="93"/>
      <c r="X35" s="70">
        <v>2</v>
      </c>
      <c r="Y35" s="71"/>
      <c r="Z35" s="4"/>
      <c r="AA35" s="4"/>
      <c r="AB35" s="4"/>
      <c r="AC35" s="4"/>
      <c r="AD35" s="92">
        <v>2</v>
      </c>
      <c r="AE35" s="93"/>
      <c r="AF35" s="70">
        <v>1</v>
      </c>
      <c r="AG35" s="93"/>
      <c r="AH35" s="70">
        <v>2</v>
      </c>
      <c r="AI35" s="71"/>
      <c r="AJ35" s="4"/>
      <c r="AK35" s="4"/>
      <c r="AL35" s="4"/>
      <c r="AM35" s="4"/>
      <c r="AN35" s="20">
        <v>2</v>
      </c>
      <c r="AO35" s="21"/>
      <c r="AP35" s="22">
        <v>2</v>
      </c>
      <c r="AQ35" s="21"/>
      <c r="AR35" s="22">
        <v>0</v>
      </c>
      <c r="AS35" s="23"/>
      <c r="AT35" s="4"/>
      <c r="AU35" s="4"/>
      <c r="AV35" s="4"/>
      <c r="AW35" s="4"/>
      <c r="AX35" s="49">
        <v>2</v>
      </c>
      <c r="AY35" s="50"/>
      <c r="AZ35" s="51">
        <v>0</v>
      </c>
      <c r="BA35" s="50"/>
      <c r="BB35" s="51">
        <v>0</v>
      </c>
      <c r="BC35" s="52"/>
      <c r="BD35" s="4"/>
      <c r="BE35" s="4"/>
      <c r="BF35" s="4"/>
      <c r="BG35" s="4"/>
      <c r="BH35" s="92">
        <v>2</v>
      </c>
      <c r="BI35" s="93"/>
      <c r="BJ35" s="70">
        <v>1</v>
      </c>
      <c r="BK35" s="93"/>
      <c r="BL35" s="70">
        <v>2</v>
      </c>
      <c r="BM35" s="71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2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19</v>
      </c>
      <c r="K42" s="25"/>
      <c r="L42" s="26"/>
      <c r="M42" s="38">
        <v>261</v>
      </c>
      <c r="N42" s="102"/>
      <c r="O42" s="103"/>
      <c r="P42" s="4"/>
      <c r="Q42" s="4"/>
      <c r="R42" s="4"/>
      <c r="S42" s="4"/>
      <c r="T42" s="24" t="s">
        <v>136</v>
      </c>
      <c r="U42" s="25"/>
      <c r="V42" s="26"/>
      <c r="W42" s="38" t="s">
        <v>111</v>
      </c>
      <c r="X42" s="39"/>
      <c r="Y42" s="40"/>
      <c r="Z42" s="4"/>
      <c r="AA42" s="4"/>
      <c r="AB42" s="4"/>
      <c r="AC42" s="4"/>
      <c r="AD42" s="24" t="s">
        <v>48</v>
      </c>
      <c r="AE42" s="25"/>
      <c r="AF42" s="26"/>
      <c r="AG42" s="38">
        <v>121</v>
      </c>
      <c r="AH42" s="39"/>
      <c r="AI42" s="40"/>
      <c r="AJ42" s="4"/>
      <c r="AK42" s="4"/>
      <c r="AL42" s="4"/>
      <c r="AM42" s="4"/>
      <c r="AN42" s="24" t="s">
        <v>19</v>
      </c>
      <c r="AO42" s="25"/>
      <c r="AP42" s="26"/>
      <c r="AQ42" s="38">
        <v>352</v>
      </c>
      <c r="AR42" s="102"/>
      <c r="AS42" s="103"/>
      <c r="AT42" s="4"/>
      <c r="AU42" s="4"/>
      <c r="AV42" s="4"/>
      <c r="AW42" s="4"/>
      <c r="AX42" s="24" t="s">
        <v>19</v>
      </c>
      <c r="AY42" s="25"/>
      <c r="AZ42" s="26"/>
      <c r="BA42" s="38">
        <v>233</v>
      </c>
      <c r="BB42" s="102"/>
      <c r="BC42" s="103"/>
      <c r="BD42" s="4"/>
      <c r="BE42" s="4"/>
      <c r="BF42" s="4"/>
      <c r="BG42" s="4"/>
      <c r="BH42" s="24" t="s">
        <v>133</v>
      </c>
      <c r="BI42" s="25"/>
      <c r="BJ42" s="26"/>
      <c r="BK42" s="38" t="s">
        <v>110</v>
      </c>
      <c r="BL42" s="39"/>
      <c r="BM42" s="40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SUM(N44,X44,AH44,BB44,AR44,BL44)</f>
        <v>945</v>
      </c>
      <c r="H43" s="2"/>
      <c r="I43" s="2"/>
      <c r="J43" s="53" t="s">
        <v>41</v>
      </c>
      <c r="K43" s="54"/>
      <c r="L43" s="54"/>
      <c r="M43" s="54"/>
      <c r="N43" s="55"/>
      <c r="O43" s="56"/>
      <c r="P43" s="4"/>
      <c r="Q43" s="4"/>
      <c r="R43" s="4"/>
      <c r="S43" s="4"/>
      <c r="T43" s="76" t="s">
        <v>138</v>
      </c>
      <c r="U43" s="77"/>
      <c r="V43" s="77"/>
      <c r="W43" s="77"/>
      <c r="X43" s="77"/>
      <c r="Y43" s="78"/>
      <c r="Z43" s="4"/>
      <c r="AA43" s="4"/>
      <c r="AB43" s="4"/>
      <c r="AC43" s="4"/>
      <c r="AD43" s="53" t="s">
        <v>49</v>
      </c>
      <c r="AE43" s="54"/>
      <c r="AF43" s="54"/>
      <c r="AG43" s="54"/>
      <c r="AH43" s="55"/>
      <c r="AI43" s="56"/>
      <c r="AJ43" s="4"/>
      <c r="AK43" s="4"/>
      <c r="AL43" s="4"/>
      <c r="AM43" s="4"/>
      <c r="AN43" s="94" t="s">
        <v>187</v>
      </c>
      <c r="AO43" s="95"/>
      <c r="AP43" s="95"/>
      <c r="AQ43" s="95"/>
      <c r="AR43" s="96"/>
      <c r="AS43" s="97"/>
      <c r="AT43" s="4"/>
      <c r="AU43" s="4"/>
      <c r="AV43" s="4"/>
      <c r="AW43" s="4"/>
      <c r="AX43" s="53" t="s">
        <v>40</v>
      </c>
      <c r="AY43" s="54"/>
      <c r="AZ43" s="54"/>
      <c r="BA43" s="54"/>
      <c r="BB43" s="55"/>
      <c r="BC43" s="56"/>
      <c r="BD43" s="4"/>
      <c r="BE43" s="4"/>
      <c r="BF43" s="4"/>
      <c r="BG43" s="4"/>
      <c r="BH43" s="114" t="s">
        <v>132</v>
      </c>
      <c r="BI43" s="115"/>
      <c r="BJ43" s="115"/>
      <c r="BK43" s="115"/>
      <c r="BL43" s="116"/>
      <c r="BM43" s="117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57">
        <v>3</v>
      </c>
      <c r="K44" s="58"/>
      <c r="L44" s="59">
        <v>5</v>
      </c>
      <c r="M44" s="58"/>
      <c r="N44" s="59">
        <v>165</v>
      </c>
      <c r="O44" s="91"/>
      <c r="P44" s="4"/>
      <c r="Q44" s="4"/>
      <c r="R44" s="4"/>
      <c r="S44" s="4"/>
      <c r="T44" s="79">
        <v>3</v>
      </c>
      <c r="U44" s="80"/>
      <c r="V44" s="81">
        <v>5</v>
      </c>
      <c r="W44" s="80"/>
      <c r="X44" s="81">
        <v>180</v>
      </c>
      <c r="Y44" s="82"/>
      <c r="Z44" s="4"/>
      <c r="AA44" s="4"/>
      <c r="AB44" s="4"/>
      <c r="AC44" s="4"/>
      <c r="AD44" s="57">
        <v>3</v>
      </c>
      <c r="AE44" s="58"/>
      <c r="AF44" s="59">
        <v>5</v>
      </c>
      <c r="AG44" s="58"/>
      <c r="AH44" s="59">
        <v>180</v>
      </c>
      <c r="AI44" s="91"/>
      <c r="AJ44" s="4"/>
      <c r="AK44" s="4"/>
      <c r="AL44" s="4"/>
      <c r="AM44" s="4"/>
      <c r="AN44" s="98">
        <v>3</v>
      </c>
      <c r="AO44" s="99"/>
      <c r="AP44" s="100">
        <v>5</v>
      </c>
      <c r="AQ44" s="99"/>
      <c r="AR44" s="100">
        <v>165</v>
      </c>
      <c r="AS44" s="101"/>
      <c r="AT44" s="4"/>
      <c r="AU44" s="4"/>
      <c r="AV44" s="4"/>
      <c r="AW44" s="4"/>
      <c r="AX44" s="57">
        <v>3</v>
      </c>
      <c r="AY44" s="58"/>
      <c r="AZ44" s="59">
        <v>5</v>
      </c>
      <c r="BA44" s="58"/>
      <c r="BB44" s="59">
        <v>165</v>
      </c>
      <c r="BC44" s="91"/>
      <c r="BD44" s="4"/>
      <c r="BE44" s="4"/>
      <c r="BF44" s="4"/>
      <c r="BG44" s="4"/>
      <c r="BH44" s="110">
        <v>2</v>
      </c>
      <c r="BI44" s="111"/>
      <c r="BJ44" s="108">
        <v>2</v>
      </c>
      <c r="BK44" s="111"/>
      <c r="BL44" s="108">
        <v>90</v>
      </c>
      <c r="BM44" s="109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17</v>
      </c>
      <c r="F45" s="11">
        <f>SUM(L44,V44,AF44,AP44,AZ44,BJ44)</f>
        <v>27</v>
      </c>
      <c r="G45" s="105"/>
      <c r="H45" s="2"/>
      <c r="I45" s="2"/>
      <c r="J45" s="92">
        <v>2</v>
      </c>
      <c r="K45" s="93"/>
      <c r="L45" s="70">
        <v>1</v>
      </c>
      <c r="M45" s="93"/>
      <c r="N45" s="70">
        <v>2</v>
      </c>
      <c r="O45" s="71"/>
      <c r="P45" s="4"/>
      <c r="Q45" s="4"/>
      <c r="R45" s="4"/>
      <c r="S45" s="4"/>
      <c r="T45" s="83">
        <v>2</v>
      </c>
      <c r="U45" s="84"/>
      <c r="V45" s="85">
        <v>1</v>
      </c>
      <c r="W45" s="84"/>
      <c r="X45" s="85">
        <v>2</v>
      </c>
      <c r="Y45" s="86"/>
      <c r="Z45" s="4"/>
      <c r="AA45" s="4"/>
      <c r="AB45" s="4"/>
      <c r="AC45" s="4"/>
      <c r="AD45" s="92">
        <v>2</v>
      </c>
      <c r="AE45" s="93"/>
      <c r="AF45" s="70">
        <v>1</v>
      </c>
      <c r="AG45" s="93"/>
      <c r="AH45" s="70">
        <v>2</v>
      </c>
      <c r="AI45" s="71"/>
      <c r="AJ45" s="4"/>
      <c r="AK45" s="4"/>
      <c r="AL45" s="4"/>
      <c r="AM45" s="4"/>
      <c r="AN45" s="72">
        <v>2</v>
      </c>
      <c r="AO45" s="73"/>
      <c r="AP45" s="68">
        <v>1</v>
      </c>
      <c r="AQ45" s="73"/>
      <c r="AR45" s="68">
        <v>2</v>
      </c>
      <c r="AS45" s="69"/>
      <c r="AT45" s="4"/>
      <c r="AU45" s="4"/>
      <c r="AV45" s="4"/>
      <c r="AW45" s="4"/>
      <c r="AX45" s="92">
        <v>2</v>
      </c>
      <c r="AY45" s="93"/>
      <c r="AZ45" s="70">
        <v>1</v>
      </c>
      <c r="BA45" s="93"/>
      <c r="BB45" s="70">
        <v>2</v>
      </c>
      <c r="BC45" s="71"/>
      <c r="BD45" s="4"/>
      <c r="BE45" s="4"/>
      <c r="BF45" s="4"/>
      <c r="BG45" s="4"/>
      <c r="BH45" s="112">
        <v>2</v>
      </c>
      <c r="BI45" s="113"/>
      <c r="BJ45" s="106">
        <v>0</v>
      </c>
      <c r="BK45" s="113"/>
      <c r="BL45" s="106">
        <v>0</v>
      </c>
      <c r="BM45" s="107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19</v>
      </c>
      <c r="K50" s="25"/>
      <c r="L50" s="26"/>
      <c r="M50" s="38">
        <v>112</v>
      </c>
      <c r="N50" s="102"/>
      <c r="O50" s="103"/>
      <c r="P50" s="4"/>
      <c r="Q50" s="4"/>
      <c r="R50" s="4"/>
      <c r="S50" s="4"/>
      <c r="T50" s="24" t="s">
        <v>19</v>
      </c>
      <c r="U50" s="25"/>
      <c r="V50" s="26"/>
      <c r="W50" s="38">
        <v>292</v>
      </c>
      <c r="X50" s="39"/>
      <c r="Y50" s="40"/>
      <c r="Z50" s="4"/>
      <c r="AA50" s="4"/>
      <c r="AB50" s="4"/>
      <c r="AC50" s="4"/>
      <c r="AD50" s="24" t="s">
        <v>19</v>
      </c>
      <c r="AE50" s="25"/>
      <c r="AF50" s="26"/>
      <c r="AG50" s="38">
        <v>373</v>
      </c>
      <c r="AH50" s="39"/>
      <c r="AI50" s="40"/>
      <c r="AJ50" s="4"/>
      <c r="AK50" s="4"/>
      <c r="AL50" s="4"/>
      <c r="AM50" s="4"/>
      <c r="AN50" s="24" t="s">
        <v>137</v>
      </c>
      <c r="AO50" s="25"/>
      <c r="AP50" s="26"/>
      <c r="AQ50" s="38" t="s">
        <v>112</v>
      </c>
      <c r="AR50" s="39"/>
      <c r="AS50" s="40"/>
      <c r="AT50" s="4"/>
      <c r="AU50" s="4"/>
      <c r="AV50" s="4"/>
      <c r="AW50" s="4"/>
      <c r="AX50" s="24" t="s">
        <v>19</v>
      </c>
      <c r="AY50" s="25"/>
      <c r="AZ50" s="26"/>
      <c r="BA50" s="38">
        <v>363</v>
      </c>
      <c r="BB50" s="39"/>
      <c r="BC50" s="40"/>
      <c r="BD50" s="4"/>
      <c r="BE50" s="4"/>
      <c r="BF50" s="4"/>
      <c r="BG50" s="4"/>
      <c r="BH50" s="24" t="s">
        <v>135</v>
      </c>
      <c r="BI50" s="25"/>
      <c r="BJ50" s="26"/>
      <c r="BK50" s="38" t="s">
        <v>111</v>
      </c>
      <c r="BL50" s="39"/>
      <c r="BM50" s="40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SUM(N52,X52,AH52,AR52,BB52,BL52)</f>
        <v>885</v>
      </c>
      <c r="H51" s="2"/>
      <c r="I51" s="2"/>
      <c r="J51" s="53" t="s">
        <v>38</v>
      </c>
      <c r="K51" s="54"/>
      <c r="L51" s="54"/>
      <c r="M51" s="54"/>
      <c r="N51" s="55"/>
      <c r="O51" s="56"/>
      <c r="P51" s="4"/>
      <c r="Q51" s="4"/>
      <c r="R51" s="4"/>
      <c r="S51" s="4"/>
      <c r="T51" s="41" t="s">
        <v>185</v>
      </c>
      <c r="U51" s="42"/>
      <c r="V51" s="42"/>
      <c r="W51" s="42"/>
      <c r="X51" s="43"/>
      <c r="Y51" s="44"/>
      <c r="Z51" s="4"/>
      <c r="AA51" s="4"/>
      <c r="AB51" s="4"/>
      <c r="AC51" s="4"/>
      <c r="AD51" s="94" t="s">
        <v>186</v>
      </c>
      <c r="AE51" s="95"/>
      <c r="AF51" s="95"/>
      <c r="AG51" s="95"/>
      <c r="AH51" s="96"/>
      <c r="AI51" s="97"/>
      <c r="AJ51" s="4"/>
      <c r="AK51" s="4"/>
      <c r="AL51" s="4"/>
      <c r="AM51" s="4"/>
      <c r="AN51" s="76" t="s">
        <v>139</v>
      </c>
      <c r="AO51" s="77"/>
      <c r="AP51" s="77"/>
      <c r="AQ51" s="77"/>
      <c r="AR51" s="77"/>
      <c r="AS51" s="78"/>
      <c r="AT51" s="4"/>
      <c r="AU51" s="4"/>
      <c r="AV51" s="4"/>
      <c r="AW51" s="4"/>
      <c r="AX51" s="94" t="s">
        <v>72</v>
      </c>
      <c r="AY51" s="95"/>
      <c r="AZ51" s="95"/>
      <c r="BA51" s="95"/>
      <c r="BB51" s="96"/>
      <c r="BC51" s="97"/>
      <c r="BD51" s="4"/>
      <c r="BE51" s="4"/>
      <c r="BF51" s="4"/>
      <c r="BG51" s="4"/>
      <c r="BH51" s="114" t="s">
        <v>134</v>
      </c>
      <c r="BI51" s="115"/>
      <c r="BJ51" s="115"/>
      <c r="BK51" s="115"/>
      <c r="BL51" s="116"/>
      <c r="BM51" s="117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57">
        <v>4</v>
      </c>
      <c r="K52" s="58"/>
      <c r="L52" s="59">
        <v>6</v>
      </c>
      <c r="M52" s="58"/>
      <c r="N52" s="59">
        <v>195</v>
      </c>
      <c r="O52" s="91"/>
      <c r="P52" s="4"/>
      <c r="Q52" s="4"/>
      <c r="R52" s="4"/>
      <c r="S52" s="4"/>
      <c r="T52" s="45">
        <v>2</v>
      </c>
      <c r="U52" s="46"/>
      <c r="V52" s="47">
        <v>2</v>
      </c>
      <c r="W52" s="46"/>
      <c r="X52" s="47">
        <v>60</v>
      </c>
      <c r="Y52" s="48"/>
      <c r="Z52" s="4"/>
      <c r="AA52" s="4"/>
      <c r="AB52" s="4"/>
      <c r="AC52" s="4"/>
      <c r="AD52" s="98">
        <v>3</v>
      </c>
      <c r="AE52" s="99"/>
      <c r="AF52" s="100">
        <v>5</v>
      </c>
      <c r="AG52" s="99"/>
      <c r="AH52" s="100">
        <v>180</v>
      </c>
      <c r="AI52" s="101"/>
      <c r="AJ52" s="4"/>
      <c r="AK52" s="4"/>
      <c r="AL52" s="4"/>
      <c r="AM52" s="4"/>
      <c r="AN52" s="79">
        <v>3</v>
      </c>
      <c r="AO52" s="80"/>
      <c r="AP52" s="81">
        <v>5</v>
      </c>
      <c r="AQ52" s="80"/>
      <c r="AR52" s="81">
        <v>180</v>
      </c>
      <c r="AS52" s="82"/>
      <c r="AT52" s="4"/>
      <c r="AU52" s="4"/>
      <c r="AV52" s="4"/>
      <c r="AW52" s="4"/>
      <c r="AX52" s="98">
        <v>3</v>
      </c>
      <c r="AY52" s="99"/>
      <c r="AZ52" s="100">
        <v>5</v>
      </c>
      <c r="BA52" s="99"/>
      <c r="BB52" s="100">
        <v>180</v>
      </c>
      <c r="BC52" s="101"/>
      <c r="BD52" s="4"/>
      <c r="BE52" s="4"/>
      <c r="BF52" s="4"/>
      <c r="BG52" s="4"/>
      <c r="BH52" s="110">
        <v>2</v>
      </c>
      <c r="BI52" s="111"/>
      <c r="BJ52" s="108">
        <v>2</v>
      </c>
      <c r="BK52" s="111"/>
      <c r="BL52" s="108">
        <v>90</v>
      </c>
      <c r="BM52" s="109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J52+T52+AD52+AN52+AX52+BH52</f>
        <v>17</v>
      </c>
      <c r="F53" s="11">
        <f>L52+V52+AF52+AP52+AZ52+BJ52</f>
        <v>25</v>
      </c>
      <c r="G53" s="105"/>
      <c r="H53" s="2"/>
      <c r="I53" s="2"/>
      <c r="J53" s="92">
        <v>3</v>
      </c>
      <c r="K53" s="93"/>
      <c r="L53" s="70">
        <v>3</v>
      </c>
      <c r="M53" s="93"/>
      <c r="N53" s="70">
        <v>0</v>
      </c>
      <c r="O53" s="71"/>
      <c r="P53" s="4"/>
      <c r="Q53" s="4"/>
      <c r="R53" s="4"/>
      <c r="S53" s="4"/>
      <c r="T53" s="49">
        <v>2</v>
      </c>
      <c r="U53" s="50"/>
      <c r="V53" s="51">
        <v>0</v>
      </c>
      <c r="W53" s="50"/>
      <c r="X53" s="51">
        <v>0</v>
      </c>
      <c r="Y53" s="52"/>
      <c r="Z53" s="4"/>
      <c r="AA53" s="4"/>
      <c r="AB53" s="4"/>
      <c r="AC53" s="4"/>
      <c r="AD53" s="72">
        <v>2</v>
      </c>
      <c r="AE53" s="73"/>
      <c r="AF53" s="68">
        <v>1</v>
      </c>
      <c r="AG53" s="73"/>
      <c r="AH53" s="68">
        <v>2</v>
      </c>
      <c r="AI53" s="69"/>
      <c r="AJ53" s="4"/>
      <c r="AK53" s="4"/>
      <c r="AL53" s="4"/>
      <c r="AM53" s="4"/>
      <c r="AN53" s="83">
        <v>2</v>
      </c>
      <c r="AO53" s="84"/>
      <c r="AP53" s="85">
        <v>1</v>
      </c>
      <c r="AQ53" s="84"/>
      <c r="AR53" s="85">
        <v>2</v>
      </c>
      <c r="AS53" s="86"/>
      <c r="AT53" s="4"/>
      <c r="AU53" s="4"/>
      <c r="AV53" s="4"/>
      <c r="AW53" s="4"/>
      <c r="AX53" s="72">
        <v>2</v>
      </c>
      <c r="AY53" s="73"/>
      <c r="AZ53" s="68">
        <v>1</v>
      </c>
      <c r="BA53" s="73"/>
      <c r="BB53" s="68">
        <v>2</v>
      </c>
      <c r="BC53" s="69"/>
      <c r="BD53" s="4"/>
      <c r="BE53" s="4"/>
      <c r="BF53" s="4"/>
      <c r="BG53" s="4"/>
      <c r="BH53" s="112">
        <v>2</v>
      </c>
      <c r="BI53" s="113"/>
      <c r="BJ53" s="106">
        <v>0</v>
      </c>
      <c r="BK53" s="113"/>
      <c r="BL53" s="106">
        <v>0</v>
      </c>
      <c r="BM53" s="107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1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19</v>
      </c>
      <c r="K60" s="25"/>
      <c r="L60" s="26"/>
      <c r="M60" s="38">
        <v>322</v>
      </c>
      <c r="N60" s="39"/>
      <c r="O60" s="40"/>
      <c r="P60" s="14"/>
      <c r="Q60" s="14"/>
      <c r="R60" s="14"/>
      <c r="S60" s="14"/>
      <c r="T60" s="24" t="s">
        <v>19</v>
      </c>
      <c r="U60" s="25"/>
      <c r="V60" s="26"/>
      <c r="W60" s="38">
        <v>271</v>
      </c>
      <c r="X60" s="39"/>
      <c r="Y60" s="40"/>
      <c r="Z60" s="14"/>
      <c r="AA60" s="14"/>
      <c r="AB60" s="14"/>
      <c r="AC60" s="14"/>
      <c r="AD60" s="24" t="s">
        <v>19</v>
      </c>
      <c r="AE60" s="25"/>
      <c r="AF60" s="26"/>
      <c r="AG60" s="38">
        <v>493</v>
      </c>
      <c r="AH60" s="39"/>
      <c r="AI60" s="40"/>
      <c r="AJ60" s="14"/>
      <c r="AK60" s="14"/>
      <c r="AL60" s="14"/>
      <c r="AM60" s="14"/>
      <c r="AN60" s="24" t="s">
        <v>48</v>
      </c>
      <c r="AO60" s="25"/>
      <c r="AP60" s="26"/>
      <c r="AQ60" s="38">
        <v>323</v>
      </c>
      <c r="AR60" s="39"/>
      <c r="AS60" s="40"/>
      <c r="AT60" s="14"/>
      <c r="AU60" s="14"/>
      <c r="AV60" s="14"/>
      <c r="AW60" s="14"/>
      <c r="AX60" s="24" t="s">
        <v>141</v>
      </c>
      <c r="AY60" s="25"/>
      <c r="AZ60" s="26"/>
      <c r="BA60" s="38" t="s">
        <v>111</v>
      </c>
      <c r="BB60" s="39"/>
      <c r="BC60" s="40"/>
      <c r="BD60" s="14"/>
      <c r="BE60" s="14"/>
      <c r="BF60" s="14"/>
      <c r="BG60" s="14"/>
      <c r="BH60" s="24" t="s">
        <v>252</v>
      </c>
      <c r="BI60" s="25"/>
      <c r="BJ60" s="26"/>
      <c r="BK60" s="38" t="s">
        <v>112</v>
      </c>
      <c r="BL60" s="39"/>
      <c r="BM60" s="40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990</v>
      </c>
      <c r="H61" s="2"/>
      <c r="I61" s="2"/>
      <c r="J61" s="94" t="s">
        <v>73</v>
      </c>
      <c r="K61" s="95"/>
      <c r="L61" s="95"/>
      <c r="M61" s="95"/>
      <c r="N61" s="96"/>
      <c r="O61" s="97"/>
      <c r="P61" s="4"/>
      <c r="Q61" s="4"/>
      <c r="R61" s="4"/>
      <c r="S61" s="4"/>
      <c r="T61" s="94" t="s">
        <v>184</v>
      </c>
      <c r="U61" s="95"/>
      <c r="V61" s="95"/>
      <c r="W61" s="95"/>
      <c r="X61" s="96"/>
      <c r="Y61" s="97"/>
      <c r="Z61" s="4"/>
      <c r="AA61" s="4"/>
      <c r="AB61" s="4"/>
      <c r="AC61" s="4"/>
      <c r="AD61" s="41" t="s">
        <v>63</v>
      </c>
      <c r="AE61" s="42"/>
      <c r="AF61" s="42"/>
      <c r="AG61" s="42"/>
      <c r="AH61" s="43"/>
      <c r="AI61" s="44"/>
      <c r="AJ61" s="4"/>
      <c r="AK61" s="4"/>
      <c r="AL61" s="4"/>
      <c r="AM61" s="4"/>
      <c r="AN61" s="94" t="s">
        <v>57</v>
      </c>
      <c r="AO61" s="95"/>
      <c r="AP61" s="95"/>
      <c r="AQ61" s="95"/>
      <c r="AR61" s="96"/>
      <c r="AS61" s="97"/>
      <c r="AT61" s="4"/>
      <c r="AU61" s="4"/>
      <c r="AV61" s="4"/>
      <c r="AW61" s="4"/>
      <c r="AX61" s="114" t="s">
        <v>142</v>
      </c>
      <c r="AY61" s="115"/>
      <c r="AZ61" s="115"/>
      <c r="BA61" s="115"/>
      <c r="BB61" s="116"/>
      <c r="BC61" s="117"/>
      <c r="BD61" s="4"/>
      <c r="BE61" s="4"/>
      <c r="BF61" s="4"/>
      <c r="BG61" s="4"/>
      <c r="BH61" s="76" t="s">
        <v>140</v>
      </c>
      <c r="BI61" s="77"/>
      <c r="BJ61" s="77"/>
      <c r="BK61" s="77"/>
      <c r="BL61" s="77"/>
      <c r="BM61" s="78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98">
        <v>3</v>
      </c>
      <c r="K62" s="99"/>
      <c r="L62" s="100">
        <v>5</v>
      </c>
      <c r="M62" s="99"/>
      <c r="N62" s="100">
        <v>180</v>
      </c>
      <c r="O62" s="101"/>
      <c r="P62" s="4"/>
      <c r="Q62" s="4"/>
      <c r="R62" s="4"/>
      <c r="S62" s="4"/>
      <c r="T62" s="98">
        <v>3</v>
      </c>
      <c r="U62" s="99"/>
      <c r="V62" s="100">
        <v>5</v>
      </c>
      <c r="W62" s="99"/>
      <c r="X62" s="100">
        <v>180</v>
      </c>
      <c r="Y62" s="101"/>
      <c r="Z62" s="4"/>
      <c r="AA62" s="4"/>
      <c r="AB62" s="4"/>
      <c r="AC62" s="4"/>
      <c r="AD62" s="45">
        <v>3</v>
      </c>
      <c r="AE62" s="46"/>
      <c r="AF62" s="47">
        <v>5</v>
      </c>
      <c r="AG62" s="46"/>
      <c r="AH62" s="47">
        <v>180</v>
      </c>
      <c r="AI62" s="48"/>
      <c r="AJ62" s="4"/>
      <c r="AK62" s="4"/>
      <c r="AL62" s="4"/>
      <c r="AM62" s="4"/>
      <c r="AN62" s="98">
        <v>3</v>
      </c>
      <c r="AO62" s="99"/>
      <c r="AP62" s="100">
        <v>5</v>
      </c>
      <c r="AQ62" s="99"/>
      <c r="AR62" s="100">
        <v>180</v>
      </c>
      <c r="AS62" s="101"/>
      <c r="AT62" s="4"/>
      <c r="AU62" s="4"/>
      <c r="AV62" s="4"/>
      <c r="AW62" s="4"/>
      <c r="AX62" s="110">
        <v>2</v>
      </c>
      <c r="AY62" s="111"/>
      <c r="AZ62" s="108">
        <v>2</v>
      </c>
      <c r="BA62" s="111"/>
      <c r="BB62" s="108">
        <v>90</v>
      </c>
      <c r="BC62" s="109"/>
      <c r="BD62" s="4"/>
      <c r="BE62" s="4"/>
      <c r="BF62" s="4"/>
      <c r="BG62" s="4"/>
      <c r="BH62" s="79">
        <v>3</v>
      </c>
      <c r="BI62" s="80"/>
      <c r="BJ62" s="81">
        <v>5</v>
      </c>
      <c r="BK62" s="80"/>
      <c r="BL62" s="81">
        <v>180</v>
      </c>
      <c r="BM62" s="82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17</v>
      </c>
      <c r="F63" s="11">
        <f>SUM(L62,V62,AF62,AP62,AZ62,BJ62)</f>
        <v>27</v>
      </c>
      <c r="G63" s="105"/>
      <c r="H63" s="2"/>
      <c r="I63" s="2"/>
      <c r="J63" s="72">
        <v>2</v>
      </c>
      <c r="K63" s="73"/>
      <c r="L63" s="68">
        <v>1</v>
      </c>
      <c r="M63" s="73"/>
      <c r="N63" s="68">
        <v>2</v>
      </c>
      <c r="O63" s="69"/>
      <c r="P63" s="4"/>
      <c r="Q63" s="4"/>
      <c r="R63" s="4"/>
      <c r="S63" s="4"/>
      <c r="T63" s="72">
        <v>2</v>
      </c>
      <c r="U63" s="73"/>
      <c r="V63" s="68">
        <v>1</v>
      </c>
      <c r="W63" s="73"/>
      <c r="X63" s="68">
        <v>2</v>
      </c>
      <c r="Y63" s="69"/>
      <c r="Z63" s="4"/>
      <c r="AA63" s="4"/>
      <c r="AB63" s="4"/>
      <c r="AC63" s="4"/>
      <c r="AD63" s="49">
        <v>2</v>
      </c>
      <c r="AE63" s="50"/>
      <c r="AF63" s="51">
        <v>0</v>
      </c>
      <c r="AG63" s="50"/>
      <c r="AH63" s="51">
        <v>3</v>
      </c>
      <c r="AI63" s="52"/>
      <c r="AJ63" s="4"/>
      <c r="AK63" s="4"/>
      <c r="AL63" s="4"/>
      <c r="AM63" s="4"/>
      <c r="AN63" s="72">
        <v>2</v>
      </c>
      <c r="AO63" s="73"/>
      <c r="AP63" s="68">
        <v>1</v>
      </c>
      <c r="AQ63" s="73"/>
      <c r="AR63" s="68">
        <v>2</v>
      </c>
      <c r="AS63" s="69"/>
      <c r="AT63" s="4"/>
      <c r="AU63" s="4"/>
      <c r="AV63" s="4"/>
      <c r="AW63" s="4"/>
      <c r="AX63" s="112">
        <v>2</v>
      </c>
      <c r="AY63" s="113"/>
      <c r="AZ63" s="106">
        <v>0</v>
      </c>
      <c r="BA63" s="113"/>
      <c r="BB63" s="106">
        <v>0</v>
      </c>
      <c r="BC63" s="107"/>
      <c r="BD63" s="4"/>
      <c r="BE63" s="4"/>
      <c r="BF63" s="4"/>
      <c r="BG63" s="4"/>
      <c r="BH63" s="83">
        <v>2</v>
      </c>
      <c r="BI63" s="84"/>
      <c r="BJ63" s="85">
        <v>1</v>
      </c>
      <c r="BK63" s="84"/>
      <c r="BL63" s="85">
        <v>2</v>
      </c>
      <c r="BM63" s="86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19</v>
      </c>
      <c r="K68" s="25"/>
      <c r="L68" s="26"/>
      <c r="M68" s="38">
        <v>427</v>
      </c>
      <c r="N68" s="39"/>
      <c r="O68" s="40"/>
      <c r="P68" s="14"/>
      <c r="Q68" s="14"/>
      <c r="R68" s="14"/>
      <c r="S68" s="14"/>
      <c r="T68" s="24" t="s">
        <v>19</v>
      </c>
      <c r="U68" s="25"/>
      <c r="V68" s="26"/>
      <c r="W68" s="38">
        <v>494</v>
      </c>
      <c r="X68" s="102"/>
      <c r="Y68" s="103"/>
      <c r="Z68" s="14"/>
      <c r="AA68" s="14"/>
      <c r="AB68" s="14"/>
      <c r="AC68" s="14"/>
      <c r="AD68" s="24" t="s">
        <v>19</v>
      </c>
      <c r="AE68" s="25"/>
      <c r="AF68" s="26"/>
      <c r="AG68" s="38">
        <v>411</v>
      </c>
      <c r="AH68" s="39"/>
      <c r="AI68" s="40"/>
      <c r="AJ68" s="14"/>
      <c r="AK68" s="14"/>
      <c r="AL68" s="14"/>
      <c r="AM68" s="14"/>
      <c r="AN68" s="24" t="s">
        <v>254</v>
      </c>
      <c r="AO68" s="25"/>
      <c r="AP68" s="26"/>
      <c r="AQ68" s="38" t="s">
        <v>112</v>
      </c>
      <c r="AR68" s="39"/>
      <c r="AS68" s="40"/>
      <c r="AT68" s="14"/>
      <c r="AU68" s="14"/>
      <c r="AV68" s="14"/>
      <c r="AW68" s="14"/>
      <c r="AX68" s="24" t="s">
        <v>255</v>
      </c>
      <c r="AY68" s="25"/>
      <c r="AZ68" s="26"/>
      <c r="BA68" s="38" t="s">
        <v>112</v>
      </c>
      <c r="BB68" s="39"/>
      <c r="BC68" s="40"/>
      <c r="BD68" s="4"/>
      <c r="BE68" s="4"/>
      <c r="BF68" s="4"/>
      <c r="BG68" s="4"/>
      <c r="BH68" s="24" t="s">
        <v>144</v>
      </c>
      <c r="BI68" s="25"/>
      <c r="BJ68" s="26"/>
      <c r="BK68" s="38" t="s">
        <v>110</v>
      </c>
      <c r="BL68" s="39"/>
      <c r="BM68" s="40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990</v>
      </c>
      <c r="H69" s="2"/>
      <c r="I69" s="2"/>
      <c r="J69" s="94" t="s">
        <v>84</v>
      </c>
      <c r="K69" s="95"/>
      <c r="L69" s="95"/>
      <c r="M69" s="95"/>
      <c r="N69" s="96"/>
      <c r="O69" s="97"/>
      <c r="P69" s="4"/>
      <c r="Q69" s="4"/>
      <c r="R69" s="4"/>
      <c r="S69" s="4"/>
      <c r="T69" s="41" t="s">
        <v>64</v>
      </c>
      <c r="U69" s="42"/>
      <c r="V69" s="42"/>
      <c r="W69" s="42"/>
      <c r="X69" s="43"/>
      <c r="Y69" s="44"/>
      <c r="Z69" s="4"/>
      <c r="AA69" s="4"/>
      <c r="AB69" s="4"/>
      <c r="AC69" s="4"/>
      <c r="AD69" s="94" t="s">
        <v>188</v>
      </c>
      <c r="AE69" s="95"/>
      <c r="AF69" s="95"/>
      <c r="AG69" s="95"/>
      <c r="AH69" s="96"/>
      <c r="AI69" s="97"/>
      <c r="AJ69" s="4"/>
      <c r="AK69" s="4"/>
      <c r="AL69" s="4"/>
      <c r="AM69" s="4"/>
      <c r="AN69" s="76" t="s">
        <v>143</v>
      </c>
      <c r="AO69" s="77"/>
      <c r="AP69" s="77"/>
      <c r="AQ69" s="77"/>
      <c r="AR69" s="77"/>
      <c r="AS69" s="78"/>
      <c r="AT69" s="4"/>
      <c r="AU69" s="4"/>
      <c r="AV69" s="4"/>
      <c r="AW69" s="4"/>
      <c r="AX69" s="76" t="s">
        <v>145</v>
      </c>
      <c r="AY69" s="77"/>
      <c r="AZ69" s="77"/>
      <c r="BA69" s="77"/>
      <c r="BB69" s="77"/>
      <c r="BC69" s="78"/>
      <c r="BD69" s="4"/>
      <c r="BE69" s="4"/>
      <c r="BF69" s="4"/>
      <c r="BG69" s="4"/>
      <c r="BH69" s="114" t="s">
        <v>106</v>
      </c>
      <c r="BI69" s="115"/>
      <c r="BJ69" s="115"/>
      <c r="BK69" s="115"/>
      <c r="BL69" s="116"/>
      <c r="BM69" s="117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98">
        <v>3</v>
      </c>
      <c r="K70" s="99"/>
      <c r="L70" s="100">
        <v>5</v>
      </c>
      <c r="M70" s="99"/>
      <c r="N70" s="100">
        <v>180</v>
      </c>
      <c r="O70" s="101"/>
      <c r="P70" s="4"/>
      <c r="Q70" s="4"/>
      <c r="R70" s="4"/>
      <c r="S70" s="4"/>
      <c r="T70" s="45">
        <v>3</v>
      </c>
      <c r="U70" s="46"/>
      <c r="V70" s="47">
        <v>5</v>
      </c>
      <c r="W70" s="46"/>
      <c r="X70" s="47">
        <v>180</v>
      </c>
      <c r="Y70" s="48"/>
      <c r="Z70" s="4"/>
      <c r="AA70" s="4"/>
      <c r="AB70" s="4"/>
      <c r="AC70" s="4"/>
      <c r="AD70" s="98">
        <v>3</v>
      </c>
      <c r="AE70" s="99"/>
      <c r="AF70" s="100">
        <v>5</v>
      </c>
      <c r="AG70" s="99"/>
      <c r="AH70" s="100">
        <v>180</v>
      </c>
      <c r="AI70" s="101"/>
      <c r="AJ70" s="4"/>
      <c r="AK70" s="4"/>
      <c r="AL70" s="4"/>
      <c r="AM70" s="4"/>
      <c r="AN70" s="79">
        <v>3</v>
      </c>
      <c r="AO70" s="80"/>
      <c r="AP70" s="81">
        <v>5</v>
      </c>
      <c r="AQ70" s="80"/>
      <c r="AR70" s="81">
        <v>180</v>
      </c>
      <c r="AS70" s="82"/>
      <c r="AT70" s="4"/>
      <c r="AU70" s="4"/>
      <c r="AV70" s="4"/>
      <c r="AW70" s="4"/>
      <c r="AX70" s="79">
        <v>3</v>
      </c>
      <c r="AY70" s="80"/>
      <c r="AZ70" s="81">
        <v>5</v>
      </c>
      <c r="BA70" s="80"/>
      <c r="BB70" s="81">
        <v>180</v>
      </c>
      <c r="BC70" s="82"/>
      <c r="BD70" s="4"/>
      <c r="BE70" s="4"/>
      <c r="BF70" s="4"/>
      <c r="BG70" s="4"/>
      <c r="BH70" s="110">
        <v>2</v>
      </c>
      <c r="BI70" s="111"/>
      <c r="BJ70" s="108">
        <v>2</v>
      </c>
      <c r="BK70" s="111"/>
      <c r="BL70" s="108">
        <v>90</v>
      </c>
      <c r="BM70" s="109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SUM(J70,T70,AD70,AN70,AX70,BH70)</f>
        <v>17</v>
      </c>
      <c r="F71" s="11">
        <f>L70+V70+AF70+AP70+AZ70+BJ70</f>
        <v>27</v>
      </c>
      <c r="G71" s="105"/>
      <c r="H71" s="2"/>
      <c r="I71" s="2"/>
      <c r="J71" s="72">
        <v>2</v>
      </c>
      <c r="K71" s="73"/>
      <c r="L71" s="68">
        <v>1</v>
      </c>
      <c r="M71" s="73"/>
      <c r="N71" s="68">
        <v>2</v>
      </c>
      <c r="O71" s="69"/>
      <c r="P71" s="4"/>
      <c r="Q71" s="4"/>
      <c r="R71" s="4"/>
      <c r="S71" s="4"/>
      <c r="T71" s="49">
        <v>2</v>
      </c>
      <c r="U71" s="50"/>
      <c r="V71" s="51">
        <v>0</v>
      </c>
      <c r="W71" s="50"/>
      <c r="X71" s="51">
        <v>3</v>
      </c>
      <c r="Y71" s="52"/>
      <c r="Z71" s="4"/>
      <c r="AA71" s="4"/>
      <c r="AB71" s="4"/>
      <c r="AC71" s="4"/>
      <c r="AD71" s="72">
        <v>2</v>
      </c>
      <c r="AE71" s="73"/>
      <c r="AF71" s="68">
        <v>1</v>
      </c>
      <c r="AG71" s="73"/>
      <c r="AH71" s="68">
        <v>2</v>
      </c>
      <c r="AI71" s="69"/>
      <c r="AJ71" s="4"/>
      <c r="AK71" s="4"/>
      <c r="AL71" s="4"/>
      <c r="AM71" s="4"/>
      <c r="AN71" s="83">
        <v>2</v>
      </c>
      <c r="AO71" s="84"/>
      <c r="AP71" s="85">
        <v>1</v>
      </c>
      <c r="AQ71" s="84"/>
      <c r="AR71" s="85">
        <v>2</v>
      </c>
      <c r="AS71" s="86"/>
      <c r="AT71" s="4"/>
      <c r="AU71" s="4"/>
      <c r="AV71" s="4"/>
      <c r="AW71" s="4"/>
      <c r="AX71" s="83">
        <v>2</v>
      </c>
      <c r="AY71" s="84"/>
      <c r="AZ71" s="85">
        <v>1</v>
      </c>
      <c r="BA71" s="84"/>
      <c r="BB71" s="85">
        <v>2</v>
      </c>
      <c r="BC71" s="86"/>
      <c r="BD71" s="4"/>
      <c r="BE71" s="4"/>
      <c r="BF71" s="4"/>
      <c r="BG71" s="4"/>
      <c r="BH71" s="112">
        <v>2</v>
      </c>
      <c r="BI71" s="113"/>
      <c r="BJ71" s="106">
        <v>0</v>
      </c>
      <c r="BK71" s="113"/>
      <c r="BL71" s="106">
        <v>0</v>
      </c>
      <c r="BM71" s="107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thickBot="1" x14ac:dyDescent="0.35"/>
    <row r="77" spans="2:135" ht="10.050000000000001" customHeight="1" thickTop="1" thickBot="1" x14ac:dyDescent="0.35">
      <c r="BI77" s="63" t="s">
        <v>15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6"/>
    </row>
    <row r="78" spans="2:135" ht="15" customHeight="1" x14ac:dyDescent="0.3">
      <c r="BI78" s="64"/>
      <c r="BJ78" s="16"/>
      <c r="BK78" s="17"/>
      <c r="BL78" s="16"/>
      <c r="BR78" s="175" t="s">
        <v>7</v>
      </c>
      <c r="BS78" s="176"/>
      <c r="BT78" s="176"/>
      <c r="BU78" s="176"/>
      <c r="BV78" s="176"/>
      <c r="BW78" s="177"/>
      <c r="CA78" s="8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I79" s="64"/>
      <c r="BJ79" s="16"/>
      <c r="BK79" s="17"/>
      <c r="BL79" s="16"/>
      <c r="BR79" s="178" t="s">
        <v>8</v>
      </c>
      <c r="BS79" s="179"/>
      <c r="BT79" s="179"/>
      <c r="BU79" s="179"/>
      <c r="BV79" s="179"/>
      <c r="BW79" s="180"/>
      <c r="CA79" s="8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I80" s="64"/>
      <c r="BJ80" s="16"/>
      <c r="BK80" s="17"/>
      <c r="BL80" s="16"/>
      <c r="BR80" s="66" t="s">
        <v>9</v>
      </c>
      <c r="BS80" s="67"/>
      <c r="BT80" s="131" t="s">
        <v>18</v>
      </c>
      <c r="BU80" s="67"/>
      <c r="BV80" s="131" t="s">
        <v>10</v>
      </c>
      <c r="BW80" s="132"/>
      <c r="CA80" s="8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61:135" ht="15" thickBot="1" x14ac:dyDescent="0.35">
      <c r="BI81" s="64"/>
      <c r="BJ81" s="16"/>
      <c r="BK81" s="17"/>
      <c r="BL81" s="16"/>
      <c r="BR81" s="133" t="s">
        <v>11</v>
      </c>
      <c r="BS81" s="134"/>
      <c r="BT81" s="135" t="s">
        <v>12</v>
      </c>
      <c r="BU81" s="134"/>
      <c r="BV81" s="135" t="s">
        <v>13</v>
      </c>
      <c r="BW81" s="136"/>
      <c r="CA81" s="8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61:135" ht="10.050000000000001" customHeight="1" x14ac:dyDescent="0.3">
      <c r="BI82" s="64"/>
      <c r="BL82" s="16"/>
      <c r="CA82" s="8"/>
    </row>
    <row r="83" spans="61:135" ht="10.050000000000001" customHeight="1" x14ac:dyDescent="0.3">
      <c r="BI83" s="64"/>
      <c r="BL83" s="16"/>
      <c r="CA83" s="8"/>
    </row>
    <row r="84" spans="61:135" ht="10.050000000000001" customHeight="1" x14ac:dyDescent="0.3">
      <c r="BI84" s="64"/>
      <c r="BJ84" s="90"/>
      <c r="BL84" s="15"/>
      <c r="BN84" s="18"/>
      <c r="BO84" s="18"/>
      <c r="BP84" s="18"/>
      <c r="BQ84" s="18"/>
      <c r="BS84" s="60"/>
      <c r="BU84" s="75" t="s">
        <v>30</v>
      </c>
      <c r="BW84" s="61"/>
      <c r="CA84" s="8"/>
    </row>
    <row r="85" spans="61:135" ht="10.050000000000001" customHeight="1" thickBot="1" x14ac:dyDescent="0.35">
      <c r="BI85" s="64"/>
      <c r="BJ85" s="90"/>
      <c r="BL85" s="74" t="s">
        <v>22</v>
      </c>
      <c r="BN85" s="18"/>
      <c r="BO85" s="18"/>
      <c r="BP85" s="18"/>
      <c r="BQ85" s="18"/>
      <c r="BS85" s="60"/>
      <c r="BU85" s="75"/>
      <c r="BW85" s="61"/>
      <c r="CA85" s="8"/>
    </row>
    <row r="86" spans="61:135" ht="15" customHeight="1" x14ac:dyDescent="0.3">
      <c r="BI86" s="64"/>
      <c r="BJ86" s="90" t="s">
        <v>31</v>
      </c>
      <c r="BK86" s="7"/>
      <c r="BL86" s="74"/>
      <c r="BM86" s="7"/>
      <c r="BN86" s="62" t="s">
        <v>14</v>
      </c>
      <c r="BO86" s="62"/>
      <c r="BP86" s="62"/>
      <c r="BQ86" s="62"/>
      <c r="BR86" s="7"/>
      <c r="BS86" s="60" t="s">
        <v>46</v>
      </c>
      <c r="BT86" s="7"/>
      <c r="BU86" s="75"/>
      <c r="BV86" s="7"/>
      <c r="BW86" s="61" t="s">
        <v>62</v>
      </c>
      <c r="CA86" s="8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61:135" ht="48.75" customHeight="1" x14ac:dyDescent="0.3">
      <c r="BI87" s="64"/>
      <c r="BJ87" s="90"/>
      <c r="BK87" s="7"/>
      <c r="BL87" s="74"/>
      <c r="BM87" s="7"/>
      <c r="BN87" s="62"/>
      <c r="BO87" s="62"/>
      <c r="BP87" s="62"/>
      <c r="BQ87" s="62"/>
      <c r="BR87" s="7"/>
      <c r="BS87" s="60"/>
      <c r="BT87" s="7"/>
      <c r="BU87" s="75"/>
      <c r="BV87" s="7"/>
      <c r="BW87" s="61"/>
      <c r="CA87" s="8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61:135" x14ac:dyDescent="0.3">
      <c r="BI88" s="64"/>
      <c r="BJ88" s="90"/>
      <c r="BK88" s="7"/>
      <c r="BL88" s="74"/>
      <c r="BM88" s="7"/>
      <c r="BN88" s="62"/>
      <c r="BO88" s="62"/>
      <c r="BP88" s="62"/>
      <c r="BQ88" s="62"/>
      <c r="BR88" s="7"/>
      <c r="BS88" s="60"/>
      <c r="BT88" s="7"/>
      <c r="BU88" s="75"/>
      <c r="BV88" s="7"/>
      <c r="BW88" s="61"/>
      <c r="CA88" s="8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61:135" ht="15" thickBot="1" x14ac:dyDescent="0.35">
      <c r="BI89" s="64"/>
      <c r="BJ89" s="90"/>
      <c r="BK89" s="7"/>
      <c r="BL89" s="74"/>
      <c r="BM89" s="7"/>
      <c r="BN89" s="62"/>
      <c r="BO89" s="62"/>
      <c r="BP89" s="62"/>
      <c r="BQ89" s="62"/>
      <c r="BR89" s="7"/>
      <c r="BS89" s="60"/>
      <c r="BT89" s="7"/>
      <c r="BU89" s="75"/>
      <c r="BV89" s="7"/>
      <c r="BW89" s="61"/>
      <c r="CA89" s="8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61:135" ht="10.050000000000001" customHeight="1" thickBot="1" x14ac:dyDescent="0.35">
      <c r="BI90" s="65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10"/>
    </row>
    <row r="91" spans="61:135" ht="10.050000000000001" customHeight="1" thickTop="1" x14ac:dyDescent="0.3"/>
    <row r="92" spans="61:135" ht="10.050000000000001" customHeight="1" x14ac:dyDescent="0.3"/>
    <row r="93" spans="61:135" ht="10.050000000000001" customHeight="1" x14ac:dyDescent="0.3"/>
    <row r="100" ht="48.75" customHeight="1" x14ac:dyDescent="0.3"/>
  </sheetData>
  <mergeCells count="655">
    <mergeCell ref="EB88:EC88"/>
    <mergeCell ref="DR80:DS80"/>
    <mergeCell ref="DT80:DU80"/>
    <mergeCell ref="EB81:EC81"/>
    <mergeCell ref="ED81:EE81"/>
    <mergeCell ref="BJ84:BJ85"/>
    <mergeCell ref="BS84:BS85"/>
    <mergeCell ref="BU84:BU89"/>
    <mergeCell ref="BW84:BW85"/>
    <mergeCell ref="BL85:BL89"/>
    <mergeCell ref="BJ86:BJ89"/>
    <mergeCell ref="BN86:BQ89"/>
    <mergeCell ref="BS86:BS89"/>
    <mergeCell ref="ED88:EE88"/>
    <mergeCell ref="DP89:DQ89"/>
    <mergeCell ref="DR89:DS89"/>
    <mergeCell ref="DT89:DU89"/>
    <mergeCell ref="DZ89:EA89"/>
    <mergeCell ref="EB89:EC89"/>
    <mergeCell ref="ED89:EE89"/>
    <mergeCell ref="BW86:BW89"/>
    <mergeCell ref="DP86:DU86"/>
    <mergeCell ref="DZ86:EE86"/>
    <mergeCell ref="DP87:DU87"/>
    <mergeCell ref="DZ87:EE87"/>
    <mergeCell ref="DP88:DQ88"/>
    <mergeCell ref="DR88:DS88"/>
    <mergeCell ref="DT88:DU88"/>
    <mergeCell ref="DZ88:EA88"/>
    <mergeCell ref="DZ71:EA71"/>
    <mergeCell ref="EB71:EC71"/>
    <mergeCell ref="ED71:EE71"/>
    <mergeCell ref="BI77:BI90"/>
    <mergeCell ref="BR78:BW78"/>
    <mergeCell ref="DP78:DU78"/>
    <mergeCell ref="DZ78:EE78"/>
    <mergeCell ref="BR79:BW79"/>
    <mergeCell ref="DP79:DU79"/>
    <mergeCell ref="DZ79:EE79"/>
    <mergeCell ref="DZ80:EA80"/>
    <mergeCell ref="EB80:EC80"/>
    <mergeCell ref="ED80:EE80"/>
    <mergeCell ref="BR81:BS81"/>
    <mergeCell ref="BT81:BU81"/>
    <mergeCell ref="BV81:BW81"/>
    <mergeCell ref="DP81:DQ81"/>
    <mergeCell ref="DR81:DS81"/>
    <mergeCell ref="DT81:DU81"/>
    <mergeCell ref="DP70:DQ70"/>
    <mergeCell ref="DR70:DS70"/>
    <mergeCell ref="DT70:DU70"/>
    <mergeCell ref="AX71:AY71"/>
    <mergeCell ref="AZ71:BA71"/>
    <mergeCell ref="BB71:BC71"/>
    <mergeCell ref="DP71:DQ71"/>
    <mergeCell ref="DR71:DS71"/>
    <mergeCell ref="DT71:DU71"/>
    <mergeCell ref="J71:K71"/>
    <mergeCell ref="L71:M71"/>
    <mergeCell ref="N71:O71"/>
    <mergeCell ref="T71:U71"/>
    <mergeCell ref="V71:W71"/>
    <mergeCell ref="DZ81:EA81"/>
    <mergeCell ref="BR80:BS80"/>
    <mergeCell ref="BT80:BU80"/>
    <mergeCell ref="BV80:BW80"/>
    <mergeCell ref="DP80:DQ80"/>
    <mergeCell ref="X71:Y71"/>
    <mergeCell ref="AD71:AE71"/>
    <mergeCell ref="AF71:AG71"/>
    <mergeCell ref="AH71:AI71"/>
    <mergeCell ref="AN71:AO71"/>
    <mergeCell ref="AP71:AQ71"/>
    <mergeCell ref="AR71:AS71"/>
    <mergeCell ref="AN69:AS69"/>
    <mergeCell ref="X70:Y70"/>
    <mergeCell ref="AD70:AE70"/>
    <mergeCell ref="AF70:AG70"/>
    <mergeCell ref="AH70:AI70"/>
    <mergeCell ref="AX69:BC69"/>
    <mergeCell ref="DP69:DU69"/>
    <mergeCell ref="DZ69:EE69"/>
    <mergeCell ref="G70:G71"/>
    <mergeCell ref="H70:I70"/>
    <mergeCell ref="J70:K70"/>
    <mergeCell ref="L70:M70"/>
    <mergeCell ref="N70:O70"/>
    <mergeCell ref="T70:U70"/>
    <mergeCell ref="V70:W70"/>
    <mergeCell ref="DZ70:EA70"/>
    <mergeCell ref="EB70:EC70"/>
    <mergeCell ref="ED70:EE70"/>
    <mergeCell ref="AN70:AO70"/>
    <mergeCell ref="AP70:AQ70"/>
    <mergeCell ref="AR70:AS70"/>
    <mergeCell ref="AX70:AY70"/>
    <mergeCell ref="AZ70:BA70"/>
    <mergeCell ref="BB70:BC70"/>
    <mergeCell ref="DP68:DU68"/>
    <mergeCell ref="DZ68:EE68"/>
    <mergeCell ref="DZ63:EA63"/>
    <mergeCell ref="EB63:EC63"/>
    <mergeCell ref="ED63:EE63"/>
    <mergeCell ref="BL63:BM63"/>
    <mergeCell ref="DP63:DQ63"/>
    <mergeCell ref="DR63:DS63"/>
    <mergeCell ref="DT63:DU63"/>
    <mergeCell ref="D68:D71"/>
    <mergeCell ref="J68:L68"/>
    <mergeCell ref="M68:O68"/>
    <mergeCell ref="T68:V68"/>
    <mergeCell ref="W68:Y68"/>
    <mergeCell ref="AD68:AF68"/>
    <mergeCell ref="AG68:AI68"/>
    <mergeCell ref="BH63:BI63"/>
    <mergeCell ref="BJ63:BK63"/>
    <mergeCell ref="AN63:AO63"/>
    <mergeCell ref="AP63:AQ63"/>
    <mergeCell ref="AR63:AS63"/>
    <mergeCell ref="AX63:AY63"/>
    <mergeCell ref="AZ63:BA63"/>
    <mergeCell ref="BB63:BC63"/>
    <mergeCell ref="AN68:AP68"/>
    <mergeCell ref="AQ68:AS68"/>
    <mergeCell ref="AX68:AZ68"/>
    <mergeCell ref="BA68:BC68"/>
    <mergeCell ref="E69:E70"/>
    <mergeCell ref="F69:F70"/>
    <mergeCell ref="J69:O69"/>
    <mergeCell ref="T69:Y69"/>
    <mergeCell ref="AD69:AI69"/>
    <mergeCell ref="EB62:EC62"/>
    <mergeCell ref="AR62:AS62"/>
    <mergeCell ref="AX62:AY62"/>
    <mergeCell ref="AZ62:BA62"/>
    <mergeCell ref="BB62:BC62"/>
    <mergeCell ref="BH62:BI62"/>
    <mergeCell ref="BJ62:BK62"/>
    <mergeCell ref="X62:Y62"/>
    <mergeCell ref="AD62:AE62"/>
    <mergeCell ref="DP61:DU61"/>
    <mergeCell ref="DZ61:EE61"/>
    <mergeCell ref="G62:G63"/>
    <mergeCell ref="H62:I62"/>
    <mergeCell ref="J62:K62"/>
    <mergeCell ref="L62:M62"/>
    <mergeCell ref="N62:O62"/>
    <mergeCell ref="T62:U62"/>
    <mergeCell ref="V62:W62"/>
    <mergeCell ref="ED62:EE62"/>
    <mergeCell ref="J63:K63"/>
    <mergeCell ref="L63:M63"/>
    <mergeCell ref="N63:O63"/>
    <mergeCell ref="T63:U63"/>
    <mergeCell ref="V63:W63"/>
    <mergeCell ref="X63:Y63"/>
    <mergeCell ref="AD63:AE63"/>
    <mergeCell ref="AF63:AG63"/>
    <mergeCell ref="AH63:AI63"/>
    <mergeCell ref="BL62:BM62"/>
    <mergeCell ref="DP62:DQ62"/>
    <mergeCell ref="DR62:DS62"/>
    <mergeCell ref="DT62:DU62"/>
    <mergeCell ref="DZ62:EA62"/>
    <mergeCell ref="AX53:AY53"/>
    <mergeCell ref="AZ53:BA53"/>
    <mergeCell ref="BB53:BC53"/>
    <mergeCell ref="BK60:BM60"/>
    <mergeCell ref="DP60:DU60"/>
    <mergeCell ref="DZ60:EE60"/>
    <mergeCell ref="E61:E62"/>
    <mergeCell ref="F61:F62"/>
    <mergeCell ref="J61:O61"/>
    <mergeCell ref="T61:Y61"/>
    <mergeCell ref="AD61:AI61"/>
    <mergeCell ref="AN61:AS61"/>
    <mergeCell ref="AX61:BC61"/>
    <mergeCell ref="AG60:AI60"/>
    <mergeCell ref="AN60:AP60"/>
    <mergeCell ref="AQ60:AS60"/>
    <mergeCell ref="AX60:AZ60"/>
    <mergeCell ref="BA60:BC60"/>
    <mergeCell ref="BH60:BJ60"/>
    <mergeCell ref="AF62:AG62"/>
    <mergeCell ref="AH62:AI62"/>
    <mergeCell ref="AN62:AO62"/>
    <mergeCell ref="AP62:AQ62"/>
    <mergeCell ref="BH61:BM61"/>
    <mergeCell ref="BB52:BC52"/>
    <mergeCell ref="BH52:BI52"/>
    <mergeCell ref="BJ52:BK52"/>
    <mergeCell ref="X52:Y52"/>
    <mergeCell ref="AD52:AE52"/>
    <mergeCell ref="DZ53:EA53"/>
    <mergeCell ref="EB53:EC53"/>
    <mergeCell ref="ED53:EE53"/>
    <mergeCell ref="B59:B72"/>
    <mergeCell ref="D60:D63"/>
    <mergeCell ref="J60:L60"/>
    <mergeCell ref="M60:O60"/>
    <mergeCell ref="T60:V60"/>
    <mergeCell ref="W60:Y60"/>
    <mergeCell ref="AD60:AF60"/>
    <mergeCell ref="BH53:BI53"/>
    <mergeCell ref="BJ53:BK53"/>
    <mergeCell ref="BL53:BM53"/>
    <mergeCell ref="DP53:DQ53"/>
    <mergeCell ref="DR53:DS53"/>
    <mergeCell ref="DT53:DU53"/>
    <mergeCell ref="AN53:AO53"/>
    <mergeCell ref="AP53:AQ53"/>
    <mergeCell ref="AR53:AS53"/>
    <mergeCell ref="J52:K52"/>
    <mergeCell ref="L52:M52"/>
    <mergeCell ref="N52:O52"/>
    <mergeCell ref="T52:U52"/>
    <mergeCell ref="V52:W52"/>
    <mergeCell ref="ED52:EE52"/>
    <mergeCell ref="J53:K53"/>
    <mergeCell ref="L53:M53"/>
    <mergeCell ref="N53:O53"/>
    <mergeCell ref="T53:U53"/>
    <mergeCell ref="V53:W53"/>
    <mergeCell ref="X53:Y53"/>
    <mergeCell ref="AD53:AE53"/>
    <mergeCell ref="AF53:AG53"/>
    <mergeCell ref="AH53:AI53"/>
    <mergeCell ref="BL52:BM52"/>
    <mergeCell ref="DP52:DQ52"/>
    <mergeCell ref="DR52:DS52"/>
    <mergeCell ref="DT52:DU52"/>
    <mergeCell ref="DZ52:EA52"/>
    <mergeCell ref="EB52:EC52"/>
    <mergeCell ref="AR52:AS52"/>
    <mergeCell ref="AX52:AY52"/>
    <mergeCell ref="AZ52:BA52"/>
    <mergeCell ref="DP50:DU50"/>
    <mergeCell ref="DZ50:EE50"/>
    <mergeCell ref="E51:E52"/>
    <mergeCell ref="F51:F52"/>
    <mergeCell ref="J51:O51"/>
    <mergeCell ref="T51:Y51"/>
    <mergeCell ref="AD51:AI51"/>
    <mergeCell ref="AN51:AS51"/>
    <mergeCell ref="AX51:BC51"/>
    <mergeCell ref="AG50:AI50"/>
    <mergeCell ref="AN50:AP50"/>
    <mergeCell ref="AQ50:AS50"/>
    <mergeCell ref="AX50:AZ50"/>
    <mergeCell ref="BA50:BC50"/>
    <mergeCell ref="BH50:BJ50"/>
    <mergeCell ref="AF52:AG52"/>
    <mergeCell ref="AH52:AI52"/>
    <mergeCell ref="AN52:AO52"/>
    <mergeCell ref="AP52:AQ52"/>
    <mergeCell ref="BH51:BM51"/>
    <mergeCell ref="DP51:DU51"/>
    <mergeCell ref="DZ51:EE51"/>
    <mergeCell ref="G52:G53"/>
    <mergeCell ref="H52:I52"/>
    <mergeCell ref="BB44:BC44"/>
    <mergeCell ref="BH44:BI44"/>
    <mergeCell ref="V44:W44"/>
    <mergeCell ref="X44:Y44"/>
    <mergeCell ref="DT45:DU45"/>
    <mergeCell ref="DZ45:EA45"/>
    <mergeCell ref="EB45:EC45"/>
    <mergeCell ref="ED45:EE45"/>
    <mergeCell ref="D50:D53"/>
    <mergeCell ref="J50:L50"/>
    <mergeCell ref="M50:O50"/>
    <mergeCell ref="T50:V50"/>
    <mergeCell ref="W50:Y50"/>
    <mergeCell ref="AD50:AF50"/>
    <mergeCell ref="BB45:BC45"/>
    <mergeCell ref="BH45:BI45"/>
    <mergeCell ref="BJ45:BK45"/>
    <mergeCell ref="BL45:BM45"/>
    <mergeCell ref="DP45:DQ45"/>
    <mergeCell ref="DR45:DS45"/>
    <mergeCell ref="AH45:AI45"/>
    <mergeCell ref="AX45:AY45"/>
    <mergeCell ref="AZ45:BA45"/>
    <mergeCell ref="BK50:BM50"/>
    <mergeCell ref="G44:G45"/>
    <mergeCell ref="H44:I44"/>
    <mergeCell ref="J44:K44"/>
    <mergeCell ref="L44:M44"/>
    <mergeCell ref="N44:O44"/>
    <mergeCell ref="T44:U44"/>
    <mergeCell ref="EB44:EC44"/>
    <mergeCell ref="ED44:EE44"/>
    <mergeCell ref="J45:K45"/>
    <mergeCell ref="L45:M45"/>
    <mergeCell ref="N45:O45"/>
    <mergeCell ref="T45:U45"/>
    <mergeCell ref="V45:W45"/>
    <mergeCell ref="X45:Y45"/>
    <mergeCell ref="AD45:AE45"/>
    <mergeCell ref="AF45:AG45"/>
    <mergeCell ref="BJ44:BK44"/>
    <mergeCell ref="BL44:BM44"/>
    <mergeCell ref="DP44:DQ44"/>
    <mergeCell ref="DR44:DS44"/>
    <mergeCell ref="DT44:DU44"/>
    <mergeCell ref="DZ44:EA44"/>
    <mergeCell ref="AX44:AY44"/>
    <mergeCell ref="AZ44:BA44"/>
    <mergeCell ref="B41:B54"/>
    <mergeCell ref="D42:D45"/>
    <mergeCell ref="J42:L42"/>
    <mergeCell ref="M42:O42"/>
    <mergeCell ref="T42:V42"/>
    <mergeCell ref="W42:Y42"/>
    <mergeCell ref="AR35:AS35"/>
    <mergeCell ref="AX35:AY35"/>
    <mergeCell ref="AZ35:BA35"/>
    <mergeCell ref="X35:Y35"/>
    <mergeCell ref="AN45:AO45"/>
    <mergeCell ref="AP45:AQ45"/>
    <mergeCell ref="AR45:AS45"/>
    <mergeCell ref="AN35:AO35"/>
    <mergeCell ref="AP35:AQ35"/>
    <mergeCell ref="G34:G35"/>
    <mergeCell ref="H34:I34"/>
    <mergeCell ref="E43:E44"/>
    <mergeCell ref="F43:F44"/>
    <mergeCell ref="J43:O43"/>
    <mergeCell ref="T43:Y43"/>
    <mergeCell ref="AD43:AI43"/>
    <mergeCell ref="AD42:AF42"/>
    <mergeCell ref="AG42:AI42"/>
    <mergeCell ref="AN44:AO44"/>
    <mergeCell ref="AP44:AQ44"/>
    <mergeCell ref="AR44:AS44"/>
    <mergeCell ref="AN34:AO34"/>
    <mergeCell ref="J34:K34"/>
    <mergeCell ref="L34:M34"/>
    <mergeCell ref="DT35:DU35"/>
    <mergeCell ref="DZ35:EA35"/>
    <mergeCell ref="EB35:EC35"/>
    <mergeCell ref="BB35:BC35"/>
    <mergeCell ref="DP35:DQ35"/>
    <mergeCell ref="DR35:DS35"/>
    <mergeCell ref="BH42:BJ42"/>
    <mergeCell ref="BK42:BM42"/>
    <mergeCell ref="DP42:DU42"/>
    <mergeCell ref="DZ42:EE42"/>
    <mergeCell ref="AX42:AZ42"/>
    <mergeCell ref="BA42:BC42"/>
    <mergeCell ref="AD44:AE44"/>
    <mergeCell ref="AF44:AG44"/>
    <mergeCell ref="AH44:AI44"/>
    <mergeCell ref="AX43:BC43"/>
    <mergeCell ref="BH43:BM43"/>
    <mergeCell ref="DP43:DU43"/>
    <mergeCell ref="AD32:AF32"/>
    <mergeCell ref="AG32:AI32"/>
    <mergeCell ref="J35:K35"/>
    <mergeCell ref="L35:M35"/>
    <mergeCell ref="N35:O35"/>
    <mergeCell ref="T35:U35"/>
    <mergeCell ref="V35:W35"/>
    <mergeCell ref="AP34:AQ34"/>
    <mergeCell ref="AR34:AS34"/>
    <mergeCell ref="V34:W34"/>
    <mergeCell ref="X34:Y34"/>
    <mergeCell ref="AN32:AP32"/>
    <mergeCell ref="AQ32:AS32"/>
    <mergeCell ref="AX32:AZ32"/>
    <mergeCell ref="BA32:BC32"/>
    <mergeCell ref="DP32:DU32"/>
    <mergeCell ref="DR34:DS34"/>
    <mergeCell ref="DT34:DU34"/>
    <mergeCell ref="DZ34:EA34"/>
    <mergeCell ref="BB34:BC34"/>
    <mergeCell ref="DP34:DQ34"/>
    <mergeCell ref="AX34:AY34"/>
    <mergeCell ref="AZ34:BA34"/>
    <mergeCell ref="BH32:BJ32"/>
    <mergeCell ref="BK32:BM32"/>
    <mergeCell ref="AN43:AS43"/>
    <mergeCell ref="AN33:AS33"/>
    <mergeCell ref="AX33:BC33"/>
    <mergeCell ref="DP33:DU33"/>
    <mergeCell ref="DZ33:EE33"/>
    <mergeCell ref="EB34:EC34"/>
    <mergeCell ref="ED34:EE34"/>
    <mergeCell ref="AD33:AI33"/>
    <mergeCell ref="AD34:AE34"/>
    <mergeCell ref="AF34:AG34"/>
    <mergeCell ref="AH34:AI34"/>
    <mergeCell ref="AQ42:AS42"/>
    <mergeCell ref="ED35:EE35"/>
    <mergeCell ref="DZ43:EE43"/>
    <mergeCell ref="AD35:AE35"/>
    <mergeCell ref="AF35:AG35"/>
    <mergeCell ref="AH35:AI35"/>
    <mergeCell ref="BH33:BM33"/>
    <mergeCell ref="BH34:BI34"/>
    <mergeCell ref="BJ34:BK34"/>
    <mergeCell ref="BL34:BM34"/>
    <mergeCell ref="BH35:BI35"/>
    <mergeCell ref="BJ35:BK35"/>
    <mergeCell ref="BL35:BM35"/>
    <mergeCell ref="ED27:EE27"/>
    <mergeCell ref="D32:D35"/>
    <mergeCell ref="J32:L32"/>
    <mergeCell ref="M32:O32"/>
    <mergeCell ref="T32:V32"/>
    <mergeCell ref="W32:Y32"/>
    <mergeCell ref="AN42:AP42"/>
    <mergeCell ref="BB27:BC27"/>
    <mergeCell ref="BH27:BI27"/>
    <mergeCell ref="BJ27:BK27"/>
    <mergeCell ref="BL27:BM27"/>
    <mergeCell ref="DP27:DQ27"/>
    <mergeCell ref="DR27:DS27"/>
    <mergeCell ref="AH27:AI27"/>
    <mergeCell ref="AN27:AO27"/>
    <mergeCell ref="AP27:AQ27"/>
    <mergeCell ref="AR27:AS27"/>
    <mergeCell ref="AX27:AY27"/>
    <mergeCell ref="AZ27:BA27"/>
    <mergeCell ref="N27:O27"/>
    <mergeCell ref="T27:U27"/>
    <mergeCell ref="N34:O34"/>
    <mergeCell ref="T34:U34"/>
    <mergeCell ref="DZ32:EE32"/>
    <mergeCell ref="AD27:AE27"/>
    <mergeCell ref="AF27:AG27"/>
    <mergeCell ref="DP26:DQ26"/>
    <mergeCell ref="DR26:DS26"/>
    <mergeCell ref="DT26:DU26"/>
    <mergeCell ref="DZ26:EA26"/>
    <mergeCell ref="EB26:EC26"/>
    <mergeCell ref="DT27:DU27"/>
    <mergeCell ref="DZ27:EA27"/>
    <mergeCell ref="EB27:EC27"/>
    <mergeCell ref="ED26:EE26"/>
    <mergeCell ref="AX26:AY26"/>
    <mergeCell ref="AZ26:BA26"/>
    <mergeCell ref="BB26:BC26"/>
    <mergeCell ref="BH26:BI26"/>
    <mergeCell ref="BJ26:BK26"/>
    <mergeCell ref="BL26:BM26"/>
    <mergeCell ref="AD26:AE26"/>
    <mergeCell ref="AF26:AG26"/>
    <mergeCell ref="AH26:AI26"/>
    <mergeCell ref="AN26:AO26"/>
    <mergeCell ref="AP26:AQ26"/>
    <mergeCell ref="AR26:AS26"/>
    <mergeCell ref="BH24:BJ24"/>
    <mergeCell ref="BK24:BM24"/>
    <mergeCell ref="DP24:DU24"/>
    <mergeCell ref="DZ24:EE24"/>
    <mergeCell ref="E25:E26"/>
    <mergeCell ref="F25:F26"/>
    <mergeCell ref="J25:O25"/>
    <mergeCell ref="T25:Y25"/>
    <mergeCell ref="AD25:AI25"/>
    <mergeCell ref="AN25:AS25"/>
    <mergeCell ref="AD24:AF24"/>
    <mergeCell ref="AG24:AI24"/>
    <mergeCell ref="AN24:AP24"/>
    <mergeCell ref="AQ24:AS24"/>
    <mergeCell ref="AX24:AZ24"/>
    <mergeCell ref="BA24:BC24"/>
    <mergeCell ref="AX25:BC25"/>
    <mergeCell ref="BH25:BM25"/>
    <mergeCell ref="DP25:DU25"/>
    <mergeCell ref="DZ25:EE25"/>
    <mergeCell ref="G26:G27"/>
    <mergeCell ref="H26:I26"/>
    <mergeCell ref="J26:K26"/>
    <mergeCell ref="L26:M26"/>
    <mergeCell ref="B23:B36"/>
    <mergeCell ref="D24:D27"/>
    <mergeCell ref="J24:L24"/>
    <mergeCell ref="M24:O24"/>
    <mergeCell ref="T24:V24"/>
    <mergeCell ref="W24:Y24"/>
    <mergeCell ref="V26:W26"/>
    <mergeCell ref="X26:Y26"/>
    <mergeCell ref="J27:K27"/>
    <mergeCell ref="L27:M27"/>
    <mergeCell ref="N26:O26"/>
    <mergeCell ref="T26:U26"/>
    <mergeCell ref="V27:W27"/>
    <mergeCell ref="X27:Y27"/>
    <mergeCell ref="E33:E34"/>
    <mergeCell ref="F33:F34"/>
    <mergeCell ref="J33:O33"/>
    <mergeCell ref="T33:Y33"/>
    <mergeCell ref="DZ16:EA16"/>
    <mergeCell ref="EB16:EC16"/>
    <mergeCell ref="DP17:DQ17"/>
    <mergeCell ref="DR17:DS17"/>
    <mergeCell ref="DT17:DU17"/>
    <mergeCell ref="DZ17:EA17"/>
    <mergeCell ref="EB17:EC17"/>
    <mergeCell ref="ED17:EE17"/>
    <mergeCell ref="DR16:DS16"/>
    <mergeCell ref="DP16:DQ16"/>
    <mergeCell ref="AH16:AI16"/>
    <mergeCell ref="AN16:AO16"/>
    <mergeCell ref="AP16:AQ16"/>
    <mergeCell ref="AR16:AS16"/>
    <mergeCell ref="AD17:AE17"/>
    <mergeCell ref="AF17:AG17"/>
    <mergeCell ref="AH17:AI17"/>
    <mergeCell ref="AN17:AO17"/>
    <mergeCell ref="AP17:AQ17"/>
    <mergeCell ref="AR17:AS17"/>
    <mergeCell ref="AX17:AY17"/>
    <mergeCell ref="AZ17:BA17"/>
    <mergeCell ref="BB17:BC17"/>
    <mergeCell ref="BH17:BI17"/>
    <mergeCell ref="BJ17:BK17"/>
    <mergeCell ref="BL17:BM17"/>
    <mergeCell ref="AX15:BC15"/>
    <mergeCell ref="BH15:BM15"/>
    <mergeCell ref="DP15:DU15"/>
    <mergeCell ref="AX16:AY16"/>
    <mergeCell ref="AZ16:BA16"/>
    <mergeCell ref="DT16:DU16"/>
    <mergeCell ref="AD15:AI15"/>
    <mergeCell ref="AN15:AS15"/>
    <mergeCell ref="V16:W16"/>
    <mergeCell ref="X16:Y16"/>
    <mergeCell ref="AD16:AE16"/>
    <mergeCell ref="AF16:AG16"/>
    <mergeCell ref="DZ15:EE15"/>
    <mergeCell ref="G16:G17"/>
    <mergeCell ref="H16:I16"/>
    <mergeCell ref="J16:K16"/>
    <mergeCell ref="L16:M16"/>
    <mergeCell ref="N16:O16"/>
    <mergeCell ref="T16:U16"/>
    <mergeCell ref="ED16:EE16"/>
    <mergeCell ref="J17:K17"/>
    <mergeCell ref="L17:M17"/>
    <mergeCell ref="N17:O17"/>
    <mergeCell ref="T17:U17"/>
    <mergeCell ref="V17:W17"/>
    <mergeCell ref="X17:Y17"/>
    <mergeCell ref="BB16:BC16"/>
    <mergeCell ref="BH16:BI16"/>
    <mergeCell ref="BJ16:BK16"/>
    <mergeCell ref="BL16:BM16"/>
    <mergeCell ref="DP14:DU14"/>
    <mergeCell ref="DZ14:EE14"/>
    <mergeCell ref="ED9:EE9"/>
    <mergeCell ref="D14:D17"/>
    <mergeCell ref="J14:L14"/>
    <mergeCell ref="M14:O14"/>
    <mergeCell ref="T14:V14"/>
    <mergeCell ref="W14:Y14"/>
    <mergeCell ref="AD14:AF14"/>
    <mergeCell ref="AG14:AI14"/>
    <mergeCell ref="AN14:AP14"/>
    <mergeCell ref="AQ14:AS14"/>
    <mergeCell ref="BL9:BM9"/>
    <mergeCell ref="DP9:DQ9"/>
    <mergeCell ref="DR9:DS9"/>
    <mergeCell ref="DT9:DU9"/>
    <mergeCell ref="DZ9:EA9"/>
    <mergeCell ref="EB9:EC9"/>
    <mergeCell ref="AR9:AS9"/>
    <mergeCell ref="AX9:AY9"/>
    <mergeCell ref="E15:E16"/>
    <mergeCell ref="F15:F16"/>
    <mergeCell ref="J15:O15"/>
    <mergeCell ref="T15:Y15"/>
    <mergeCell ref="DR8:DS8"/>
    <mergeCell ref="DT8:DU8"/>
    <mergeCell ref="DZ8:EA8"/>
    <mergeCell ref="EB8:EC8"/>
    <mergeCell ref="ED8:EE8"/>
    <mergeCell ref="J9:K9"/>
    <mergeCell ref="L9:M9"/>
    <mergeCell ref="N9:O9"/>
    <mergeCell ref="T9:U9"/>
    <mergeCell ref="V9:W9"/>
    <mergeCell ref="AZ8:BA8"/>
    <mergeCell ref="BB8:BC8"/>
    <mergeCell ref="BH8:BI8"/>
    <mergeCell ref="BJ8:BK8"/>
    <mergeCell ref="BL8:BM8"/>
    <mergeCell ref="DP8:DQ8"/>
    <mergeCell ref="AF8:AG8"/>
    <mergeCell ref="AH8:AI8"/>
    <mergeCell ref="AN8:AO8"/>
    <mergeCell ref="AP8:AQ8"/>
    <mergeCell ref="AR8:AS8"/>
    <mergeCell ref="AX8:AY8"/>
    <mergeCell ref="AZ9:BA9"/>
    <mergeCell ref="BB9:BC9"/>
    <mergeCell ref="DZ6:EE6"/>
    <mergeCell ref="E7:E8"/>
    <mergeCell ref="F7:F8"/>
    <mergeCell ref="J7:O7"/>
    <mergeCell ref="T7:Y7"/>
    <mergeCell ref="AD7:AI7"/>
    <mergeCell ref="AN7:AS7"/>
    <mergeCell ref="AX7:BC7"/>
    <mergeCell ref="BH7:BM7"/>
    <mergeCell ref="DP7:DU7"/>
    <mergeCell ref="AQ6:AS6"/>
    <mergeCell ref="AX6:AZ6"/>
    <mergeCell ref="BA6:BC6"/>
    <mergeCell ref="BH6:BJ6"/>
    <mergeCell ref="BK6:BM6"/>
    <mergeCell ref="DP6:DU6"/>
    <mergeCell ref="DZ7:EE7"/>
    <mergeCell ref="G8:G9"/>
    <mergeCell ref="H8:I8"/>
    <mergeCell ref="J8:K8"/>
    <mergeCell ref="L8:M8"/>
    <mergeCell ref="N8:O8"/>
    <mergeCell ref="T8:U8"/>
    <mergeCell ref="V8:W8"/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X8:Y8"/>
    <mergeCell ref="AD8:AE8"/>
    <mergeCell ref="BH9:BI9"/>
    <mergeCell ref="BJ9:BK9"/>
    <mergeCell ref="X9:Y9"/>
    <mergeCell ref="AD9:AE9"/>
    <mergeCell ref="AF9:AG9"/>
    <mergeCell ref="AH9:AI9"/>
    <mergeCell ref="AN9:AO9"/>
    <mergeCell ref="AP9:AQ9"/>
    <mergeCell ref="AX14:AZ14"/>
    <mergeCell ref="BA14:BC14"/>
    <mergeCell ref="BH14:BJ14"/>
    <mergeCell ref="BK14:BM14"/>
    <mergeCell ref="BH68:BJ68"/>
    <mergeCell ref="BK68:BM68"/>
    <mergeCell ref="BH69:BM69"/>
    <mergeCell ref="BH70:BI70"/>
    <mergeCell ref="BJ70:BK70"/>
    <mergeCell ref="BL70:BM70"/>
    <mergeCell ref="BH71:BI71"/>
    <mergeCell ref="BJ71:BK71"/>
    <mergeCell ref="BL71:BM71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EE100"/>
  <sheetViews>
    <sheetView topLeftCell="A4" zoomScaleNormal="100" workbookViewId="0">
      <selection activeCell="BS15" sqref="BS15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175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5" spans="2:135" ht="10.050000000000001" customHeight="1" thickBot="1" x14ac:dyDescent="0.35">
      <c r="B5" s="118" t="s">
        <v>4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121</v>
      </c>
      <c r="K6" s="25"/>
      <c r="L6" s="26"/>
      <c r="M6" s="38" t="s">
        <v>109</v>
      </c>
      <c r="N6" s="39"/>
      <c r="O6" s="40"/>
      <c r="P6" s="4"/>
      <c r="Q6" s="4"/>
      <c r="R6" s="4"/>
      <c r="S6" s="4"/>
      <c r="T6" s="24" t="s">
        <v>119</v>
      </c>
      <c r="U6" s="25"/>
      <c r="V6" s="26"/>
      <c r="W6" s="38" t="s">
        <v>109</v>
      </c>
      <c r="X6" s="39"/>
      <c r="Y6" s="40"/>
      <c r="Z6" s="4"/>
      <c r="AA6" s="4"/>
      <c r="AB6" s="4"/>
      <c r="AC6" s="4"/>
      <c r="AD6" s="24" t="s">
        <v>114</v>
      </c>
      <c r="AE6" s="25"/>
      <c r="AF6" s="26"/>
      <c r="AG6" s="38">
        <v>114</v>
      </c>
      <c r="AH6" s="39"/>
      <c r="AI6" s="40"/>
      <c r="AJ6" s="4"/>
      <c r="AK6" s="4"/>
      <c r="AL6" s="4"/>
      <c r="AM6" s="4"/>
      <c r="AN6" s="24" t="s">
        <v>90</v>
      </c>
      <c r="AO6" s="25"/>
      <c r="AP6" s="26"/>
      <c r="AQ6" s="27" t="s">
        <v>164</v>
      </c>
      <c r="AR6" s="28"/>
      <c r="AS6" s="29"/>
      <c r="AT6" s="4"/>
      <c r="AU6" s="4"/>
      <c r="AV6" s="4"/>
      <c r="AW6" s="4"/>
      <c r="AX6" s="24" t="s">
        <v>19</v>
      </c>
      <c r="AY6" s="25"/>
      <c r="AZ6" s="26"/>
      <c r="BA6" s="27" t="s">
        <v>33</v>
      </c>
      <c r="BB6" s="28"/>
      <c r="BC6" s="29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SUM(N8,X8,AH8,AR8,BB8,BL8)</f>
        <v>705</v>
      </c>
      <c r="H7" s="2"/>
      <c r="I7" s="2"/>
      <c r="J7" s="114" t="s">
        <v>21</v>
      </c>
      <c r="K7" s="115"/>
      <c r="L7" s="115"/>
      <c r="M7" s="115"/>
      <c r="N7" s="116"/>
      <c r="O7" s="117"/>
      <c r="P7" s="4"/>
      <c r="Q7" s="4"/>
      <c r="R7" s="4"/>
      <c r="S7" s="4"/>
      <c r="T7" s="114" t="s">
        <v>120</v>
      </c>
      <c r="U7" s="115"/>
      <c r="V7" s="115"/>
      <c r="W7" s="115"/>
      <c r="X7" s="116"/>
      <c r="Y7" s="117"/>
      <c r="Z7" s="4"/>
      <c r="AA7" s="4"/>
      <c r="AB7" s="4"/>
      <c r="AC7" s="4"/>
      <c r="AD7" s="30" t="s">
        <v>117</v>
      </c>
      <c r="AE7" s="31"/>
      <c r="AF7" s="31"/>
      <c r="AG7" s="31"/>
      <c r="AH7" s="32"/>
      <c r="AI7" s="33"/>
      <c r="AJ7" s="4"/>
      <c r="AK7" s="4"/>
      <c r="AL7" s="4"/>
      <c r="AM7" s="4"/>
      <c r="AN7" s="30" t="s">
        <v>165</v>
      </c>
      <c r="AO7" s="31"/>
      <c r="AP7" s="31"/>
      <c r="AQ7" s="31"/>
      <c r="AR7" s="32"/>
      <c r="AS7" s="33"/>
      <c r="AT7" s="4"/>
      <c r="AU7" s="4"/>
      <c r="AV7" s="4"/>
      <c r="AW7" s="4"/>
      <c r="AX7" s="53" t="s">
        <v>32</v>
      </c>
      <c r="AY7" s="54"/>
      <c r="AZ7" s="54"/>
      <c r="BA7" s="54"/>
      <c r="BB7" s="55"/>
      <c r="BC7" s="56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110">
        <v>2</v>
      </c>
      <c r="K8" s="111"/>
      <c r="L8" s="108">
        <v>2</v>
      </c>
      <c r="M8" s="111"/>
      <c r="N8" s="108">
        <v>90</v>
      </c>
      <c r="O8" s="109"/>
      <c r="P8" s="4"/>
      <c r="Q8" s="4"/>
      <c r="R8" s="4"/>
      <c r="S8" s="4"/>
      <c r="T8" s="110">
        <v>2</v>
      </c>
      <c r="U8" s="111"/>
      <c r="V8" s="108">
        <v>2</v>
      </c>
      <c r="W8" s="111"/>
      <c r="X8" s="108">
        <v>90</v>
      </c>
      <c r="Y8" s="109"/>
      <c r="Z8" s="4"/>
      <c r="AA8" s="4"/>
      <c r="AB8" s="4"/>
      <c r="AC8" s="4"/>
      <c r="AD8" s="34">
        <v>4</v>
      </c>
      <c r="AE8" s="35"/>
      <c r="AF8" s="36">
        <v>5</v>
      </c>
      <c r="AG8" s="35"/>
      <c r="AH8" s="36">
        <v>195</v>
      </c>
      <c r="AI8" s="37"/>
      <c r="AJ8" s="4"/>
      <c r="AK8" s="4"/>
      <c r="AL8" s="4"/>
      <c r="AM8" s="4"/>
      <c r="AN8" s="34">
        <v>3</v>
      </c>
      <c r="AO8" s="35"/>
      <c r="AP8" s="36">
        <v>4</v>
      </c>
      <c r="AQ8" s="35"/>
      <c r="AR8" s="36">
        <v>150</v>
      </c>
      <c r="AS8" s="37"/>
      <c r="AT8" s="4"/>
      <c r="AU8" s="4"/>
      <c r="AV8" s="4"/>
      <c r="AW8" s="4"/>
      <c r="AX8" s="57">
        <v>3</v>
      </c>
      <c r="AY8" s="58"/>
      <c r="AZ8" s="59">
        <v>6</v>
      </c>
      <c r="BA8" s="58"/>
      <c r="BB8" s="59">
        <v>180</v>
      </c>
      <c r="BC8" s="91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SUM(J8,T8,AD8,AN8,AX8,BH8,BR8)</f>
        <v>14</v>
      </c>
      <c r="F9" s="11">
        <f>SUM(J9:BW9)</f>
        <v>19</v>
      </c>
      <c r="G9" s="105"/>
      <c r="H9" s="2"/>
      <c r="I9" s="2"/>
      <c r="J9" s="112">
        <v>2</v>
      </c>
      <c r="K9" s="113"/>
      <c r="L9" s="106">
        <v>0</v>
      </c>
      <c r="M9" s="113"/>
      <c r="N9" s="106">
        <v>0</v>
      </c>
      <c r="O9" s="107"/>
      <c r="P9" s="4"/>
      <c r="Q9" s="4"/>
      <c r="R9" s="4"/>
      <c r="S9" s="4"/>
      <c r="T9" s="112">
        <v>2</v>
      </c>
      <c r="U9" s="113"/>
      <c r="V9" s="106">
        <v>0</v>
      </c>
      <c r="W9" s="113"/>
      <c r="X9" s="106">
        <v>0</v>
      </c>
      <c r="Y9" s="107"/>
      <c r="Z9" s="4"/>
      <c r="AA9" s="4"/>
      <c r="AB9" s="4"/>
      <c r="AC9" s="4"/>
      <c r="AD9" s="20">
        <v>3</v>
      </c>
      <c r="AE9" s="21"/>
      <c r="AF9" s="22">
        <v>2</v>
      </c>
      <c r="AG9" s="21"/>
      <c r="AH9" s="22">
        <v>0</v>
      </c>
      <c r="AI9" s="23"/>
      <c r="AJ9" s="4"/>
      <c r="AK9" s="4"/>
      <c r="AL9" s="4"/>
      <c r="AM9" s="4"/>
      <c r="AN9" s="20">
        <v>2</v>
      </c>
      <c r="AO9" s="21"/>
      <c r="AP9" s="22">
        <v>2</v>
      </c>
      <c r="AQ9" s="21"/>
      <c r="AR9" s="22">
        <v>0</v>
      </c>
      <c r="AS9" s="23"/>
      <c r="AT9" s="4"/>
      <c r="AU9" s="4"/>
      <c r="AV9" s="4"/>
      <c r="AW9" s="4"/>
      <c r="AX9" s="92">
        <v>3</v>
      </c>
      <c r="AY9" s="93"/>
      <c r="AZ9" s="70">
        <v>3</v>
      </c>
      <c r="BA9" s="93"/>
      <c r="BB9" s="70">
        <v>0</v>
      </c>
      <c r="BC9" s="71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122</v>
      </c>
      <c r="K14" s="25"/>
      <c r="L14" s="26"/>
      <c r="M14" s="38" t="s">
        <v>109</v>
      </c>
      <c r="N14" s="39"/>
      <c r="O14" s="40"/>
      <c r="P14" s="4"/>
      <c r="Q14" s="4"/>
      <c r="R14" s="4"/>
      <c r="S14" s="4"/>
      <c r="T14" s="24" t="s">
        <v>114</v>
      </c>
      <c r="U14" s="25"/>
      <c r="V14" s="26"/>
      <c r="W14" s="38">
        <v>313</v>
      </c>
      <c r="X14" s="39"/>
      <c r="Y14" s="40"/>
      <c r="Z14" s="4"/>
      <c r="AA14" s="4"/>
      <c r="AB14" s="4"/>
      <c r="AC14" s="4"/>
      <c r="AD14" s="24" t="s">
        <v>114</v>
      </c>
      <c r="AE14" s="25"/>
      <c r="AF14" s="26"/>
      <c r="AG14" s="38">
        <v>131</v>
      </c>
      <c r="AH14" s="39"/>
      <c r="AI14" s="40"/>
      <c r="AJ14" s="4"/>
      <c r="AK14" s="4"/>
      <c r="AL14" s="4"/>
      <c r="AM14" s="4"/>
      <c r="AN14" s="24" t="s">
        <v>19</v>
      </c>
      <c r="AO14" s="25"/>
      <c r="AP14" s="26"/>
      <c r="AQ14" s="38">
        <v>113</v>
      </c>
      <c r="AR14" s="39"/>
      <c r="AS14" s="40"/>
      <c r="AT14" s="4"/>
      <c r="AU14" s="4"/>
      <c r="AV14" s="4"/>
      <c r="AW14" s="4"/>
      <c r="AX14" s="24" t="s">
        <v>19</v>
      </c>
      <c r="AY14" s="25"/>
      <c r="AZ14" s="26"/>
      <c r="BA14" s="27" t="s">
        <v>35</v>
      </c>
      <c r="BB14" s="28"/>
      <c r="BC14" s="29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750</v>
      </c>
      <c r="H15" s="2"/>
      <c r="I15" s="2"/>
      <c r="J15" s="114" t="s">
        <v>123</v>
      </c>
      <c r="K15" s="115"/>
      <c r="L15" s="115"/>
      <c r="M15" s="115"/>
      <c r="N15" s="116"/>
      <c r="O15" s="117"/>
      <c r="P15" s="4"/>
      <c r="Q15" s="4"/>
      <c r="R15" s="4"/>
      <c r="S15" s="4"/>
      <c r="T15" s="30" t="s">
        <v>125</v>
      </c>
      <c r="U15" s="31"/>
      <c r="V15" s="31"/>
      <c r="W15" s="31"/>
      <c r="X15" s="32"/>
      <c r="Y15" s="33"/>
      <c r="Z15" s="4"/>
      <c r="AA15" s="4"/>
      <c r="AB15" s="4"/>
      <c r="AC15" s="4"/>
      <c r="AD15" s="30" t="s">
        <v>124</v>
      </c>
      <c r="AE15" s="31"/>
      <c r="AF15" s="31"/>
      <c r="AG15" s="31"/>
      <c r="AH15" s="32"/>
      <c r="AI15" s="33"/>
      <c r="AJ15" s="4"/>
      <c r="AK15" s="4"/>
      <c r="AL15" s="4"/>
      <c r="AM15" s="4"/>
      <c r="AN15" s="30" t="s">
        <v>24</v>
      </c>
      <c r="AO15" s="31"/>
      <c r="AP15" s="31"/>
      <c r="AQ15" s="31"/>
      <c r="AR15" s="32"/>
      <c r="AS15" s="33"/>
      <c r="AT15" s="4"/>
      <c r="AU15" s="4"/>
      <c r="AV15" s="4"/>
      <c r="AW15" s="4"/>
      <c r="AX15" s="53" t="s">
        <v>34</v>
      </c>
      <c r="AY15" s="54"/>
      <c r="AZ15" s="54"/>
      <c r="BA15" s="54"/>
      <c r="BB15" s="55"/>
      <c r="BC15" s="56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110">
        <v>2</v>
      </c>
      <c r="K16" s="111"/>
      <c r="L16" s="108">
        <v>2</v>
      </c>
      <c r="M16" s="111"/>
      <c r="N16" s="108">
        <v>90</v>
      </c>
      <c r="O16" s="109"/>
      <c r="P16" s="4"/>
      <c r="Q16" s="4"/>
      <c r="R16" s="4"/>
      <c r="S16" s="4"/>
      <c r="T16" s="34">
        <v>4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2</v>
      </c>
      <c r="AE16" s="35"/>
      <c r="AF16" s="36">
        <v>3</v>
      </c>
      <c r="AG16" s="35"/>
      <c r="AH16" s="36">
        <v>105</v>
      </c>
      <c r="AI16" s="37"/>
      <c r="AJ16" s="4"/>
      <c r="AK16" s="4"/>
      <c r="AL16" s="4"/>
      <c r="AM16" s="4"/>
      <c r="AN16" s="34">
        <v>3</v>
      </c>
      <c r="AO16" s="35"/>
      <c r="AP16" s="36">
        <v>6</v>
      </c>
      <c r="AQ16" s="35"/>
      <c r="AR16" s="36">
        <v>180</v>
      </c>
      <c r="AS16" s="37"/>
      <c r="AT16" s="4"/>
      <c r="AU16" s="4"/>
      <c r="AV16" s="4"/>
      <c r="AW16" s="4"/>
      <c r="AX16" s="57">
        <v>3</v>
      </c>
      <c r="AY16" s="58"/>
      <c r="AZ16" s="59">
        <v>6</v>
      </c>
      <c r="BA16" s="58"/>
      <c r="BB16" s="59">
        <v>180</v>
      </c>
      <c r="BC16" s="91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SUM(J16,T16,AD16,AN16,AX16,BH16,BR16)</f>
        <v>14</v>
      </c>
      <c r="F17" s="11">
        <f>SUM(J17:BW17)</f>
        <v>22</v>
      </c>
      <c r="G17" s="105"/>
      <c r="H17" s="2"/>
      <c r="I17" s="2"/>
      <c r="J17" s="112">
        <v>2</v>
      </c>
      <c r="K17" s="113"/>
      <c r="L17" s="106">
        <v>0</v>
      </c>
      <c r="M17" s="113"/>
      <c r="N17" s="106">
        <v>0</v>
      </c>
      <c r="O17" s="107"/>
      <c r="P17" s="4"/>
      <c r="Q17" s="4"/>
      <c r="R17" s="4"/>
      <c r="S17" s="4"/>
      <c r="T17" s="20">
        <v>3</v>
      </c>
      <c r="U17" s="21"/>
      <c r="V17" s="22">
        <v>2</v>
      </c>
      <c r="W17" s="21"/>
      <c r="X17" s="22">
        <v>0</v>
      </c>
      <c r="Y17" s="23"/>
      <c r="Z17" s="4"/>
      <c r="AA17" s="4"/>
      <c r="AB17" s="4"/>
      <c r="AC17" s="4"/>
      <c r="AD17" s="20">
        <v>1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20">
        <v>1</v>
      </c>
      <c r="AO17" s="21"/>
      <c r="AP17" s="22">
        <v>3</v>
      </c>
      <c r="AQ17" s="21"/>
      <c r="AR17" s="22">
        <v>2</v>
      </c>
      <c r="AS17" s="23"/>
      <c r="AT17" s="4"/>
      <c r="AU17" s="4"/>
      <c r="AV17" s="4"/>
      <c r="AW17" s="4"/>
      <c r="AX17" s="92">
        <v>3</v>
      </c>
      <c r="AY17" s="93"/>
      <c r="AZ17" s="70">
        <v>3</v>
      </c>
      <c r="BA17" s="93"/>
      <c r="BB17" s="70">
        <v>0</v>
      </c>
      <c r="BC17" s="71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3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127</v>
      </c>
      <c r="K24" s="25"/>
      <c r="L24" s="26"/>
      <c r="M24" s="38" t="s">
        <v>110</v>
      </c>
      <c r="N24" s="39"/>
      <c r="O24" s="40"/>
      <c r="P24" s="4"/>
      <c r="Q24" s="4"/>
      <c r="R24" s="4"/>
      <c r="S24" s="4"/>
      <c r="T24" s="24" t="s">
        <v>131</v>
      </c>
      <c r="U24" s="25"/>
      <c r="V24" s="26"/>
      <c r="W24" s="38" t="s">
        <v>110</v>
      </c>
      <c r="X24" s="39"/>
      <c r="Y24" s="40"/>
      <c r="Z24" s="4"/>
      <c r="AA24" s="4"/>
      <c r="AB24" s="4"/>
      <c r="AC24" s="4"/>
      <c r="AD24" s="24" t="s">
        <v>114</v>
      </c>
      <c r="AE24" s="25"/>
      <c r="AF24" s="26"/>
      <c r="AG24" s="38">
        <v>112</v>
      </c>
      <c r="AH24" s="39"/>
      <c r="AI24" s="40"/>
      <c r="AJ24" s="4"/>
      <c r="AK24" s="4"/>
      <c r="AL24" s="4"/>
      <c r="AM24" s="4"/>
      <c r="AN24" s="24" t="s">
        <v>114</v>
      </c>
      <c r="AO24" s="25"/>
      <c r="AP24" s="26"/>
      <c r="AQ24" s="38">
        <v>231</v>
      </c>
      <c r="AR24" s="39"/>
      <c r="AS24" s="40"/>
      <c r="AT24" s="4"/>
      <c r="AU24" s="4"/>
      <c r="AV24" s="4"/>
      <c r="AW24" s="4"/>
      <c r="AX24" s="24" t="s">
        <v>19</v>
      </c>
      <c r="AY24" s="25"/>
      <c r="AZ24" s="26"/>
      <c r="BA24" s="38">
        <v>111</v>
      </c>
      <c r="BB24" s="102"/>
      <c r="BC24" s="103"/>
      <c r="BD24" s="4"/>
      <c r="BE24" s="4"/>
      <c r="BF24" s="4"/>
      <c r="BG24" s="4"/>
      <c r="BH24" s="24" t="s">
        <v>19</v>
      </c>
      <c r="BI24" s="25"/>
      <c r="BJ24" s="26"/>
      <c r="BK24" s="38">
        <v>131</v>
      </c>
      <c r="BL24" s="102"/>
      <c r="BM24" s="103"/>
      <c r="BN24" s="4"/>
      <c r="BO24" s="4"/>
      <c r="BP24" s="4"/>
      <c r="BQ24" s="4"/>
      <c r="BR24" s="24" t="s">
        <v>19</v>
      </c>
      <c r="BS24" s="25"/>
      <c r="BT24" s="26"/>
      <c r="BU24" s="38">
        <v>191</v>
      </c>
      <c r="BV24" s="39"/>
      <c r="BW24" s="40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48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SUM(N26,X26,AH26,AR26,BB26,BL26,BV26)</f>
        <v>915</v>
      </c>
      <c r="H25" s="2"/>
      <c r="I25" s="2"/>
      <c r="J25" s="114" t="s">
        <v>128</v>
      </c>
      <c r="K25" s="115"/>
      <c r="L25" s="115"/>
      <c r="M25" s="115"/>
      <c r="N25" s="116"/>
      <c r="O25" s="117"/>
      <c r="P25" s="4"/>
      <c r="Q25" s="4"/>
      <c r="R25" s="4"/>
      <c r="S25" s="4"/>
      <c r="T25" s="114" t="s">
        <v>20</v>
      </c>
      <c r="U25" s="115"/>
      <c r="V25" s="115"/>
      <c r="W25" s="115"/>
      <c r="X25" s="116"/>
      <c r="Y25" s="117"/>
      <c r="Z25" s="4"/>
      <c r="AA25" s="4"/>
      <c r="AB25" s="4"/>
      <c r="AC25" s="4"/>
      <c r="AD25" s="30" t="s">
        <v>126</v>
      </c>
      <c r="AE25" s="31"/>
      <c r="AF25" s="31"/>
      <c r="AG25" s="31"/>
      <c r="AH25" s="32"/>
      <c r="AI25" s="33"/>
      <c r="AJ25" s="4"/>
      <c r="AK25" s="4"/>
      <c r="AL25" s="4"/>
      <c r="AM25" s="4"/>
      <c r="AN25" s="30" t="s">
        <v>148</v>
      </c>
      <c r="AO25" s="31"/>
      <c r="AP25" s="31"/>
      <c r="AQ25" s="31"/>
      <c r="AR25" s="32"/>
      <c r="AS25" s="33"/>
      <c r="AT25" s="4"/>
      <c r="AU25" s="4"/>
      <c r="AV25" s="4"/>
      <c r="AW25" s="4"/>
      <c r="AX25" s="53" t="s">
        <v>36</v>
      </c>
      <c r="AY25" s="54"/>
      <c r="AZ25" s="54"/>
      <c r="BA25" s="54"/>
      <c r="BB25" s="55"/>
      <c r="BC25" s="56"/>
      <c r="BD25" s="4"/>
      <c r="BE25" s="4"/>
      <c r="BF25" s="4"/>
      <c r="BG25" s="4"/>
      <c r="BH25" s="53" t="s">
        <v>37</v>
      </c>
      <c r="BI25" s="54"/>
      <c r="BJ25" s="54"/>
      <c r="BK25" s="54"/>
      <c r="BL25" s="55"/>
      <c r="BM25" s="56"/>
      <c r="BN25" s="4"/>
      <c r="BO25" s="4"/>
      <c r="BP25" s="4"/>
      <c r="BQ25" s="4"/>
      <c r="BR25" s="41" t="s">
        <v>156</v>
      </c>
      <c r="BS25" s="42"/>
      <c r="BT25" s="42"/>
      <c r="BU25" s="42"/>
      <c r="BV25" s="43"/>
      <c r="BW25" s="4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110">
        <v>2</v>
      </c>
      <c r="K26" s="111"/>
      <c r="L26" s="108">
        <v>2</v>
      </c>
      <c r="M26" s="111"/>
      <c r="N26" s="108">
        <v>90</v>
      </c>
      <c r="O26" s="109"/>
      <c r="P26" s="4"/>
      <c r="Q26" s="4"/>
      <c r="R26" s="4"/>
      <c r="S26" s="4"/>
      <c r="T26" s="110">
        <v>2</v>
      </c>
      <c r="U26" s="111"/>
      <c r="V26" s="108">
        <v>2</v>
      </c>
      <c r="W26" s="111"/>
      <c r="X26" s="108">
        <v>90</v>
      </c>
      <c r="Y26" s="109"/>
      <c r="Z26" s="4"/>
      <c r="AA26" s="4"/>
      <c r="AB26" s="4"/>
      <c r="AC26" s="4"/>
      <c r="AD26" s="34">
        <v>3</v>
      </c>
      <c r="AE26" s="35"/>
      <c r="AF26" s="36">
        <v>4</v>
      </c>
      <c r="AG26" s="35"/>
      <c r="AH26" s="36">
        <v>150</v>
      </c>
      <c r="AI26" s="37"/>
      <c r="AJ26" s="4"/>
      <c r="AK26" s="4"/>
      <c r="AL26" s="4"/>
      <c r="AM26" s="4"/>
      <c r="AN26" s="34">
        <v>3</v>
      </c>
      <c r="AO26" s="35"/>
      <c r="AP26" s="36">
        <v>4</v>
      </c>
      <c r="AQ26" s="35"/>
      <c r="AR26" s="36">
        <v>150</v>
      </c>
      <c r="AS26" s="37"/>
      <c r="AT26" s="4"/>
      <c r="AU26" s="4"/>
      <c r="AV26" s="4"/>
      <c r="AW26" s="4"/>
      <c r="AX26" s="57">
        <v>3</v>
      </c>
      <c r="AY26" s="58"/>
      <c r="AZ26" s="59">
        <v>6</v>
      </c>
      <c r="BA26" s="58"/>
      <c r="BB26" s="59">
        <v>180</v>
      </c>
      <c r="BC26" s="91"/>
      <c r="BD26" s="4"/>
      <c r="BE26" s="4"/>
      <c r="BF26" s="4"/>
      <c r="BG26" s="4"/>
      <c r="BH26" s="57">
        <v>3</v>
      </c>
      <c r="BI26" s="58"/>
      <c r="BJ26" s="59">
        <v>7</v>
      </c>
      <c r="BK26" s="58"/>
      <c r="BL26" s="59">
        <v>195</v>
      </c>
      <c r="BM26" s="91"/>
      <c r="BN26" s="4"/>
      <c r="BO26" s="4"/>
      <c r="BP26" s="4"/>
      <c r="BQ26" s="4"/>
      <c r="BR26" s="45">
        <v>2</v>
      </c>
      <c r="BS26" s="46"/>
      <c r="BT26" s="47">
        <v>2</v>
      </c>
      <c r="BU26" s="46"/>
      <c r="BV26" s="47">
        <v>60</v>
      </c>
      <c r="BW26" s="48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thickBot="1" x14ac:dyDescent="0.35">
      <c r="B27" s="118"/>
      <c r="C27" s="1"/>
      <c r="D27" s="119"/>
      <c r="E27" s="11">
        <f>SUM(J26,T26,AD26,AN26,AX26,BH26,BR26)</f>
        <v>18</v>
      </c>
      <c r="F27" s="11">
        <f>SUM(J27:BW27)</f>
        <v>27</v>
      </c>
      <c r="G27" s="105"/>
      <c r="H27" s="2"/>
      <c r="I27" s="2"/>
      <c r="J27" s="112">
        <v>2</v>
      </c>
      <c r="K27" s="113"/>
      <c r="L27" s="106">
        <v>0</v>
      </c>
      <c r="M27" s="113"/>
      <c r="N27" s="106">
        <v>0</v>
      </c>
      <c r="O27" s="107"/>
      <c r="P27" s="4"/>
      <c r="Q27" s="4"/>
      <c r="R27" s="4"/>
      <c r="S27" s="4"/>
      <c r="T27" s="112">
        <v>2</v>
      </c>
      <c r="U27" s="113"/>
      <c r="V27" s="106">
        <v>0</v>
      </c>
      <c r="W27" s="113"/>
      <c r="X27" s="106">
        <v>0</v>
      </c>
      <c r="Y27" s="107"/>
      <c r="Z27" s="4"/>
      <c r="AA27" s="4"/>
      <c r="AB27" s="4"/>
      <c r="AC27" s="4"/>
      <c r="AD27" s="20">
        <v>2</v>
      </c>
      <c r="AE27" s="21"/>
      <c r="AF27" s="22">
        <v>2</v>
      </c>
      <c r="AG27" s="21"/>
      <c r="AH27" s="22">
        <v>0</v>
      </c>
      <c r="AI27" s="23"/>
      <c r="AJ27" s="4"/>
      <c r="AK27" s="4"/>
      <c r="AL27" s="4"/>
      <c r="AM27" s="4"/>
      <c r="AN27" s="20">
        <v>2</v>
      </c>
      <c r="AO27" s="21"/>
      <c r="AP27" s="22">
        <v>2</v>
      </c>
      <c r="AQ27" s="21"/>
      <c r="AR27" s="22">
        <v>0</v>
      </c>
      <c r="AS27" s="23"/>
      <c r="AT27" s="4"/>
      <c r="AU27" s="4"/>
      <c r="AV27" s="4"/>
      <c r="AW27" s="4"/>
      <c r="AX27" s="92">
        <v>3</v>
      </c>
      <c r="AY27" s="93"/>
      <c r="AZ27" s="70">
        <v>3</v>
      </c>
      <c r="BA27" s="93"/>
      <c r="BB27" s="70">
        <v>0</v>
      </c>
      <c r="BC27" s="71"/>
      <c r="BD27" s="4"/>
      <c r="BE27" s="4"/>
      <c r="BF27" s="4"/>
      <c r="BG27" s="4"/>
      <c r="BH27" s="92">
        <v>3</v>
      </c>
      <c r="BI27" s="93"/>
      <c r="BJ27" s="70">
        <v>2</v>
      </c>
      <c r="BK27" s="93"/>
      <c r="BL27" s="70">
        <v>2</v>
      </c>
      <c r="BM27" s="71"/>
      <c r="BN27" s="4"/>
      <c r="BO27" s="4"/>
      <c r="BP27" s="4"/>
      <c r="BQ27" s="4"/>
      <c r="BR27" s="49">
        <v>2</v>
      </c>
      <c r="BS27" s="50"/>
      <c r="BT27" s="51">
        <v>0</v>
      </c>
      <c r="BU27" s="50"/>
      <c r="BV27" s="51">
        <v>0</v>
      </c>
      <c r="BW27" s="52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129</v>
      </c>
      <c r="K32" s="25"/>
      <c r="L32" s="26"/>
      <c r="M32" s="38" t="s">
        <v>110</v>
      </c>
      <c r="N32" s="39"/>
      <c r="O32" s="40"/>
      <c r="P32" s="4"/>
      <c r="Q32" s="4"/>
      <c r="R32" s="4"/>
      <c r="S32" s="4"/>
      <c r="T32" s="24" t="s">
        <v>19</v>
      </c>
      <c r="U32" s="25"/>
      <c r="V32" s="26"/>
      <c r="W32" s="38">
        <v>315</v>
      </c>
      <c r="X32" s="39"/>
      <c r="Y32" s="40"/>
      <c r="Z32" s="4"/>
      <c r="AA32" s="4"/>
      <c r="AB32" s="4"/>
      <c r="AC32" s="4"/>
      <c r="AD32" s="24" t="s">
        <v>19</v>
      </c>
      <c r="AE32" s="25"/>
      <c r="AF32" s="26"/>
      <c r="AG32" s="38">
        <v>112</v>
      </c>
      <c r="AH32" s="102"/>
      <c r="AI32" s="103"/>
      <c r="AJ32" s="4"/>
      <c r="AK32" s="4"/>
      <c r="AL32" s="4"/>
      <c r="AM32" s="4"/>
      <c r="AN32" s="24" t="s">
        <v>19</v>
      </c>
      <c r="AO32" s="25"/>
      <c r="AP32" s="26"/>
      <c r="AQ32" s="38">
        <v>221</v>
      </c>
      <c r="AR32" s="102"/>
      <c r="AS32" s="103"/>
      <c r="AT32" s="4"/>
      <c r="AU32" s="4"/>
      <c r="AV32" s="4"/>
      <c r="AW32" s="4"/>
      <c r="AX32" s="24" t="s">
        <v>19</v>
      </c>
      <c r="AY32" s="25"/>
      <c r="AZ32" s="26"/>
      <c r="BA32" s="38">
        <v>132</v>
      </c>
      <c r="BB32" s="102"/>
      <c r="BC32" s="103"/>
      <c r="BD32" s="4"/>
      <c r="BE32" s="4"/>
      <c r="BF32" s="4"/>
      <c r="BG32" s="4"/>
      <c r="BH32" s="24" t="s">
        <v>19</v>
      </c>
      <c r="BI32" s="25"/>
      <c r="BJ32" s="26"/>
      <c r="BK32" s="38">
        <v>251</v>
      </c>
      <c r="BL32" s="102"/>
      <c r="BM32" s="103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945</v>
      </c>
      <c r="H33" s="2"/>
      <c r="I33" s="2"/>
      <c r="J33" s="114" t="s">
        <v>130</v>
      </c>
      <c r="K33" s="115"/>
      <c r="L33" s="115"/>
      <c r="M33" s="115"/>
      <c r="N33" s="116"/>
      <c r="O33" s="117"/>
      <c r="P33" s="4"/>
      <c r="Q33" s="4"/>
      <c r="R33" s="4"/>
      <c r="S33" s="4"/>
      <c r="T33" s="30" t="s">
        <v>26</v>
      </c>
      <c r="U33" s="31"/>
      <c r="V33" s="31"/>
      <c r="W33" s="31"/>
      <c r="X33" s="32"/>
      <c r="Y33" s="33"/>
      <c r="Z33" s="4"/>
      <c r="AA33" s="4"/>
      <c r="AB33" s="4"/>
      <c r="AC33" s="4"/>
      <c r="AD33" s="53" t="s">
        <v>38</v>
      </c>
      <c r="AE33" s="54"/>
      <c r="AF33" s="54"/>
      <c r="AG33" s="54"/>
      <c r="AH33" s="55"/>
      <c r="AI33" s="56"/>
      <c r="AJ33" s="4"/>
      <c r="AK33" s="4"/>
      <c r="AL33" s="4"/>
      <c r="AM33" s="4"/>
      <c r="AN33" s="53" t="s">
        <v>43</v>
      </c>
      <c r="AO33" s="54"/>
      <c r="AP33" s="54"/>
      <c r="AQ33" s="54"/>
      <c r="AR33" s="55"/>
      <c r="AS33" s="56"/>
      <c r="AT33" s="4"/>
      <c r="AU33" s="4"/>
      <c r="AV33" s="4"/>
      <c r="AW33" s="4"/>
      <c r="AX33" s="53" t="s">
        <v>39</v>
      </c>
      <c r="AY33" s="54"/>
      <c r="AZ33" s="54"/>
      <c r="BA33" s="54"/>
      <c r="BB33" s="55"/>
      <c r="BC33" s="56"/>
      <c r="BD33" s="4"/>
      <c r="BE33" s="4"/>
      <c r="BF33" s="4"/>
      <c r="BG33" s="4"/>
      <c r="BH33" s="53" t="s">
        <v>67</v>
      </c>
      <c r="BI33" s="54"/>
      <c r="BJ33" s="54"/>
      <c r="BK33" s="54"/>
      <c r="BL33" s="55"/>
      <c r="BM33" s="56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110">
        <v>2</v>
      </c>
      <c r="K34" s="111"/>
      <c r="L34" s="108">
        <v>2</v>
      </c>
      <c r="M34" s="111"/>
      <c r="N34" s="108">
        <v>90</v>
      </c>
      <c r="O34" s="109"/>
      <c r="P34" s="4"/>
      <c r="Q34" s="4"/>
      <c r="R34" s="4"/>
      <c r="S34" s="4"/>
      <c r="T34" s="34">
        <v>3</v>
      </c>
      <c r="U34" s="35"/>
      <c r="V34" s="36">
        <v>4</v>
      </c>
      <c r="W34" s="35"/>
      <c r="X34" s="36">
        <v>150</v>
      </c>
      <c r="Y34" s="37"/>
      <c r="Z34" s="4"/>
      <c r="AA34" s="4"/>
      <c r="AB34" s="4"/>
      <c r="AC34" s="4"/>
      <c r="AD34" s="57">
        <v>3</v>
      </c>
      <c r="AE34" s="58"/>
      <c r="AF34" s="59">
        <v>6</v>
      </c>
      <c r="AG34" s="58"/>
      <c r="AH34" s="59">
        <v>180</v>
      </c>
      <c r="AI34" s="91"/>
      <c r="AJ34" s="4"/>
      <c r="AK34" s="4"/>
      <c r="AL34" s="4"/>
      <c r="AM34" s="4"/>
      <c r="AN34" s="57">
        <v>3</v>
      </c>
      <c r="AO34" s="58"/>
      <c r="AP34" s="59">
        <v>6</v>
      </c>
      <c r="AQ34" s="58"/>
      <c r="AR34" s="59">
        <v>180</v>
      </c>
      <c r="AS34" s="91"/>
      <c r="AT34" s="4"/>
      <c r="AU34" s="4"/>
      <c r="AV34" s="4"/>
      <c r="AW34" s="4"/>
      <c r="AX34" s="57">
        <v>3</v>
      </c>
      <c r="AY34" s="58"/>
      <c r="AZ34" s="59">
        <v>5</v>
      </c>
      <c r="BA34" s="58"/>
      <c r="BB34" s="59">
        <v>165</v>
      </c>
      <c r="BC34" s="91"/>
      <c r="BD34" s="4"/>
      <c r="BE34" s="4"/>
      <c r="BF34" s="4"/>
      <c r="BG34" s="4"/>
      <c r="BH34" s="57">
        <v>3</v>
      </c>
      <c r="BI34" s="58"/>
      <c r="BJ34" s="59">
        <v>6</v>
      </c>
      <c r="BK34" s="58"/>
      <c r="BL34" s="59">
        <v>180</v>
      </c>
      <c r="BM34" s="91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SUM(J34,T34,AD34,AN34,AX34,BH34,BR34)</f>
        <v>17</v>
      </c>
      <c r="F35" s="11">
        <f>L34+V34+AF34+AP34+AZ34+BJ34+BT34</f>
        <v>29</v>
      </c>
      <c r="G35" s="105"/>
      <c r="H35" s="2"/>
      <c r="I35" s="2"/>
      <c r="J35" s="112">
        <v>2</v>
      </c>
      <c r="K35" s="113"/>
      <c r="L35" s="106">
        <v>0</v>
      </c>
      <c r="M35" s="113"/>
      <c r="N35" s="106">
        <v>0</v>
      </c>
      <c r="O35" s="107"/>
      <c r="P35" s="4"/>
      <c r="Q35" s="4"/>
      <c r="R35" s="4"/>
      <c r="S35" s="4"/>
      <c r="T35" s="20">
        <v>2</v>
      </c>
      <c r="U35" s="21"/>
      <c r="V35" s="22">
        <v>0</v>
      </c>
      <c r="W35" s="21"/>
      <c r="X35" s="22">
        <v>2</v>
      </c>
      <c r="Y35" s="23"/>
      <c r="Z35" s="4"/>
      <c r="AA35" s="4"/>
      <c r="AB35" s="4"/>
      <c r="AC35" s="4"/>
      <c r="AD35" s="92">
        <v>3</v>
      </c>
      <c r="AE35" s="93"/>
      <c r="AF35" s="70">
        <v>3</v>
      </c>
      <c r="AG35" s="93"/>
      <c r="AH35" s="70">
        <v>0</v>
      </c>
      <c r="AI35" s="71"/>
      <c r="AJ35" s="4"/>
      <c r="AK35" s="4"/>
      <c r="AL35" s="4"/>
      <c r="AM35" s="4"/>
      <c r="AN35" s="92">
        <v>3</v>
      </c>
      <c r="AO35" s="93"/>
      <c r="AP35" s="70">
        <v>3</v>
      </c>
      <c r="AQ35" s="93"/>
      <c r="AR35" s="70">
        <v>0</v>
      </c>
      <c r="AS35" s="71"/>
      <c r="AT35" s="4"/>
      <c r="AU35" s="4"/>
      <c r="AV35" s="4"/>
      <c r="AW35" s="4"/>
      <c r="AX35" s="92">
        <v>3</v>
      </c>
      <c r="AY35" s="93"/>
      <c r="AZ35" s="70">
        <v>2</v>
      </c>
      <c r="BA35" s="93"/>
      <c r="BB35" s="70">
        <v>0</v>
      </c>
      <c r="BC35" s="71"/>
      <c r="BD35" s="4"/>
      <c r="BE35" s="4"/>
      <c r="BF35" s="4"/>
      <c r="BG35" s="4"/>
      <c r="BH35" s="92">
        <v>3</v>
      </c>
      <c r="BI35" s="93"/>
      <c r="BJ35" s="70">
        <v>3</v>
      </c>
      <c r="BK35" s="93"/>
      <c r="BL35" s="70">
        <v>0</v>
      </c>
      <c r="BM35" s="71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2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133</v>
      </c>
      <c r="K42" s="25"/>
      <c r="L42" s="26"/>
      <c r="M42" s="38" t="s">
        <v>110</v>
      </c>
      <c r="N42" s="39"/>
      <c r="O42" s="40"/>
      <c r="P42" s="4"/>
      <c r="Q42" s="4"/>
      <c r="R42" s="4"/>
      <c r="S42" s="4"/>
      <c r="T42" s="24" t="s">
        <v>19</v>
      </c>
      <c r="U42" s="25"/>
      <c r="V42" s="26"/>
      <c r="W42" s="38">
        <v>233</v>
      </c>
      <c r="X42" s="102"/>
      <c r="Y42" s="103"/>
      <c r="Z42" s="4"/>
      <c r="AA42" s="4"/>
      <c r="AB42" s="4"/>
      <c r="AC42" s="4"/>
      <c r="AD42" s="24" t="s">
        <v>19</v>
      </c>
      <c r="AE42" s="25"/>
      <c r="AF42" s="26"/>
      <c r="AG42" s="38">
        <v>261</v>
      </c>
      <c r="AH42" s="102"/>
      <c r="AI42" s="103"/>
      <c r="AJ42" s="4"/>
      <c r="AK42" s="4"/>
      <c r="AL42" s="4"/>
      <c r="AM42" s="4"/>
      <c r="AN42" s="24" t="s">
        <v>19</v>
      </c>
      <c r="AO42" s="25"/>
      <c r="AP42" s="26"/>
      <c r="AQ42" s="38">
        <v>211</v>
      </c>
      <c r="AR42" s="102"/>
      <c r="AS42" s="103"/>
      <c r="AT42" s="4"/>
      <c r="AU42" s="4"/>
      <c r="AV42" s="4"/>
      <c r="AW42" s="4"/>
      <c r="AX42" s="24" t="s">
        <v>48</v>
      </c>
      <c r="AY42" s="25"/>
      <c r="AZ42" s="26"/>
      <c r="BA42" s="38">
        <v>111</v>
      </c>
      <c r="BB42" s="39"/>
      <c r="BC42" s="40"/>
      <c r="BD42" s="4"/>
      <c r="BE42" s="4"/>
      <c r="BF42" s="4"/>
      <c r="BG42" s="4"/>
      <c r="BH42" s="24" t="s">
        <v>19</v>
      </c>
      <c r="BI42" s="25"/>
      <c r="BJ42" s="26"/>
      <c r="BK42" s="38">
        <v>281</v>
      </c>
      <c r="BL42" s="102"/>
      <c r="BM42" s="103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945</v>
      </c>
      <c r="H43" s="2"/>
      <c r="I43" s="2"/>
      <c r="J43" s="114" t="s">
        <v>132</v>
      </c>
      <c r="K43" s="115"/>
      <c r="L43" s="115"/>
      <c r="M43" s="115"/>
      <c r="N43" s="116"/>
      <c r="O43" s="117"/>
      <c r="P43" s="4"/>
      <c r="Q43" s="4"/>
      <c r="R43" s="4"/>
      <c r="S43" s="4"/>
      <c r="T43" s="53" t="s">
        <v>40</v>
      </c>
      <c r="U43" s="54"/>
      <c r="V43" s="54"/>
      <c r="W43" s="54"/>
      <c r="X43" s="55"/>
      <c r="Y43" s="56"/>
      <c r="Z43" s="4"/>
      <c r="AA43" s="4"/>
      <c r="AB43" s="4"/>
      <c r="AC43" s="4"/>
      <c r="AD43" s="53" t="s">
        <v>41</v>
      </c>
      <c r="AE43" s="54"/>
      <c r="AF43" s="54"/>
      <c r="AG43" s="54"/>
      <c r="AH43" s="55"/>
      <c r="AI43" s="56"/>
      <c r="AJ43" s="4"/>
      <c r="AK43" s="4"/>
      <c r="AL43" s="4"/>
      <c r="AM43" s="4"/>
      <c r="AN43" s="53" t="s">
        <v>66</v>
      </c>
      <c r="AO43" s="54"/>
      <c r="AP43" s="54"/>
      <c r="AQ43" s="54"/>
      <c r="AR43" s="55"/>
      <c r="AS43" s="56"/>
      <c r="AT43" s="4"/>
      <c r="AU43" s="4"/>
      <c r="AV43" s="4"/>
      <c r="AW43" s="4"/>
      <c r="AX43" s="146" t="s">
        <v>47</v>
      </c>
      <c r="AY43" s="147"/>
      <c r="AZ43" s="147"/>
      <c r="BA43" s="147"/>
      <c r="BB43" s="148"/>
      <c r="BC43" s="149"/>
      <c r="BD43" s="4"/>
      <c r="BE43" s="4"/>
      <c r="BF43" s="4"/>
      <c r="BG43" s="4"/>
      <c r="BH43" s="94" t="s">
        <v>42</v>
      </c>
      <c r="BI43" s="95"/>
      <c r="BJ43" s="95"/>
      <c r="BK43" s="95"/>
      <c r="BL43" s="96"/>
      <c r="BM43" s="97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110">
        <v>2</v>
      </c>
      <c r="K44" s="111"/>
      <c r="L44" s="108">
        <v>2</v>
      </c>
      <c r="M44" s="111"/>
      <c r="N44" s="108">
        <v>90</v>
      </c>
      <c r="O44" s="109"/>
      <c r="P44" s="4"/>
      <c r="Q44" s="4"/>
      <c r="R44" s="4"/>
      <c r="S44" s="4"/>
      <c r="T44" s="57">
        <v>3</v>
      </c>
      <c r="U44" s="58"/>
      <c r="V44" s="59">
        <v>5</v>
      </c>
      <c r="W44" s="58"/>
      <c r="X44" s="59">
        <v>165</v>
      </c>
      <c r="Y44" s="91"/>
      <c r="Z44" s="4"/>
      <c r="AA44" s="4"/>
      <c r="AB44" s="4"/>
      <c r="AC44" s="4"/>
      <c r="AD44" s="57">
        <v>3</v>
      </c>
      <c r="AE44" s="58"/>
      <c r="AF44" s="59">
        <v>5</v>
      </c>
      <c r="AG44" s="58"/>
      <c r="AH44" s="59">
        <v>165</v>
      </c>
      <c r="AI44" s="91"/>
      <c r="AJ44" s="4"/>
      <c r="AK44" s="4"/>
      <c r="AL44" s="4"/>
      <c r="AM44" s="4"/>
      <c r="AN44" s="57">
        <v>3</v>
      </c>
      <c r="AO44" s="58"/>
      <c r="AP44" s="59">
        <v>5</v>
      </c>
      <c r="AQ44" s="58"/>
      <c r="AR44" s="59">
        <v>165</v>
      </c>
      <c r="AS44" s="91"/>
      <c r="AT44" s="4"/>
      <c r="AU44" s="4"/>
      <c r="AV44" s="4"/>
      <c r="AW44" s="4"/>
      <c r="AX44" s="138">
        <v>3</v>
      </c>
      <c r="AY44" s="139"/>
      <c r="AZ44" s="140">
        <v>6</v>
      </c>
      <c r="BA44" s="139"/>
      <c r="BB44" s="140">
        <v>180</v>
      </c>
      <c r="BC44" s="141"/>
      <c r="BD44" s="4"/>
      <c r="BE44" s="4"/>
      <c r="BF44" s="4"/>
      <c r="BG44" s="4"/>
      <c r="BH44" s="98">
        <v>3</v>
      </c>
      <c r="BI44" s="99"/>
      <c r="BJ44" s="100">
        <v>6</v>
      </c>
      <c r="BK44" s="99"/>
      <c r="BL44" s="100">
        <v>180</v>
      </c>
      <c r="BM44" s="101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17</v>
      </c>
      <c r="F45" s="11">
        <f>SUM(J45:BM45)</f>
        <v>29</v>
      </c>
      <c r="G45" s="105"/>
      <c r="H45" s="2"/>
      <c r="I45" s="2"/>
      <c r="J45" s="112">
        <v>2</v>
      </c>
      <c r="K45" s="113"/>
      <c r="L45" s="106">
        <v>0</v>
      </c>
      <c r="M45" s="113"/>
      <c r="N45" s="106">
        <v>0</v>
      </c>
      <c r="O45" s="107"/>
      <c r="P45" s="4"/>
      <c r="Q45" s="4"/>
      <c r="R45" s="4"/>
      <c r="S45" s="4"/>
      <c r="T45" s="92">
        <v>3</v>
      </c>
      <c r="U45" s="93"/>
      <c r="V45" s="70">
        <v>2</v>
      </c>
      <c r="W45" s="93"/>
      <c r="X45" s="70">
        <v>0</v>
      </c>
      <c r="Y45" s="71"/>
      <c r="Z45" s="4"/>
      <c r="AA45" s="4"/>
      <c r="AB45" s="4"/>
      <c r="AC45" s="4"/>
      <c r="AD45" s="92">
        <v>3</v>
      </c>
      <c r="AE45" s="93"/>
      <c r="AF45" s="70">
        <v>2</v>
      </c>
      <c r="AG45" s="93"/>
      <c r="AH45" s="70">
        <v>0</v>
      </c>
      <c r="AI45" s="71"/>
      <c r="AJ45" s="4"/>
      <c r="AK45" s="4"/>
      <c r="AL45" s="4"/>
      <c r="AM45" s="4"/>
      <c r="AN45" s="92">
        <v>3</v>
      </c>
      <c r="AO45" s="93"/>
      <c r="AP45" s="70">
        <v>2</v>
      </c>
      <c r="AQ45" s="93"/>
      <c r="AR45" s="70">
        <v>0</v>
      </c>
      <c r="AS45" s="71"/>
      <c r="AT45" s="4"/>
      <c r="AU45" s="4"/>
      <c r="AV45" s="4"/>
      <c r="AW45" s="4"/>
      <c r="AX45" s="142">
        <v>3</v>
      </c>
      <c r="AY45" s="143"/>
      <c r="AZ45" s="144">
        <v>3</v>
      </c>
      <c r="BA45" s="143"/>
      <c r="BB45" s="144">
        <v>0</v>
      </c>
      <c r="BC45" s="145"/>
      <c r="BD45" s="4"/>
      <c r="BE45" s="4"/>
      <c r="BF45" s="4"/>
      <c r="BG45" s="4"/>
      <c r="BH45" s="72">
        <v>3</v>
      </c>
      <c r="BI45" s="73"/>
      <c r="BJ45" s="68">
        <v>3</v>
      </c>
      <c r="BK45" s="73"/>
      <c r="BL45" s="68">
        <v>0</v>
      </c>
      <c r="BM45" s="69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135</v>
      </c>
      <c r="K50" s="25"/>
      <c r="L50" s="26"/>
      <c r="M50" s="38" t="s">
        <v>111</v>
      </c>
      <c r="N50" s="39"/>
      <c r="O50" s="40"/>
      <c r="P50" s="4"/>
      <c r="Q50" s="4"/>
      <c r="R50" s="4"/>
      <c r="S50" s="4"/>
      <c r="T50" s="24" t="s">
        <v>144</v>
      </c>
      <c r="U50" s="25"/>
      <c r="V50" s="26"/>
      <c r="W50" s="38" t="s">
        <v>111</v>
      </c>
      <c r="X50" s="39"/>
      <c r="Y50" s="40"/>
      <c r="Z50" s="4"/>
      <c r="AA50" s="4"/>
      <c r="AB50" s="4"/>
      <c r="AC50" s="4"/>
      <c r="AD50" s="24" t="s">
        <v>19</v>
      </c>
      <c r="AE50" s="25"/>
      <c r="AF50" s="26"/>
      <c r="AG50" s="38">
        <v>212</v>
      </c>
      <c r="AH50" s="102"/>
      <c r="AI50" s="103"/>
      <c r="AJ50" s="4"/>
      <c r="AK50" s="4"/>
      <c r="AL50" s="4"/>
      <c r="AM50" s="4"/>
      <c r="AN50" s="24" t="s">
        <v>19</v>
      </c>
      <c r="AO50" s="25"/>
      <c r="AP50" s="26"/>
      <c r="AQ50" s="38">
        <v>352</v>
      </c>
      <c r="AR50" s="102"/>
      <c r="AS50" s="103"/>
      <c r="AT50" s="4"/>
      <c r="AU50" s="4"/>
      <c r="AV50" s="4"/>
      <c r="AW50" s="4"/>
      <c r="AX50" s="24" t="s">
        <v>48</v>
      </c>
      <c r="AY50" s="25"/>
      <c r="AZ50" s="26"/>
      <c r="BA50" s="38">
        <v>121</v>
      </c>
      <c r="BB50" s="39"/>
      <c r="BC50" s="40"/>
      <c r="BD50" s="4"/>
      <c r="BE50" s="4"/>
      <c r="BF50" s="4"/>
      <c r="BG50" s="4"/>
      <c r="BH50" s="24" t="s">
        <v>19</v>
      </c>
      <c r="BI50" s="25"/>
      <c r="BJ50" s="26"/>
      <c r="BK50" s="38">
        <v>382</v>
      </c>
      <c r="BL50" s="102"/>
      <c r="BM50" s="103"/>
      <c r="BN50" s="4"/>
      <c r="BO50" s="4"/>
      <c r="BP50" s="4"/>
      <c r="BQ50" s="4"/>
      <c r="BR50" s="24" t="s">
        <v>19</v>
      </c>
      <c r="BS50" s="25"/>
      <c r="BT50" s="26"/>
      <c r="BU50" s="38">
        <v>292</v>
      </c>
      <c r="BV50" s="39"/>
      <c r="BW50" s="40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SUM(N52,X52,AH52,AR52,BB52,BL52,BV52)</f>
        <v>945</v>
      </c>
      <c r="H51" s="2"/>
      <c r="I51" s="2"/>
      <c r="J51" s="114" t="s">
        <v>134</v>
      </c>
      <c r="K51" s="115"/>
      <c r="L51" s="115"/>
      <c r="M51" s="115"/>
      <c r="N51" s="116"/>
      <c r="O51" s="117"/>
      <c r="P51" s="4"/>
      <c r="Q51" s="4"/>
      <c r="R51" s="4"/>
      <c r="S51" s="4"/>
      <c r="T51" s="114" t="s">
        <v>106</v>
      </c>
      <c r="U51" s="115"/>
      <c r="V51" s="115"/>
      <c r="W51" s="115"/>
      <c r="X51" s="116"/>
      <c r="Y51" s="117"/>
      <c r="Z51" s="4"/>
      <c r="AA51" s="4"/>
      <c r="AB51" s="4"/>
      <c r="AC51" s="4"/>
      <c r="AD51" s="53" t="s">
        <v>86</v>
      </c>
      <c r="AE51" s="54"/>
      <c r="AF51" s="54"/>
      <c r="AG51" s="54"/>
      <c r="AH51" s="55"/>
      <c r="AI51" s="56"/>
      <c r="AJ51" s="4"/>
      <c r="AK51" s="4"/>
      <c r="AL51" s="4"/>
      <c r="AM51" s="4"/>
      <c r="AN51" s="53" t="s">
        <v>91</v>
      </c>
      <c r="AO51" s="54"/>
      <c r="AP51" s="54"/>
      <c r="AQ51" s="54"/>
      <c r="AR51" s="55"/>
      <c r="AS51" s="56"/>
      <c r="AT51" s="4"/>
      <c r="AU51" s="4"/>
      <c r="AV51" s="4"/>
      <c r="AW51" s="4"/>
      <c r="AX51" s="146" t="s">
        <v>49</v>
      </c>
      <c r="AY51" s="147"/>
      <c r="AZ51" s="147"/>
      <c r="BA51" s="147"/>
      <c r="BB51" s="148"/>
      <c r="BC51" s="149"/>
      <c r="BD51" s="4"/>
      <c r="BE51" s="4"/>
      <c r="BF51" s="4"/>
      <c r="BG51" s="4"/>
      <c r="BH51" s="94" t="s">
        <v>92</v>
      </c>
      <c r="BI51" s="95"/>
      <c r="BJ51" s="95"/>
      <c r="BK51" s="95"/>
      <c r="BL51" s="96"/>
      <c r="BM51" s="97"/>
      <c r="BN51" s="4"/>
      <c r="BO51" s="4"/>
      <c r="BP51" s="4"/>
      <c r="BQ51" s="4"/>
      <c r="BR51" s="41" t="s">
        <v>157</v>
      </c>
      <c r="BS51" s="42"/>
      <c r="BT51" s="42"/>
      <c r="BU51" s="42"/>
      <c r="BV51" s="43"/>
      <c r="BW51" s="4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110">
        <v>2</v>
      </c>
      <c r="K52" s="111"/>
      <c r="L52" s="108">
        <v>2</v>
      </c>
      <c r="M52" s="111"/>
      <c r="N52" s="108">
        <v>90</v>
      </c>
      <c r="O52" s="109"/>
      <c r="P52" s="4"/>
      <c r="Q52" s="4"/>
      <c r="R52" s="4"/>
      <c r="S52" s="4"/>
      <c r="T52" s="110">
        <v>2</v>
      </c>
      <c r="U52" s="111"/>
      <c r="V52" s="108">
        <v>2</v>
      </c>
      <c r="W52" s="111"/>
      <c r="X52" s="108">
        <v>90</v>
      </c>
      <c r="Y52" s="109"/>
      <c r="Z52" s="4"/>
      <c r="AA52" s="4"/>
      <c r="AB52" s="4"/>
      <c r="AC52" s="4"/>
      <c r="AD52" s="57">
        <v>3</v>
      </c>
      <c r="AE52" s="58"/>
      <c r="AF52" s="59">
        <v>6</v>
      </c>
      <c r="AG52" s="58"/>
      <c r="AH52" s="59">
        <v>180</v>
      </c>
      <c r="AI52" s="91"/>
      <c r="AJ52" s="4"/>
      <c r="AK52" s="4"/>
      <c r="AL52" s="4"/>
      <c r="AM52" s="4"/>
      <c r="AN52" s="57">
        <v>3</v>
      </c>
      <c r="AO52" s="58"/>
      <c r="AP52" s="59">
        <v>5</v>
      </c>
      <c r="AQ52" s="58"/>
      <c r="AR52" s="59">
        <v>165</v>
      </c>
      <c r="AS52" s="91"/>
      <c r="AT52" s="4"/>
      <c r="AU52" s="4"/>
      <c r="AV52" s="4"/>
      <c r="AW52" s="4"/>
      <c r="AX52" s="138">
        <v>3</v>
      </c>
      <c r="AY52" s="139"/>
      <c r="AZ52" s="140">
        <v>6</v>
      </c>
      <c r="BA52" s="139"/>
      <c r="BB52" s="140">
        <v>180</v>
      </c>
      <c r="BC52" s="141"/>
      <c r="BD52" s="4"/>
      <c r="BE52" s="4"/>
      <c r="BF52" s="4"/>
      <c r="BG52" s="4"/>
      <c r="BH52" s="98">
        <v>3</v>
      </c>
      <c r="BI52" s="99"/>
      <c r="BJ52" s="100">
        <v>6</v>
      </c>
      <c r="BK52" s="99"/>
      <c r="BL52" s="100">
        <v>180</v>
      </c>
      <c r="BM52" s="101"/>
      <c r="BN52" s="4"/>
      <c r="BO52" s="4"/>
      <c r="BP52" s="4"/>
      <c r="BQ52" s="4"/>
      <c r="BR52" s="45">
        <v>2</v>
      </c>
      <c r="BS52" s="46"/>
      <c r="BT52" s="47">
        <v>2</v>
      </c>
      <c r="BU52" s="46"/>
      <c r="BV52" s="47">
        <v>60</v>
      </c>
      <c r="BW52" s="48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J52+T52+AD52+AN52+AX52+BH52+BR52</f>
        <v>18</v>
      </c>
      <c r="F53" s="11">
        <f>L52+V52+AF52+AP52+AZ52+BJ52+BT52</f>
        <v>29</v>
      </c>
      <c r="G53" s="105"/>
      <c r="H53" s="2"/>
      <c r="I53" s="2"/>
      <c r="J53" s="112">
        <v>2</v>
      </c>
      <c r="K53" s="113"/>
      <c r="L53" s="106">
        <v>0</v>
      </c>
      <c r="M53" s="113"/>
      <c r="N53" s="106">
        <v>0</v>
      </c>
      <c r="O53" s="107"/>
      <c r="P53" s="4"/>
      <c r="Q53" s="4"/>
      <c r="R53" s="4"/>
      <c r="S53" s="4"/>
      <c r="T53" s="112">
        <v>2</v>
      </c>
      <c r="U53" s="113"/>
      <c r="V53" s="106">
        <v>0</v>
      </c>
      <c r="W53" s="113"/>
      <c r="X53" s="106">
        <v>0</v>
      </c>
      <c r="Y53" s="107"/>
      <c r="Z53" s="4"/>
      <c r="AA53" s="4"/>
      <c r="AB53" s="4"/>
      <c r="AC53" s="4"/>
      <c r="AD53" s="92">
        <v>3</v>
      </c>
      <c r="AE53" s="93"/>
      <c r="AF53" s="70">
        <v>3</v>
      </c>
      <c r="AG53" s="93"/>
      <c r="AH53" s="70">
        <v>0</v>
      </c>
      <c r="AI53" s="71"/>
      <c r="AJ53" s="4"/>
      <c r="AK53" s="4"/>
      <c r="AL53" s="4"/>
      <c r="AM53" s="4"/>
      <c r="AN53" s="92">
        <v>3</v>
      </c>
      <c r="AO53" s="93"/>
      <c r="AP53" s="70">
        <v>2</v>
      </c>
      <c r="AQ53" s="93"/>
      <c r="AR53" s="70">
        <v>0</v>
      </c>
      <c r="AS53" s="71"/>
      <c r="AT53" s="4"/>
      <c r="AU53" s="4"/>
      <c r="AV53" s="4"/>
      <c r="AW53" s="4"/>
      <c r="AX53" s="142">
        <v>3</v>
      </c>
      <c r="AY53" s="143"/>
      <c r="AZ53" s="144">
        <v>3</v>
      </c>
      <c r="BA53" s="143"/>
      <c r="BB53" s="144">
        <v>0</v>
      </c>
      <c r="BC53" s="145"/>
      <c r="BD53" s="4"/>
      <c r="BE53" s="4"/>
      <c r="BF53" s="4"/>
      <c r="BG53" s="4"/>
      <c r="BH53" s="72">
        <v>3</v>
      </c>
      <c r="BI53" s="73"/>
      <c r="BJ53" s="68">
        <v>3</v>
      </c>
      <c r="BK53" s="73"/>
      <c r="BL53" s="68">
        <v>0</v>
      </c>
      <c r="BM53" s="69"/>
      <c r="BN53" s="4"/>
      <c r="BO53" s="4"/>
      <c r="BP53" s="4"/>
      <c r="BQ53" s="4"/>
      <c r="BR53" s="49">
        <v>2</v>
      </c>
      <c r="BS53" s="50"/>
      <c r="BT53" s="51">
        <v>0</v>
      </c>
      <c r="BU53" s="50"/>
      <c r="BV53" s="51">
        <v>0</v>
      </c>
      <c r="BW53" s="52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1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141</v>
      </c>
      <c r="K60" s="25"/>
      <c r="L60" s="26"/>
      <c r="M60" s="38" t="s">
        <v>111</v>
      </c>
      <c r="N60" s="39"/>
      <c r="O60" s="40"/>
      <c r="P60" s="4"/>
      <c r="Q60" s="4"/>
      <c r="R60" s="4"/>
      <c r="S60" s="4"/>
      <c r="T60" s="24" t="s">
        <v>19</v>
      </c>
      <c r="U60" s="25"/>
      <c r="V60" s="26"/>
      <c r="W60" s="38">
        <v>484</v>
      </c>
      <c r="X60" s="102"/>
      <c r="Y60" s="103"/>
      <c r="Z60" s="4"/>
      <c r="AA60" s="4"/>
      <c r="AB60" s="4"/>
      <c r="AC60" s="4"/>
      <c r="AD60" s="24" t="s">
        <v>136</v>
      </c>
      <c r="AE60" s="25"/>
      <c r="AF60" s="26"/>
      <c r="AG60" s="38" t="s">
        <v>111</v>
      </c>
      <c r="AH60" s="39"/>
      <c r="AI60" s="40"/>
      <c r="AJ60" s="4"/>
      <c r="AK60" s="4"/>
      <c r="AL60" s="4"/>
      <c r="AM60" s="4"/>
      <c r="AN60" s="24" t="s">
        <v>136</v>
      </c>
      <c r="AO60" s="25"/>
      <c r="AP60" s="26"/>
      <c r="AQ60" s="38" t="s">
        <v>112</v>
      </c>
      <c r="AR60" s="39"/>
      <c r="AS60" s="40"/>
      <c r="AT60" s="4"/>
      <c r="AU60" s="4"/>
      <c r="AV60" s="4"/>
      <c r="AW60" s="4"/>
      <c r="AX60" s="24" t="s">
        <v>19</v>
      </c>
      <c r="AY60" s="25"/>
      <c r="AZ60" s="26"/>
      <c r="BA60" s="38">
        <v>493</v>
      </c>
      <c r="BB60" s="39"/>
      <c r="BC60" s="40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765</v>
      </c>
      <c r="H61" s="2"/>
      <c r="I61" s="2"/>
      <c r="J61" s="114" t="s">
        <v>142</v>
      </c>
      <c r="K61" s="115"/>
      <c r="L61" s="115"/>
      <c r="M61" s="115"/>
      <c r="N61" s="116"/>
      <c r="O61" s="117"/>
      <c r="P61" s="4"/>
      <c r="Q61" s="4"/>
      <c r="R61" s="4"/>
      <c r="S61" s="4"/>
      <c r="T61" s="94" t="s">
        <v>93</v>
      </c>
      <c r="U61" s="95"/>
      <c r="V61" s="95"/>
      <c r="W61" s="95"/>
      <c r="X61" s="96"/>
      <c r="Y61" s="97"/>
      <c r="Z61" s="4"/>
      <c r="AA61" s="4"/>
      <c r="AB61" s="4"/>
      <c r="AC61" s="4"/>
      <c r="AD61" s="76" t="s">
        <v>138</v>
      </c>
      <c r="AE61" s="77"/>
      <c r="AF61" s="77"/>
      <c r="AG61" s="77"/>
      <c r="AH61" s="77"/>
      <c r="AI61" s="78"/>
      <c r="AJ61" s="4"/>
      <c r="AK61" s="4"/>
      <c r="AL61" s="4"/>
      <c r="AM61" s="4"/>
      <c r="AN61" s="76" t="s">
        <v>139</v>
      </c>
      <c r="AO61" s="77"/>
      <c r="AP61" s="77"/>
      <c r="AQ61" s="77"/>
      <c r="AR61" s="77"/>
      <c r="AS61" s="78"/>
      <c r="AT61" s="4"/>
      <c r="AU61" s="4"/>
      <c r="AV61" s="4"/>
      <c r="AW61" s="4"/>
      <c r="AX61" s="41" t="s">
        <v>63</v>
      </c>
      <c r="AY61" s="42"/>
      <c r="AZ61" s="42"/>
      <c r="BA61" s="42"/>
      <c r="BB61" s="43"/>
      <c r="BC61" s="4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110">
        <v>2</v>
      </c>
      <c r="K62" s="111"/>
      <c r="L62" s="108">
        <v>2</v>
      </c>
      <c r="M62" s="111"/>
      <c r="N62" s="108">
        <v>90</v>
      </c>
      <c r="O62" s="109"/>
      <c r="P62" s="4"/>
      <c r="Q62" s="4"/>
      <c r="R62" s="4"/>
      <c r="S62" s="4"/>
      <c r="T62" s="98">
        <v>3</v>
      </c>
      <c r="U62" s="99"/>
      <c r="V62" s="100">
        <v>5</v>
      </c>
      <c r="W62" s="99"/>
      <c r="X62" s="100">
        <v>165</v>
      </c>
      <c r="Y62" s="101"/>
      <c r="Z62" s="4"/>
      <c r="AA62" s="4"/>
      <c r="AB62" s="4"/>
      <c r="AC62" s="4"/>
      <c r="AD62" s="79">
        <v>3</v>
      </c>
      <c r="AE62" s="80"/>
      <c r="AF62" s="81">
        <v>7</v>
      </c>
      <c r="AG62" s="80"/>
      <c r="AH62" s="81">
        <v>195</v>
      </c>
      <c r="AI62" s="82"/>
      <c r="AJ62" s="4"/>
      <c r="AK62" s="4"/>
      <c r="AL62" s="4"/>
      <c r="AM62" s="4"/>
      <c r="AN62" s="79">
        <v>3</v>
      </c>
      <c r="AO62" s="80"/>
      <c r="AP62" s="81">
        <v>7</v>
      </c>
      <c r="AQ62" s="80"/>
      <c r="AR62" s="81">
        <v>195</v>
      </c>
      <c r="AS62" s="82"/>
      <c r="AT62" s="4"/>
      <c r="AU62" s="4"/>
      <c r="AV62" s="4"/>
      <c r="AW62" s="4"/>
      <c r="AX62" s="45">
        <v>3</v>
      </c>
      <c r="AY62" s="46"/>
      <c r="AZ62" s="47">
        <v>2</v>
      </c>
      <c r="BA62" s="46"/>
      <c r="BB62" s="47">
        <v>120</v>
      </c>
      <c r="BC62" s="48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14</v>
      </c>
      <c r="F63" s="11">
        <f>SUM(J63:BM63)</f>
        <v>23</v>
      </c>
      <c r="G63" s="105"/>
      <c r="H63" s="2"/>
      <c r="I63" s="2"/>
      <c r="J63" s="112">
        <v>2</v>
      </c>
      <c r="K63" s="113"/>
      <c r="L63" s="106">
        <v>0</v>
      </c>
      <c r="M63" s="113"/>
      <c r="N63" s="106">
        <v>0</v>
      </c>
      <c r="O63" s="107"/>
      <c r="P63" s="4"/>
      <c r="Q63" s="4"/>
      <c r="R63" s="4"/>
      <c r="S63" s="4"/>
      <c r="T63" s="72">
        <v>3</v>
      </c>
      <c r="U63" s="73"/>
      <c r="V63" s="68">
        <v>2</v>
      </c>
      <c r="W63" s="73"/>
      <c r="X63" s="68">
        <v>0</v>
      </c>
      <c r="Y63" s="69"/>
      <c r="Z63" s="4"/>
      <c r="AA63" s="4"/>
      <c r="AB63" s="4"/>
      <c r="AC63" s="4"/>
      <c r="AD63" s="83">
        <v>3</v>
      </c>
      <c r="AE63" s="84"/>
      <c r="AF63" s="85">
        <v>2</v>
      </c>
      <c r="AG63" s="84"/>
      <c r="AH63" s="85">
        <v>2</v>
      </c>
      <c r="AI63" s="86"/>
      <c r="AJ63" s="4"/>
      <c r="AK63" s="4"/>
      <c r="AL63" s="4"/>
      <c r="AM63" s="4"/>
      <c r="AN63" s="83">
        <v>3</v>
      </c>
      <c r="AO63" s="84"/>
      <c r="AP63" s="85">
        <v>2</v>
      </c>
      <c r="AQ63" s="84"/>
      <c r="AR63" s="85">
        <v>2</v>
      </c>
      <c r="AS63" s="86"/>
      <c r="AT63" s="4"/>
      <c r="AU63" s="4"/>
      <c r="AV63" s="4"/>
      <c r="AW63" s="4"/>
      <c r="AX63" s="49">
        <v>2</v>
      </c>
      <c r="AY63" s="50"/>
      <c r="AZ63" s="51">
        <v>0</v>
      </c>
      <c r="BA63" s="50"/>
      <c r="BB63" s="51">
        <v>0</v>
      </c>
      <c r="BC63" s="52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19</v>
      </c>
      <c r="K68" s="25"/>
      <c r="L68" s="26"/>
      <c r="M68" s="38">
        <v>383</v>
      </c>
      <c r="N68" s="102"/>
      <c r="O68" s="103"/>
      <c r="P68" s="4"/>
      <c r="Q68" s="4"/>
      <c r="R68" s="4"/>
      <c r="S68" s="4"/>
      <c r="T68" s="24" t="s">
        <v>19</v>
      </c>
      <c r="U68" s="25"/>
      <c r="V68" s="26"/>
      <c r="W68" s="38">
        <v>363</v>
      </c>
      <c r="X68" s="102"/>
      <c r="Y68" s="103"/>
      <c r="Z68" s="4"/>
      <c r="AA68" s="4"/>
      <c r="AB68" s="4"/>
      <c r="AC68" s="4"/>
      <c r="AD68" s="24" t="s">
        <v>48</v>
      </c>
      <c r="AE68" s="25"/>
      <c r="AF68" s="26"/>
      <c r="AG68" s="38">
        <v>323</v>
      </c>
      <c r="AH68" s="39"/>
      <c r="AI68" s="40"/>
      <c r="AJ68" s="4"/>
      <c r="AK68" s="4"/>
      <c r="AL68" s="4"/>
      <c r="AM68" s="4"/>
      <c r="AN68" s="24" t="s">
        <v>136</v>
      </c>
      <c r="AO68" s="25"/>
      <c r="AP68" s="26"/>
      <c r="AQ68" s="38" t="s">
        <v>112</v>
      </c>
      <c r="AR68" s="39"/>
      <c r="AS68" s="40"/>
      <c r="AT68" s="4"/>
      <c r="AU68" s="4"/>
      <c r="AV68" s="4"/>
      <c r="AW68" s="4"/>
      <c r="AX68" s="24" t="s">
        <v>19</v>
      </c>
      <c r="AY68" s="25"/>
      <c r="AZ68" s="26"/>
      <c r="BA68" s="38">
        <v>494</v>
      </c>
      <c r="BB68" s="39"/>
      <c r="BC68" s="40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855</v>
      </c>
      <c r="H69" s="2"/>
      <c r="I69" s="2"/>
      <c r="J69" s="94" t="s">
        <v>44</v>
      </c>
      <c r="K69" s="95"/>
      <c r="L69" s="95"/>
      <c r="M69" s="95"/>
      <c r="N69" s="96"/>
      <c r="O69" s="97"/>
      <c r="P69" s="4"/>
      <c r="Q69" s="4"/>
      <c r="R69" s="4"/>
      <c r="S69" s="4"/>
      <c r="T69" s="94" t="s">
        <v>72</v>
      </c>
      <c r="U69" s="95"/>
      <c r="V69" s="95"/>
      <c r="W69" s="95"/>
      <c r="X69" s="96"/>
      <c r="Y69" s="97"/>
      <c r="Z69" s="4"/>
      <c r="AA69" s="4"/>
      <c r="AB69" s="4"/>
      <c r="AC69" s="4"/>
      <c r="AD69" s="94" t="s">
        <v>57</v>
      </c>
      <c r="AE69" s="95"/>
      <c r="AF69" s="95"/>
      <c r="AG69" s="95"/>
      <c r="AH69" s="96"/>
      <c r="AI69" s="97"/>
      <c r="AJ69" s="4"/>
      <c r="AK69" s="4"/>
      <c r="AL69" s="4"/>
      <c r="AM69" s="4"/>
      <c r="AN69" s="76" t="s">
        <v>140</v>
      </c>
      <c r="AO69" s="77"/>
      <c r="AP69" s="77"/>
      <c r="AQ69" s="77"/>
      <c r="AR69" s="77"/>
      <c r="AS69" s="78"/>
      <c r="AT69" s="4"/>
      <c r="AU69" s="4"/>
      <c r="AV69" s="4"/>
      <c r="AW69" s="4"/>
      <c r="AX69" s="41" t="s">
        <v>64</v>
      </c>
      <c r="AY69" s="42"/>
      <c r="AZ69" s="42"/>
      <c r="BA69" s="42"/>
      <c r="BB69" s="43"/>
      <c r="BC69" s="4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98">
        <v>3</v>
      </c>
      <c r="K70" s="99"/>
      <c r="L70" s="100">
        <v>6</v>
      </c>
      <c r="M70" s="99"/>
      <c r="N70" s="100">
        <v>180</v>
      </c>
      <c r="O70" s="101"/>
      <c r="P70" s="4"/>
      <c r="Q70" s="4"/>
      <c r="R70" s="4"/>
      <c r="S70" s="4"/>
      <c r="T70" s="98">
        <v>3</v>
      </c>
      <c r="U70" s="99"/>
      <c r="V70" s="100">
        <v>6</v>
      </c>
      <c r="W70" s="99"/>
      <c r="X70" s="100">
        <v>180</v>
      </c>
      <c r="Y70" s="101"/>
      <c r="Z70" s="4"/>
      <c r="AA70" s="4"/>
      <c r="AB70" s="4"/>
      <c r="AC70" s="4"/>
      <c r="AD70" s="98">
        <v>3</v>
      </c>
      <c r="AE70" s="99"/>
      <c r="AF70" s="100">
        <v>6</v>
      </c>
      <c r="AG70" s="99"/>
      <c r="AH70" s="100">
        <v>180</v>
      </c>
      <c r="AI70" s="101"/>
      <c r="AJ70" s="4"/>
      <c r="AK70" s="4"/>
      <c r="AL70" s="4"/>
      <c r="AM70" s="4"/>
      <c r="AN70" s="79">
        <v>3</v>
      </c>
      <c r="AO70" s="80"/>
      <c r="AP70" s="81">
        <v>7</v>
      </c>
      <c r="AQ70" s="80"/>
      <c r="AR70" s="81">
        <v>195</v>
      </c>
      <c r="AS70" s="82"/>
      <c r="AT70" s="4"/>
      <c r="AU70" s="4"/>
      <c r="AV70" s="4"/>
      <c r="AW70" s="4"/>
      <c r="AX70" s="45">
        <v>3</v>
      </c>
      <c r="AY70" s="46"/>
      <c r="AZ70" s="47">
        <v>2</v>
      </c>
      <c r="BA70" s="46"/>
      <c r="BB70" s="47">
        <v>120</v>
      </c>
      <c r="BC70" s="48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SUM(J70,T70,AD70,AN70,AX70)</f>
        <v>15</v>
      </c>
      <c r="F71" s="11">
        <f>L70+V70+AF70+AP70+AZ70</f>
        <v>27</v>
      </c>
      <c r="G71" s="105"/>
      <c r="H71" s="2"/>
      <c r="I71" s="2"/>
      <c r="J71" s="72">
        <v>3</v>
      </c>
      <c r="K71" s="73"/>
      <c r="L71" s="68">
        <v>3</v>
      </c>
      <c r="M71" s="73"/>
      <c r="N71" s="68">
        <v>0</v>
      </c>
      <c r="O71" s="69"/>
      <c r="P71" s="4"/>
      <c r="Q71" s="4"/>
      <c r="R71" s="4"/>
      <c r="S71" s="4"/>
      <c r="T71" s="72">
        <v>3</v>
      </c>
      <c r="U71" s="73"/>
      <c r="V71" s="68">
        <v>3</v>
      </c>
      <c r="W71" s="73"/>
      <c r="X71" s="68">
        <v>0</v>
      </c>
      <c r="Y71" s="69"/>
      <c r="Z71" s="4"/>
      <c r="AA71" s="4"/>
      <c r="AB71" s="4"/>
      <c r="AC71" s="4"/>
      <c r="AD71" s="72">
        <v>3</v>
      </c>
      <c r="AE71" s="73"/>
      <c r="AF71" s="68">
        <v>3</v>
      </c>
      <c r="AG71" s="73"/>
      <c r="AH71" s="68">
        <v>0</v>
      </c>
      <c r="AI71" s="69"/>
      <c r="AJ71" s="4"/>
      <c r="AK71" s="4"/>
      <c r="AL71" s="4"/>
      <c r="AM71" s="4"/>
      <c r="AN71" s="83">
        <v>3</v>
      </c>
      <c r="AO71" s="84"/>
      <c r="AP71" s="85">
        <v>2</v>
      </c>
      <c r="AQ71" s="84"/>
      <c r="AR71" s="85">
        <v>2</v>
      </c>
      <c r="AS71" s="86"/>
      <c r="AT71" s="4"/>
      <c r="AU71" s="4"/>
      <c r="AV71" s="4"/>
      <c r="AW71" s="4"/>
      <c r="AX71" s="49">
        <v>2</v>
      </c>
      <c r="AY71" s="50"/>
      <c r="AZ71" s="51">
        <v>0</v>
      </c>
      <c r="BA71" s="50"/>
      <c r="BB71" s="51">
        <v>0</v>
      </c>
      <c r="BC71" s="52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thickBot="1" x14ac:dyDescent="0.35"/>
    <row r="77" spans="2:135" ht="10.050000000000001" customHeight="1" thickTop="1" thickBot="1" x14ac:dyDescent="0.35">
      <c r="BI77" s="63" t="s">
        <v>15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6"/>
    </row>
    <row r="78" spans="2:135" ht="15" customHeight="1" x14ac:dyDescent="0.3">
      <c r="BI78" s="64"/>
      <c r="BJ78" s="137" t="s">
        <v>65</v>
      </c>
      <c r="BK78" s="17"/>
      <c r="BL78" s="16"/>
      <c r="BR78" s="123" t="s">
        <v>7</v>
      </c>
      <c r="BS78" s="124"/>
      <c r="BT78" s="124"/>
      <c r="BU78" s="124"/>
      <c r="BV78" s="125"/>
      <c r="BW78" s="126"/>
      <c r="CA78" s="8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I79" s="64"/>
      <c r="BJ79" s="137"/>
      <c r="BK79" s="17"/>
      <c r="BL79" s="16"/>
      <c r="BR79" s="127" t="s">
        <v>8</v>
      </c>
      <c r="BS79" s="128"/>
      <c r="BT79" s="128"/>
      <c r="BU79" s="128"/>
      <c r="BV79" s="129"/>
      <c r="BW79" s="130"/>
      <c r="CA79" s="8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I80" s="64"/>
      <c r="BJ80" s="137"/>
      <c r="BK80" s="17"/>
      <c r="BL80" s="16"/>
      <c r="BR80" s="66" t="s">
        <v>9</v>
      </c>
      <c r="BS80" s="67"/>
      <c r="BT80" s="131" t="s">
        <v>18</v>
      </c>
      <c r="BU80" s="67"/>
      <c r="BV80" s="131" t="s">
        <v>10</v>
      </c>
      <c r="BW80" s="132"/>
      <c r="CA80" s="8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61:135" ht="15" thickBot="1" x14ac:dyDescent="0.35">
      <c r="BI81" s="64"/>
      <c r="BJ81" s="137"/>
      <c r="BK81" s="17"/>
      <c r="BL81" s="16"/>
      <c r="BR81" s="133" t="s">
        <v>11</v>
      </c>
      <c r="BS81" s="134"/>
      <c r="BT81" s="135" t="s">
        <v>12</v>
      </c>
      <c r="BU81" s="134"/>
      <c r="BV81" s="135" t="s">
        <v>13</v>
      </c>
      <c r="BW81" s="136"/>
      <c r="CA81" s="8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61:135" ht="10.050000000000001" customHeight="1" x14ac:dyDescent="0.3">
      <c r="BI82" s="64"/>
      <c r="BL82" s="16"/>
      <c r="CA82" s="8"/>
    </row>
    <row r="83" spans="61:135" ht="10.050000000000001" customHeight="1" x14ac:dyDescent="0.3">
      <c r="BI83" s="64"/>
      <c r="BL83" s="16"/>
      <c r="CA83" s="8"/>
    </row>
    <row r="84" spans="61:135" ht="10.050000000000001" customHeight="1" x14ac:dyDescent="0.3">
      <c r="BI84" s="64"/>
      <c r="BJ84" s="90"/>
      <c r="BL84" s="15"/>
      <c r="BN84" s="18"/>
      <c r="BO84" s="18"/>
      <c r="BP84" s="18"/>
      <c r="BQ84" s="18"/>
      <c r="BS84" s="60"/>
      <c r="BU84" s="75" t="s">
        <v>30</v>
      </c>
      <c r="BW84" s="61"/>
      <c r="CA84" s="8"/>
    </row>
    <row r="85" spans="61:135" ht="10.050000000000001" customHeight="1" thickBot="1" x14ac:dyDescent="0.35">
      <c r="BI85" s="64"/>
      <c r="BJ85" s="90"/>
      <c r="BL85" s="74" t="s">
        <v>22</v>
      </c>
      <c r="BN85" s="18"/>
      <c r="BO85" s="18"/>
      <c r="BP85" s="18"/>
      <c r="BQ85" s="18"/>
      <c r="BS85" s="60"/>
      <c r="BU85" s="75"/>
      <c r="BW85" s="61"/>
      <c r="CA85" s="8"/>
    </row>
    <row r="86" spans="61:135" ht="15" customHeight="1" x14ac:dyDescent="0.3">
      <c r="BI86" s="64"/>
      <c r="BJ86" s="90" t="s">
        <v>31</v>
      </c>
      <c r="BK86" s="7"/>
      <c r="BL86" s="74"/>
      <c r="BM86" s="7"/>
      <c r="BN86" s="62" t="s">
        <v>14</v>
      </c>
      <c r="BO86" s="62"/>
      <c r="BP86" s="62"/>
      <c r="BQ86" s="62"/>
      <c r="BR86" s="7"/>
      <c r="BS86" s="60" t="s">
        <v>46</v>
      </c>
      <c r="BT86" s="7"/>
      <c r="BU86" s="75"/>
      <c r="BV86" s="7"/>
      <c r="BW86" s="61" t="s">
        <v>62</v>
      </c>
      <c r="CA86" s="8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61:135" ht="48.75" customHeight="1" x14ac:dyDescent="0.3">
      <c r="BI87" s="64"/>
      <c r="BJ87" s="90"/>
      <c r="BK87" s="7"/>
      <c r="BL87" s="74"/>
      <c r="BM87" s="7"/>
      <c r="BN87" s="62"/>
      <c r="BO87" s="62"/>
      <c r="BP87" s="62"/>
      <c r="BQ87" s="62"/>
      <c r="BR87" s="7"/>
      <c r="BS87" s="60"/>
      <c r="BT87" s="7"/>
      <c r="BU87" s="75"/>
      <c r="BV87" s="7"/>
      <c r="BW87" s="61"/>
      <c r="CA87" s="8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61:135" x14ac:dyDescent="0.3">
      <c r="BI88" s="64"/>
      <c r="BJ88" s="90"/>
      <c r="BK88" s="7"/>
      <c r="BL88" s="74"/>
      <c r="BM88" s="7"/>
      <c r="BN88" s="62"/>
      <c r="BO88" s="62"/>
      <c r="BP88" s="62"/>
      <c r="BQ88" s="62"/>
      <c r="BR88" s="7"/>
      <c r="BS88" s="60"/>
      <c r="BT88" s="7"/>
      <c r="BU88" s="75"/>
      <c r="BV88" s="7"/>
      <c r="BW88" s="61"/>
      <c r="CA88" s="8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61:135" ht="15" thickBot="1" x14ac:dyDescent="0.35">
      <c r="BI89" s="64"/>
      <c r="BJ89" s="90"/>
      <c r="BK89" s="7"/>
      <c r="BL89" s="74"/>
      <c r="BM89" s="7"/>
      <c r="BN89" s="62"/>
      <c r="BO89" s="62"/>
      <c r="BP89" s="62"/>
      <c r="BQ89" s="62"/>
      <c r="BR89" s="7"/>
      <c r="BS89" s="60"/>
      <c r="BT89" s="7"/>
      <c r="BU89" s="75"/>
      <c r="BV89" s="7"/>
      <c r="BW89" s="61"/>
      <c r="CA89" s="8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61:135" ht="10.050000000000001" customHeight="1" thickBot="1" x14ac:dyDescent="0.35">
      <c r="BI90" s="65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10"/>
    </row>
    <row r="91" spans="61:135" ht="10.050000000000001" customHeight="1" thickTop="1" x14ac:dyDescent="0.3"/>
    <row r="92" spans="61:135" ht="10.050000000000001" customHeight="1" x14ac:dyDescent="0.3"/>
    <row r="93" spans="61:135" ht="10.050000000000001" customHeight="1" x14ac:dyDescent="0.3"/>
    <row r="100" ht="48.75" customHeight="1" x14ac:dyDescent="0.3"/>
  </sheetData>
  <mergeCells count="638"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N8:O8"/>
    <mergeCell ref="AN8:AO8"/>
    <mergeCell ref="AP8:AQ8"/>
    <mergeCell ref="AR8:AS8"/>
    <mergeCell ref="AX8:AY8"/>
    <mergeCell ref="AZ8:BA8"/>
    <mergeCell ref="BB8:BC8"/>
    <mergeCell ref="T8:U8"/>
    <mergeCell ref="V8:W8"/>
    <mergeCell ref="X8:Y8"/>
    <mergeCell ref="AD8:AE8"/>
    <mergeCell ref="AF8:AG8"/>
    <mergeCell ref="AH8:AI8"/>
    <mergeCell ref="AN9:AO9"/>
    <mergeCell ref="ED8:EE8"/>
    <mergeCell ref="DP6:DU6"/>
    <mergeCell ref="DZ6:EE6"/>
    <mergeCell ref="E7:E8"/>
    <mergeCell ref="F7:F8"/>
    <mergeCell ref="J7:O7"/>
    <mergeCell ref="T7:Y7"/>
    <mergeCell ref="AD7:AI7"/>
    <mergeCell ref="AN7:AS7"/>
    <mergeCell ref="AX7:BC7"/>
    <mergeCell ref="AQ6:AS6"/>
    <mergeCell ref="AX6:AZ6"/>
    <mergeCell ref="BA6:BC6"/>
    <mergeCell ref="DP7:DU7"/>
    <mergeCell ref="DZ7:EE7"/>
    <mergeCell ref="G8:G9"/>
    <mergeCell ref="H8:I8"/>
    <mergeCell ref="J8:K8"/>
    <mergeCell ref="L8:M8"/>
    <mergeCell ref="N9:O9"/>
    <mergeCell ref="T9:U9"/>
    <mergeCell ref="V9:W9"/>
    <mergeCell ref="X9:Y9"/>
    <mergeCell ref="DP8:DQ8"/>
    <mergeCell ref="DR8:DS8"/>
    <mergeCell ref="DT8:DU8"/>
    <mergeCell ref="DZ8:EA8"/>
    <mergeCell ref="EB8:EC8"/>
    <mergeCell ref="DZ9:EA9"/>
    <mergeCell ref="EB9:EC9"/>
    <mergeCell ref="ED9:EE9"/>
    <mergeCell ref="D14:D17"/>
    <mergeCell ref="J14:L14"/>
    <mergeCell ref="M14:O14"/>
    <mergeCell ref="T14:V14"/>
    <mergeCell ref="W14:Y14"/>
    <mergeCell ref="AD14:AF14"/>
    <mergeCell ref="AG14:AI14"/>
    <mergeCell ref="DP9:DQ9"/>
    <mergeCell ref="DR9:DS9"/>
    <mergeCell ref="DT9:DU9"/>
    <mergeCell ref="AX9:AY9"/>
    <mergeCell ref="AZ9:BA9"/>
    <mergeCell ref="BB9:BC9"/>
    <mergeCell ref="AD9:AE9"/>
    <mergeCell ref="AF9:AG9"/>
    <mergeCell ref="AH9:AI9"/>
    <mergeCell ref="AP9:AQ9"/>
    <mergeCell ref="AR9:AS9"/>
    <mergeCell ref="J9:K9"/>
    <mergeCell ref="L9:M9"/>
    <mergeCell ref="E15:E16"/>
    <mergeCell ref="F15:F16"/>
    <mergeCell ref="J15:O15"/>
    <mergeCell ref="T15:Y15"/>
    <mergeCell ref="AD15:AI15"/>
    <mergeCell ref="AN15:AS15"/>
    <mergeCell ref="AN14:AP14"/>
    <mergeCell ref="AQ14:AS14"/>
    <mergeCell ref="AX14:AZ14"/>
    <mergeCell ref="DP15:DU15"/>
    <mergeCell ref="DZ15:EE15"/>
    <mergeCell ref="G16:G17"/>
    <mergeCell ref="H16:I16"/>
    <mergeCell ref="J16:K16"/>
    <mergeCell ref="L16:M16"/>
    <mergeCell ref="DP14:DU14"/>
    <mergeCell ref="DZ14:EE14"/>
    <mergeCell ref="BA14:BC14"/>
    <mergeCell ref="N16:O16"/>
    <mergeCell ref="T16:U16"/>
    <mergeCell ref="V16:W16"/>
    <mergeCell ref="X16:Y16"/>
    <mergeCell ref="AD16:AE16"/>
    <mergeCell ref="AF16:AG16"/>
    <mergeCell ref="AX15:BC15"/>
    <mergeCell ref="ED16:EE16"/>
    <mergeCell ref="J17:K17"/>
    <mergeCell ref="L17:M17"/>
    <mergeCell ref="N17:O17"/>
    <mergeCell ref="T17:U17"/>
    <mergeCell ref="V17:W17"/>
    <mergeCell ref="X17:Y17"/>
    <mergeCell ref="AF17:AG17"/>
    <mergeCell ref="AH17:AI17"/>
    <mergeCell ref="DP16:DQ16"/>
    <mergeCell ref="DR16:DS16"/>
    <mergeCell ref="DT16:DU16"/>
    <mergeCell ref="DZ16:EA16"/>
    <mergeCell ref="EB16:EC16"/>
    <mergeCell ref="BB16:BC16"/>
    <mergeCell ref="AH16:AI16"/>
    <mergeCell ref="AN16:AO16"/>
    <mergeCell ref="AP16:AQ16"/>
    <mergeCell ref="AR16:AS16"/>
    <mergeCell ref="AX16:AY16"/>
    <mergeCell ref="AZ16:BA16"/>
    <mergeCell ref="DP17:DQ17"/>
    <mergeCell ref="DR17:DS17"/>
    <mergeCell ref="DT17:DU17"/>
    <mergeCell ref="DZ17:EA17"/>
    <mergeCell ref="EB17:EC17"/>
    <mergeCell ref="B23:B36"/>
    <mergeCell ref="D24:D27"/>
    <mergeCell ref="J24:L24"/>
    <mergeCell ref="M24:O24"/>
    <mergeCell ref="T24:V24"/>
    <mergeCell ref="W24:Y24"/>
    <mergeCell ref="E25:E26"/>
    <mergeCell ref="F25:F26"/>
    <mergeCell ref="J25:O25"/>
    <mergeCell ref="T25:Y25"/>
    <mergeCell ref="G26:G27"/>
    <mergeCell ref="H26:I26"/>
    <mergeCell ref="J26:K26"/>
    <mergeCell ref="L26:M26"/>
    <mergeCell ref="N26:O26"/>
    <mergeCell ref="T26:U26"/>
    <mergeCell ref="J27:K27"/>
    <mergeCell ref="L27:M27"/>
    <mergeCell ref="N27:O27"/>
    <mergeCell ref="T27:U27"/>
    <mergeCell ref="V27:W27"/>
    <mergeCell ref="X27:Y27"/>
    <mergeCell ref="V26:W26"/>
    <mergeCell ref="D32:D35"/>
    <mergeCell ref="ED17:EE17"/>
    <mergeCell ref="AN17:AO17"/>
    <mergeCell ref="AP17:AQ17"/>
    <mergeCell ref="AR17:AS17"/>
    <mergeCell ref="AX17:AY17"/>
    <mergeCell ref="AZ17:BA17"/>
    <mergeCell ref="BB17:BC17"/>
    <mergeCell ref="DZ25:EE25"/>
    <mergeCell ref="AD25:AI25"/>
    <mergeCell ref="AN25:AS25"/>
    <mergeCell ref="AX25:BC25"/>
    <mergeCell ref="BH25:BM25"/>
    <mergeCell ref="DP25:DU25"/>
    <mergeCell ref="DZ24:EE24"/>
    <mergeCell ref="AD24:AF24"/>
    <mergeCell ref="AG24:AI24"/>
    <mergeCell ref="AN24:AP24"/>
    <mergeCell ref="AQ24:AS24"/>
    <mergeCell ref="AX24:AZ24"/>
    <mergeCell ref="BA24:BC24"/>
    <mergeCell ref="BH24:BJ24"/>
    <mergeCell ref="BK24:BM24"/>
    <mergeCell ref="DP24:DU24"/>
    <mergeCell ref="AD17:AE17"/>
    <mergeCell ref="BH27:BI27"/>
    <mergeCell ref="BJ27:BK27"/>
    <mergeCell ref="BL27:BM27"/>
    <mergeCell ref="DP26:DQ26"/>
    <mergeCell ref="DR26:DS26"/>
    <mergeCell ref="AX26:AY26"/>
    <mergeCell ref="AZ26:BA26"/>
    <mergeCell ref="BB26:BC26"/>
    <mergeCell ref="BH26:BI26"/>
    <mergeCell ref="BJ26:BK26"/>
    <mergeCell ref="BL26:BM26"/>
    <mergeCell ref="AX27:AY27"/>
    <mergeCell ref="DP27:DQ27"/>
    <mergeCell ref="AZ27:BA27"/>
    <mergeCell ref="BB27:BC27"/>
    <mergeCell ref="DZ26:EA26"/>
    <mergeCell ref="EB26:EC26"/>
    <mergeCell ref="ED26:EE26"/>
    <mergeCell ref="DT26:DU26"/>
    <mergeCell ref="EB27:EC27"/>
    <mergeCell ref="ED27:EE27"/>
    <mergeCell ref="DT27:DU27"/>
    <mergeCell ref="DZ27:EA27"/>
    <mergeCell ref="DR27:DS27"/>
    <mergeCell ref="AD26:AE26"/>
    <mergeCell ref="AF26:AG26"/>
    <mergeCell ref="AH26:AI26"/>
    <mergeCell ref="AN26:AO26"/>
    <mergeCell ref="X26:Y26"/>
    <mergeCell ref="AP26:AQ26"/>
    <mergeCell ref="AR26:AS26"/>
    <mergeCell ref="AR27:AS27"/>
    <mergeCell ref="AD27:AE27"/>
    <mergeCell ref="AF27:AG27"/>
    <mergeCell ref="AH27:AI27"/>
    <mergeCell ref="AN27:AO27"/>
    <mergeCell ref="AP27:AQ27"/>
    <mergeCell ref="BK32:BM32"/>
    <mergeCell ref="BH33:BM33"/>
    <mergeCell ref="DP33:DU33"/>
    <mergeCell ref="AD34:AE34"/>
    <mergeCell ref="AF34:AG34"/>
    <mergeCell ref="AH34:AI34"/>
    <mergeCell ref="DP34:DQ34"/>
    <mergeCell ref="DR34:DS34"/>
    <mergeCell ref="DT34:DU34"/>
    <mergeCell ref="AD32:AF32"/>
    <mergeCell ref="AG32:AI32"/>
    <mergeCell ref="AN32:AP32"/>
    <mergeCell ref="AD33:AI33"/>
    <mergeCell ref="AN33:AS33"/>
    <mergeCell ref="E33:E34"/>
    <mergeCell ref="F33:F34"/>
    <mergeCell ref="J33:O33"/>
    <mergeCell ref="T33:Y33"/>
    <mergeCell ref="AX33:BC33"/>
    <mergeCell ref="AQ32:AS32"/>
    <mergeCell ref="AX32:AZ32"/>
    <mergeCell ref="BA32:BC32"/>
    <mergeCell ref="BH32:BJ32"/>
    <mergeCell ref="J32:L32"/>
    <mergeCell ref="M32:O32"/>
    <mergeCell ref="T32:V32"/>
    <mergeCell ref="W32:Y32"/>
    <mergeCell ref="DZ33:EE33"/>
    <mergeCell ref="DZ32:EE32"/>
    <mergeCell ref="G34:G35"/>
    <mergeCell ref="H34:I34"/>
    <mergeCell ref="J34:K34"/>
    <mergeCell ref="AN34:AO34"/>
    <mergeCell ref="AP34:AQ34"/>
    <mergeCell ref="AR34:AS34"/>
    <mergeCell ref="AX34:AY34"/>
    <mergeCell ref="AZ34:BA34"/>
    <mergeCell ref="AD35:AE35"/>
    <mergeCell ref="AF35:AG35"/>
    <mergeCell ref="AH35:AI35"/>
    <mergeCell ref="AN35:AO35"/>
    <mergeCell ref="AP35:AQ35"/>
    <mergeCell ref="AR35:AS35"/>
    <mergeCell ref="J35:K35"/>
    <mergeCell ref="L34:M34"/>
    <mergeCell ref="N34:O34"/>
    <mergeCell ref="BB34:BC34"/>
    <mergeCell ref="T34:U34"/>
    <mergeCell ref="V34:W34"/>
    <mergeCell ref="X34:Y34"/>
    <mergeCell ref="DP32:DU32"/>
    <mergeCell ref="DZ34:EA34"/>
    <mergeCell ref="EB34:EC34"/>
    <mergeCell ref="ED34:EE34"/>
    <mergeCell ref="BH34:BI34"/>
    <mergeCell ref="BJ34:BK34"/>
    <mergeCell ref="BL34:BM34"/>
    <mergeCell ref="ED35:EE35"/>
    <mergeCell ref="B41:B54"/>
    <mergeCell ref="D42:D45"/>
    <mergeCell ref="J42:L42"/>
    <mergeCell ref="M42:O42"/>
    <mergeCell ref="T42:V42"/>
    <mergeCell ref="W42:Y42"/>
    <mergeCell ref="AD42:AF42"/>
    <mergeCell ref="DP35:DQ35"/>
    <mergeCell ref="DR35:DS35"/>
    <mergeCell ref="DT35:DU35"/>
    <mergeCell ref="AX35:AY35"/>
    <mergeCell ref="AZ35:BA35"/>
    <mergeCell ref="BB35:BC35"/>
    <mergeCell ref="BH35:BI35"/>
    <mergeCell ref="BJ35:BK35"/>
    <mergeCell ref="BL35:BM35"/>
    <mergeCell ref="N44:O44"/>
    <mergeCell ref="L45:M45"/>
    <mergeCell ref="N45:O45"/>
    <mergeCell ref="AN44:AO44"/>
    <mergeCell ref="AP44:AQ44"/>
    <mergeCell ref="AR44:AS44"/>
    <mergeCell ref="DZ35:EA35"/>
    <mergeCell ref="EB35:EC35"/>
    <mergeCell ref="L35:M35"/>
    <mergeCell ref="N35:O35"/>
    <mergeCell ref="T35:U35"/>
    <mergeCell ref="V35:W35"/>
    <mergeCell ref="X35:Y35"/>
    <mergeCell ref="BH43:BM43"/>
    <mergeCell ref="DP43:DU43"/>
    <mergeCell ref="DZ43:EE43"/>
    <mergeCell ref="BK42:BM42"/>
    <mergeCell ref="DP42:DU42"/>
    <mergeCell ref="DZ42:EE42"/>
    <mergeCell ref="BH42:BJ42"/>
    <mergeCell ref="AF44:AG44"/>
    <mergeCell ref="AH44:AI44"/>
    <mergeCell ref="DP44:DQ44"/>
    <mergeCell ref="DR44:DS44"/>
    <mergeCell ref="DT44:DU44"/>
    <mergeCell ref="E43:E44"/>
    <mergeCell ref="F43:F44"/>
    <mergeCell ref="J43:O43"/>
    <mergeCell ref="T43:Y43"/>
    <mergeCell ref="AD43:AI43"/>
    <mergeCell ref="AG42:AI42"/>
    <mergeCell ref="AN42:AP42"/>
    <mergeCell ref="AQ42:AS42"/>
    <mergeCell ref="AX42:AZ42"/>
    <mergeCell ref="AN43:AS43"/>
    <mergeCell ref="AX43:BC43"/>
    <mergeCell ref="BA42:BC42"/>
    <mergeCell ref="G44:G45"/>
    <mergeCell ref="H44:I44"/>
    <mergeCell ref="J44:K44"/>
    <mergeCell ref="L44:M44"/>
    <mergeCell ref="AX44:AY44"/>
    <mergeCell ref="AZ44:BA44"/>
    <mergeCell ref="BB44:BC44"/>
    <mergeCell ref="T44:U44"/>
    <mergeCell ref="V44:W44"/>
    <mergeCell ref="X44:Y44"/>
    <mergeCell ref="AD44:AE44"/>
    <mergeCell ref="J45:K45"/>
    <mergeCell ref="DZ44:EA44"/>
    <mergeCell ref="EB44:EC44"/>
    <mergeCell ref="ED44:EE44"/>
    <mergeCell ref="BH44:BI44"/>
    <mergeCell ref="BJ44:BK44"/>
    <mergeCell ref="BL44:BM44"/>
    <mergeCell ref="AN45:AO45"/>
    <mergeCell ref="AP45:AQ45"/>
    <mergeCell ref="AR45:AS45"/>
    <mergeCell ref="AX45:AY45"/>
    <mergeCell ref="AZ45:BA45"/>
    <mergeCell ref="BB45:BC45"/>
    <mergeCell ref="DZ45:EA45"/>
    <mergeCell ref="EB45:EC45"/>
    <mergeCell ref="ED45:EE45"/>
    <mergeCell ref="T45:U45"/>
    <mergeCell ref="V45:W45"/>
    <mergeCell ref="X45:Y45"/>
    <mergeCell ref="AD45:AE45"/>
    <mergeCell ref="AF45:AG45"/>
    <mergeCell ref="AH45:AI45"/>
    <mergeCell ref="DP45:DQ45"/>
    <mergeCell ref="DR45:DS45"/>
    <mergeCell ref="DT45:DU45"/>
    <mergeCell ref="BH45:BI45"/>
    <mergeCell ref="BJ45:BK45"/>
    <mergeCell ref="BL45:BM45"/>
    <mergeCell ref="D50:D53"/>
    <mergeCell ref="J50:L50"/>
    <mergeCell ref="M50:O50"/>
    <mergeCell ref="T50:V50"/>
    <mergeCell ref="W50:Y50"/>
    <mergeCell ref="AD50:AF50"/>
    <mergeCell ref="E51:E52"/>
    <mergeCell ref="F51:F52"/>
    <mergeCell ref="J51:O51"/>
    <mergeCell ref="T51:Y51"/>
    <mergeCell ref="T52:U52"/>
    <mergeCell ref="V52:W52"/>
    <mergeCell ref="X52:Y52"/>
    <mergeCell ref="AD52:AE52"/>
    <mergeCell ref="AF52:AG52"/>
    <mergeCell ref="G52:G53"/>
    <mergeCell ref="H52:I52"/>
    <mergeCell ref="J52:K52"/>
    <mergeCell ref="L52:M52"/>
    <mergeCell ref="J53:K53"/>
    <mergeCell ref="L53:M53"/>
    <mergeCell ref="N53:O53"/>
    <mergeCell ref="T53:U53"/>
    <mergeCell ref="V53:W53"/>
    <mergeCell ref="DZ50:EE50"/>
    <mergeCell ref="DZ51:EE51"/>
    <mergeCell ref="DP52:DQ52"/>
    <mergeCell ref="DR52:DS52"/>
    <mergeCell ref="DT52:DU52"/>
    <mergeCell ref="AG50:AI50"/>
    <mergeCell ref="AN50:AP50"/>
    <mergeCell ref="AQ50:AS50"/>
    <mergeCell ref="AX50:AZ50"/>
    <mergeCell ref="BA50:BC50"/>
    <mergeCell ref="BH50:BJ50"/>
    <mergeCell ref="AD51:AI51"/>
    <mergeCell ref="AN51:AS51"/>
    <mergeCell ref="AX51:BC51"/>
    <mergeCell ref="BH51:BM51"/>
    <mergeCell ref="DP51:DU51"/>
    <mergeCell ref="DZ52:EA52"/>
    <mergeCell ref="EB52:EC52"/>
    <mergeCell ref="ED52:EE52"/>
    <mergeCell ref="BK50:BM50"/>
    <mergeCell ref="DP50:DU50"/>
    <mergeCell ref="AZ52:BA52"/>
    <mergeCell ref="BB52:BC52"/>
    <mergeCell ref="BL52:BM52"/>
    <mergeCell ref="X53:Y53"/>
    <mergeCell ref="AD53:AE53"/>
    <mergeCell ref="BH52:BI52"/>
    <mergeCell ref="BJ52:BK52"/>
    <mergeCell ref="N52:O52"/>
    <mergeCell ref="AN53:AO53"/>
    <mergeCell ref="AP53:AQ53"/>
    <mergeCell ref="AR53:AS53"/>
    <mergeCell ref="AX53:AY53"/>
    <mergeCell ref="AN52:AO52"/>
    <mergeCell ref="AP52:AQ52"/>
    <mergeCell ref="AR52:AS52"/>
    <mergeCell ref="AX52:AY52"/>
    <mergeCell ref="ED62:EE62"/>
    <mergeCell ref="EB53:EC53"/>
    <mergeCell ref="ED53:EE53"/>
    <mergeCell ref="AH52:AI52"/>
    <mergeCell ref="AF53:AG53"/>
    <mergeCell ref="AH53:AI53"/>
    <mergeCell ref="DP53:DQ53"/>
    <mergeCell ref="DR53:DS53"/>
    <mergeCell ref="DT53:DU53"/>
    <mergeCell ref="DZ53:EA53"/>
    <mergeCell ref="AZ53:BA53"/>
    <mergeCell ref="BB53:BC53"/>
    <mergeCell ref="BH53:BI53"/>
    <mergeCell ref="BJ53:BK53"/>
    <mergeCell ref="BL53:BM53"/>
    <mergeCell ref="AH63:AI63"/>
    <mergeCell ref="DZ60:EE60"/>
    <mergeCell ref="E61:E62"/>
    <mergeCell ref="F61:F62"/>
    <mergeCell ref="J61:O61"/>
    <mergeCell ref="T61:Y61"/>
    <mergeCell ref="AD61:AI61"/>
    <mergeCell ref="AN61:AS61"/>
    <mergeCell ref="AX61:BC61"/>
    <mergeCell ref="AN60:AP60"/>
    <mergeCell ref="AQ60:AS60"/>
    <mergeCell ref="AX60:AZ60"/>
    <mergeCell ref="BA60:BC60"/>
    <mergeCell ref="AF62:AG62"/>
    <mergeCell ref="AH62:AI62"/>
    <mergeCell ref="AN62:AO62"/>
    <mergeCell ref="AP62:AQ62"/>
    <mergeCell ref="DP61:DU61"/>
    <mergeCell ref="DZ61:EE61"/>
    <mergeCell ref="G62:G63"/>
    <mergeCell ref="J60:L60"/>
    <mergeCell ref="M60:O60"/>
    <mergeCell ref="J62:K62"/>
    <mergeCell ref="L62:M62"/>
    <mergeCell ref="DZ63:EA63"/>
    <mergeCell ref="EB63:EC63"/>
    <mergeCell ref="ED63:EE63"/>
    <mergeCell ref="D60:D63"/>
    <mergeCell ref="W60:Y60"/>
    <mergeCell ref="AD60:AF60"/>
    <mergeCell ref="AG60:AI60"/>
    <mergeCell ref="DP62:DQ62"/>
    <mergeCell ref="DR62:DS62"/>
    <mergeCell ref="DT62:DU62"/>
    <mergeCell ref="DZ62:EA62"/>
    <mergeCell ref="EB62:EC62"/>
    <mergeCell ref="AR62:AS62"/>
    <mergeCell ref="AX62:AY62"/>
    <mergeCell ref="AZ62:BA62"/>
    <mergeCell ref="BB62:BC62"/>
    <mergeCell ref="J63:K63"/>
    <mergeCell ref="L63:M63"/>
    <mergeCell ref="N63:O63"/>
    <mergeCell ref="T63:U63"/>
    <mergeCell ref="V63:W63"/>
    <mergeCell ref="X63:Y63"/>
    <mergeCell ref="AD63:AE63"/>
    <mergeCell ref="AF63:AG63"/>
    <mergeCell ref="D68:D71"/>
    <mergeCell ref="J68:L68"/>
    <mergeCell ref="M68:O68"/>
    <mergeCell ref="T68:V68"/>
    <mergeCell ref="W68:Y68"/>
    <mergeCell ref="AD68:AF68"/>
    <mergeCell ref="AG68:AI68"/>
    <mergeCell ref="T60:V60"/>
    <mergeCell ref="H62:I62"/>
    <mergeCell ref="N62:O62"/>
    <mergeCell ref="T62:U62"/>
    <mergeCell ref="V62:W62"/>
    <mergeCell ref="L70:M70"/>
    <mergeCell ref="N70:O70"/>
    <mergeCell ref="T70:U70"/>
    <mergeCell ref="V70:W70"/>
    <mergeCell ref="H70:I70"/>
    <mergeCell ref="J70:K70"/>
    <mergeCell ref="X70:Y70"/>
    <mergeCell ref="AD70:AE70"/>
    <mergeCell ref="AF70:AG70"/>
    <mergeCell ref="AH70:AI70"/>
    <mergeCell ref="X62:Y62"/>
    <mergeCell ref="AD62:AE62"/>
    <mergeCell ref="DT63:DU63"/>
    <mergeCell ref="AN63:AO63"/>
    <mergeCell ref="AP63:AQ63"/>
    <mergeCell ref="AR63:AS63"/>
    <mergeCell ref="AX63:AY63"/>
    <mergeCell ref="AZ63:BA63"/>
    <mergeCell ref="BB63:BC63"/>
    <mergeCell ref="DP68:DU68"/>
    <mergeCell ref="DP63:DQ63"/>
    <mergeCell ref="DR63:DS63"/>
    <mergeCell ref="DZ68:EE68"/>
    <mergeCell ref="E69:E70"/>
    <mergeCell ref="F69:F70"/>
    <mergeCell ref="J69:O69"/>
    <mergeCell ref="T69:Y69"/>
    <mergeCell ref="AD69:AI69"/>
    <mergeCell ref="AN69:AS69"/>
    <mergeCell ref="AX69:BC69"/>
    <mergeCell ref="AN68:AP68"/>
    <mergeCell ref="AQ68:AS68"/>
    <mergeCell ref="AX68:AZ68"/>
    <mergeCell ref="BA68:BC68"/>
    <mergeCell ref="AR70:AS70"/>
    <mergeCell ref="AX70:AY70"/>
    <mergeCell ref="AZ70:BA70"/>
    <mergeCell ref="DP69:DU69"/>
    <mergeCell ref="DZ69:EE69"/>
    <mergeCell ref="G70:G71"/>
    <mergeCell ref="AR71:AS71"/>
    <mergeCell ref="AX71:AY71"/>
    <mergeCell ref="AZ71:BA71"/>
    <mergeCell ref="AN70:AO70"/>
    <mergeCell ref="AP70:AQ70"/>
    <mergeCell ref="B59:B72"/>
    <mergeCell ref="BT80:BU80"/>
    <mergeCell ref="BR81:BS81"/>
    <mergeCell ref="DZ78:EE78"/>
    <mergeCell ref="BR79:BW79"/>
    <mergeCell ref="DP79:DU79"/>
    <mergeCell ref="BJ78:BJ81"/>
    <mergeCell ref="BR78:BW78"/>
    <mergeCell ref="ED71:EE71"/>
    <mergeCell ref="ED70:EE70"/>
    <mergeCell ref="J71:K71"/>
    <mergeCell ref="L71:M71"/>
    <mergeCell ref="N71:O71"/>
    <mergeCell ref="T71:U71"/>
    <mergeCell ref="V71:W71"/>
    <mergeCell ref="X71:Y71"/>
    <mergeCell ref="BB70:BC70"/>
    <mergeCell ref="AD71:AE71"/>
    <mergeCell ref="AF71:AG71"/>
    <mergeCell ref="AH71:AI71"/>
    <mergeCell ref="AN71:AO71"/>
    <mergeCell ref="AP71:AQ71"/>
    <mergeCell ref="BB71:BC71"/>
    <mergeCell ref="DP70:DQ70"/>
    <mergeCell ref="BI77:BI90"/>
    <mergeCell ref="BT81:BU81"/>
    <mergeCell ref="BV81:BW81"/>
    <mergeCell ref="DT70:DU70"/>
    <mergeCell ref="DZ70:EA70"/>
    <mergeCell ref="EB70:EC70"/>
    <mergeCell ref="DP71:DQ71"/>
    <mergeCell ref="DR71:DS71"/>
    <mergeCell ref="DT71:DU71"/>
    <mergeCell ref="DZ71:EA71"/>
    <mergeCell ref="EB71:EC71"/>
    <mergeCell ref="DR70:DS70"/>
    <mergeCell ref="DP86:DU86"/>
    <mergeCell ref="DP78:DU78"/>
    <mergeCell ref="BR80:BS80"/>
    <mergeCell ref="DZ79:EE79"/>
    <mergeCell ref="DP81:DQ81"/>
    <mergeCell ref="DR81:DS81"/>
    <mergeCell ref="DT81:DU81"/>
    <mergeCell ref="EB80:EC80"/>
    <mergeCell ref="ED80:EE80"/>
    <mergeCell ref="BV80:BW80"/>
    <mergeCell ref="DP80:DQ80"/>
    <mergeCell ref="DR80:DS80"/>
    <mergeCell ref="ED81:EE81"/>
    <mergeCell ref="DP87:DU87"/>
    <mergeCell ref="BJ84:BJ85"/>
    <mergeCell ref="BS84:BS85"/>
    <mergeCell ref="BW84:BW85"/>
    <mergeCell ref="DZ87:EE87"/>
    <mergeCell ref="BJ86:BJ89"/>
    <mergeCell ref="ED88:EE88"/>
    <mergeCell ref="DZ86:EE86"/>
    <mergeCell ref="DP88:DQ88"/>
    <mergeCell ref="DR88:DS88"/>
    <mergeCell ref="ED89:EE89"/>
    <mergeCell ref="DT88:DU88"/>
    <mergeCell ref="DZ88:EA88"/>
    <mergeCell ref="EB88:EC88"/>
    <mergeCell ref="DZ89:EA89"/>
    <mergeCell ref="EB89:EC89"/>
    <mergeCell ref="DP89:DQ89"/>
    <mergeCell ref="DR89:DS89"/>
    <mergeCell ref="DT89:DU89"/>
    <mergeCell ref="BU84:BU89"/>
    <mergeCell ref="BL85:BL89"/>
    <mergeCell ref="BN86:BQ89"/>
    <mergeCell ref="BS86:BS89"/>
    <mergeCell ref="BW86:BW89"/>
    <mergeCell ref="DT80:DU80"/>
    <mergeCell ref="DZ80:EA80"/>
    <mergeCell ref="DZ81:EA81"/>
    <mergeCell ref="EB81:EC81"/>
    <mergeCell ref="BR24:BT24"/>
    <mergeCell ref="BU24:BW24"/>
    <mergeCell ref="BR25:BW25"/>
    <mergeCell ref="BR26:BS26"/>
    <mergeCell ref="BT26:BU26"/>
    <mergeCell ref="BV26:BW26"/>
    <mergeCell ref="BR27:BS27"/>
    <mergeCell ref="BT27:BU27"/>
    <mergeCell ref="BV27:BW27"/>
    <mergeCell ref="BR50:BT50"/>
    <mergeCell ref="BU50:BW50"/>
    <mergeCell ref="BR51:BW51"/>
    <mergeCell ref="BR52:BS52"/>
    <mergeCell ref="BT52:BU52"/>
    <mergeCell ref="BV52:BW52"/>
    <mergeCell ref="BR53:BS53"/>
    <mergeCell ref="BT53:BU53"/>
    <mergeCell ref="BV53:BW53"/>
    <mergeCell ref="DP60:DU60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B2:EE100"/>
  <sheetViews>
    <sheetView topLeftCell="A14" zoomScale="80" zoomScaleNormal="80" workbookViewId="0">
      <selection activeCell="T43" sqref="T43:Y43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240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5" spans="2:135" ht="10.050000000000001" customHeight="1" thickBot="1" x14ac:dyDescent="0.35">
      <c r="B5" s="118" t="s">
        <v>4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19</v>
      </c>
      <c r="K6" s="25"/>
      <c r="L6" s="26"/>
      <c r="M6" s="27" t="s">
        <v>33</v>
      </c>
      <c r="N6" s="28"/>
      <c r="O6" s="29"/>
      <c r="P6" s="4"/>
      <c r="Q6" s="4"/>
      <c r="R6" s="4"/>
      <c r="S6" s="4"/>
      <c r="T6" s="24" t="s">
        <v>90</v>
      </c>
      <c r="U6" s="25"/>
      <c r="V6" s="26"/>
      <c r="W6" s="27" t="s">
        <v>164</v>
      </c>
      <c r="X6" s="28"/>
      <c r="Y6" s="29"/>
      <c r="Z6" s="4"/>
      <c r="AA6" s="4"/>
      <c r="AB6" s="4"/>
      <c r="AC6" s="4"/>
      <c r="AD6" s="24" t="s">
        <v>181</v>
      </c>
      <c r="AE6" s="25"/>
      <c r="AF6" s="26"/>
      <c r="AG6" s="38">
        <v>111</v>
      </c>
      <c r="AH6" s="39"/>
      <c r="AI6" s="40"/>
      <c r="AJ6" s="4"/>
      <c r="AK6" s="4"/>
      <c r="AL6" s="4"/>
      <c r="AM6" s="4"/>
      <c r="AN6" s="24" t="s">
        <v>119</v>
      </c>
      <c r="AO6" s="25"/>
      <c r="AP6" s="26"/>
      <c r="AQ6" s="38" t="s">
        <v>109</v>
      </c>
      <c r="AR6" s="39"/>
      <c r="AS6" s="40"/>
      <c r="AT6" s="4"/>
      <c r="AU6" s="4"/>
      <c r="AV6" s="4"/>
      <c r="AW6" s="4"/>
      <c r="AX6" s="24" t="s">
        <v>122</v>
      </c>
      <c r="AY6" s="25"/>
      <c r="AZ6" s="26"/>
      <c r="BA6" s="38" t="s">
        <v>109</v>
      </c>
      <c r="BB6" s="39"/>
      <c r="BC6" s="40"/>
      <c r="BD6" s="4"/>
      <c r="BE6" s="4"/>
      <c r="BF6" s="4"/>
      <c r="BG6" s="4"/>
      <c r="BH6" s="24" t="s">
        <v>121</v>
      </c>
      <c r="BI6" s="25"/>
      <c r="BJ6" s="26"/>
      <c r="BK6" s="38" t="s">
        <v>109</v>
      </c>
      <c r="BL6" s="39"/>
      <c r="BM6" s="40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SUM(N8,X8,AH8,AR8,BB8,BL8)</f>
        <v>750</v>
      </c>
      <c r="H7" s="2"/>
      <c r="I7" s="2"/>
      <c r="J7" s="53" t="s">
        <v>32</v>
      </c>
      <c r="K7" s="54"/>
      <c r="L7" s="54"/>
      <c r="M7" s="54"/>
      <c r="N7" s="55"/>
      <c r="O7" s="56"/>
      <c r="P7" s="4"/>
      <c r="Q7" s="4"/>
      <c r="R7" s="4"/>
      <c r="S7" s="4"/>
      <c r="T7" s="30" t="s">
        <v>165</v>
      </c>
      <c r="U7" s="31"/>
      <c r="V7" s="31"/>
      <c r="W7" s="31"/>
      <c r="X7" s="32"/>
      <c r="Y7" s="33"/>
      <c r="Z7" s="4"/>
      <c r="AA7" s="4"/>
      <c r="AB7" s="4"/>
      <c r="AC7" s="4"/>
      <c r="AD7" s="30" t="s">
        <v>180</v>
      </c>
      <c r="AE7" s="31"/>
      <c r="AF7" s="31"/>
      <c r="AG7" s="31"/>
      <c r="AH7" s="32"/>
      <c r="AI7" s="33"/>
      <c r="AJ7" s="4"/>
      <c r="AK7" s="4"/>
      <c r="AL7" s="4"/>
      <c r="AM7" s="4"/>
      <c r="AN7" s="114" t="s">
        <v>120</v>
      </c>
      <c r="AO7" s="115"/>
      <c r="AP7" s="115"/>
      <c r="AQ7" s="115"/>
      <c r="AR7" s="116"/>
      <c r="AS7" s="117"/>
      <c r="AT7" s="4"/>
      <c r="AU7" s="4"/>
      <c r="AV7" s="4"/>
      <c r="AW7" s="4"/>
      <c r="AX7" s="114" t="s">
        <v>123</v>
      </c>
      <c r="AY7" s="115"/>
      <c r="AZ7" s="115"/>
      <c r="BA7" s="115"/>
      <c r="BB7" s="116"/>
      <c r="BC7" s="117"/>
      <c r="BD7" s="4"/>
      <c r="BE7" s="4"/>
      <c r="BF7" s="4"/>
      <c r="BG7" s="4"/>
      <c r="BH7" s="114" t="s">
        <v>21</v>
      </c>
      <c r="BI7" s="115"/>
      <c r="BJ7" s="115"/>
      <c r="BK7" s="115"/>
      <c r="BL7" s="116"/>
      <c r="BM7" s="117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57">
        <v>3</v>
      </c>
      <c r="K8" s="58"/>
      <c r="L8" s="59">
        <v>5</v>
      </c>
      <c r="M8" s="58"/>
      <c r="N8" s="59">
        <v>180</v>
      </c>
      <c r="O8" s="91"/>
      <c r="P8" s="4"/>
      <c r="Q8" s="4"/>
      <c r="R8" s="4"/>
      <c r="S8" s="4"/>
      <c r="T8" s="34">
        <v>3</v>
      </c>
      <c r="U8" s="35"/>
      <c r="V8" s="36">
        <v>4</v>
      </c>
      <c r="W8" s="35"/>
      <c r="X8" s="36">
        <v>150</v>
      </c>
      <c r="Y8" s="37"/>
      <c r="Z8" s="4"/>
      <c r="AA8" s="4"/>
      <c r="AB8" s="4"/>
      <c r="AC8" s="4"/>
      <c r="AD8" s="34">
        <v>3</v>
      </c>
      <c r="AE8" s="35"/>
      <c r="AF8" s="36">
        <v>4</v>
      </c>
      <c r="AG8" s="35"/>
      <c r="AH8" s="36">
        <v>150</v>
      </c>
      <c r="AI8" s="37"/>
      <c r="AJ8" s="4"/>
      <c r="AK8" s="4"/>
      <c r="AL8" s="4"/>
      <c r="AM8" s="4"/>
      <c r="AN8" s="110">
        <v>2</v>
      </c>
      <c r="AO8" s="111"/>
      <c r="AP8" s="108">
        <v>2</v>
      </c>
      <c r="AQ8" s="111"/>
      <c r="AR8" s="108">
        <v>90</v>
      </c>
      <c r="AS8" s="109"/>
      <c r="AT8" s="4"/>
      <c r="AU8" s="4"/>
      <c r="AV8" s="4"/>
      <c r="AW8" s="4"/>
      <c r="AX8" s="110">
        <v>2</v>
      </c>
      <c r="AY8" s="111"/>
      <c r="AZ8" s="108">
        <v>2</v>
      </c>
      <c r="BA8" s="111"/>
      <c r="BB8" s="108">
        <v>90</v>
      </c>
      <c r="BC8" s="109"/>
      <c r="BD8" s="4"/>
      <c r="BE8" s="4"/>
      <c r="BF8" s="4"/>
      <c r="BG8" s="4"/>
      <c r="BH8" s="110">
        <v>2</v>
      </c>
      <c r="BI8" s="111"/>
      <c r="BJ8" s="108">
        <v>2</v>
      </c>
      <c r="BK8" s="111"/>
      <c r="BL8" s="108">
        <v>90</v>
      </c>
      <c r="BM8" s="109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SUM(J8,T8,AD8,AN8,AX8,BH8)</f>
        <v>15</v>
      </c>
      <c r="F9" s="11">
        <f>SUM(L8,V8,AF8,AP8,AZ8,BJ8)</f>
        <v>19</v>
      </c>
      <c r="G9" s="105"/>
      <c r="H9" s="2"/>
      <c r="I9" s="2"/>
      <c r="J9" s="92">
        <v>2</v>
      </c>
      <c r="K9" s="93"/>
      <c r="L9" s="70">
        <v>0</v>
      </c>
      <c r="M9" s="93"/>
      <c r="N9" s="70">
        <v>3</v>
      </c>
      <c r="O9" s="71"/>
      <c r="P9" s="4"/>
      <c r="Q9" s="4"/>
      <c r="R9" s="4"/>
      <c r="S9" s="4"/>
      <c r="T9" s="20">
        <v>2</v>
      </c>
      <c r="U9" s="21"/>
      <c r="V9" s="22">
        <v>0</v>
      </c>
      <c r="W9" s="21"/>
      <c r="X9" s="22">
        <v>2</v>
      </c>
      <c r="Y9" s="23"/>
      <c r="Z9" s="4"/>
      <c r="AA9" s="4"/>
      <c r="AB9" s="4"/>
      <c r="AC9" s="4"/>
      <c r="AD9" s="20">
        <v>3</v>
      </c>
      <c r="AE9" s="21"/>
      <c r="AF9" s="22">
        <v>1</v>
      </c>
      <c r="AG9" s="21"/>
      <c r="AH9" s="22">
        <v>0</v>
      </c>
      <c r="AI9" s="23"/>
      <c r="AJ9" s="4"/>
      <c r="AK9" s="4"/>
      <c r="AL9" s="4"/>
      <c r="AM9" s="4"/>
      <c r="AN9" s="112">
        <v>2</v>
      </c>
      <c r="AO9" s="113"/>
      <c r="AP9" s="106">
        <v>0</v>
      </c>
      <c r="AQ9" s="113"/>
      <c r="AR9" s="106">
        <v>0</v>
      </c>
      <c r="AS9" s="107"/>
      <c r="AT9" s="4"/>
      <c r="AU9" s="4"/>
      <c r="AV9" s="4"/>
      <c r="AW9" s="4"/>
      <c r="AX9" s="112">
        <v>2</v>
      </c>
      <c r="AY9" s="113"/>
      <c r="AZ9" s="106">
        <v>0</v>
      </c>
      <c r="BA9" s="113"/>
      <c r="BB9" s="106">
        <v>0</v>
      </c>
      <c r="BC9" s="107"/>
      <c r="BD9" s="4"/>
      <c r="BE9" s="4"/>
      <c r="BF9" s="4"/>
      <c r="BG9" s="4"/>
      <c r="BH9" s="112">
        <v>2</v>
      </c>
      <c r="BI9" s="113"/>
      <c r="BJ9" s="106">
        <v>0</v>
      </c>
      <c r="BK9" s="113"/>
      <c r="BL9" s="106">
        <v>0</v>
      </c>
      <c r="BM9" s="107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19</v>
      </c>
      <c r="K14" s="25"/>
      <c r="L14" s="26"/>
      <c r="M14" s="27" t="s">
        <v>35</v>
      </c>
      <c r="N14" s="28"/>
      <c r="O14" s="29"/>
      <c r="P14" s="4"/>
      <c r="Q14" s="4"/>
      <c r="R14" s="4"/>
      <c r="S14" s="4"/>
      <c r="T14" s="24" t="s">
        <v>114</v>
      </c>
      <c r="U14" s="25"/>
      <c r="V14" s="26"/>
      <c r="W14" s="38">
        <v>131</v>
      </c>
      <c r="X14" s="39"/>
      <c r="Y14" s="40"/>
      <c r="Z14" s="4"/>
      <c r="AA14" s="4"/>
      <c r="AB14" s="4"/>
      <c r="AC14" s="4"/>
      <c r="AD14" s="24" t="s">
        <v>19</v>
      </c>
      <c r="AE14" s="25"/>
      <c r="AF14" s="26"/>
      <c r="AG14" s="38">
        <v>315</v>
      </c>
      <c r="AH14" s="39"/>
      <c r="AI14" s="40"/>
      <c r="AJ14" s="4"/>
      <c r="AK14" s="4"/>
      <c r="AL14" s="4"/>
      <c r="AM14" s="4"/>
      <c r="AN14" s="24" t="s">
        <v>114</v>
      </c>
      <c r="AO14" s="25"/>
      <c r="AP14" s="26"/>
      <c r="AQ14" s="38">
        <v>112</v>
      </c>
      <c r="AR14" s="39"/>
      <c r="AS14" s="40"/>
      <c r="AT14" s="4"/>
      <c r="AU14" s="4"/>
      <c r="AV14" s="4"/>
      <c r="AW14" s="4"/>
      <c r="AX14" s="24" t="s">
        <v>127</v>
      </c>
      <c r="AY14" s="25"/>
      <c r="AZ14" s="26"/>
      <c r="BA14" s="38" t="s">
        <v>110</v>
      </c>
      <c r="BB14" s="39"/>
      <c r="BC14" s="40"/>
      <c r="BD14" s="4"/>
      <c r="BE14" s="4"/>
      <c r="BF14" s="4"/>
      <c r="BG14" s="4"/>
      <c r="BH14" s="24" t="s">
        <v>131</v>
      </c>
      <c r="BI14" s="25"/>
      <c r="BJ14" s="26"/>
      <c r="BK14" s="38" t="s">
        <v>110</v>
      </c>
      <c r="BL14" s="39"/>
      <c r="BM14" s="40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855</v>
      </c>
      <c r="H15" s="2"/>
      <c r="I15" s="2"/>
      <c r="J15" s="53" t="s">
        <v>34</v>
      </c>
      <c r="K15" s="54"/>
      <c r="L15" s="54"/>
      <c r="M15" s="54"/>
      <c r="N15" s="55"/>
      <c r="O15" s="56"/>
      <c r="P15" s="4"/>
      <c r="Q15" s="4"/>
      <c r="R15" s="4"/>
      <c r="S15" s="4"/>
      <c r="T15" s="30" t="s">
        <v>189</v>
      </c>
      <c r="U15" s="31"/>
      <c r="V15" s="31"/>
      <c r="W15" s="31"/>
      <c r="X15" s="32"/>
      <c r="Y15" s="33"/>
      <c r="Z15" s="4"/>
      <c r="AA15" s="4"/>
      <c r="AB15" s="4"/>
      <c r="AC15" s="4"/>
      <c r="AD15" s="164" t="s">
        <v>26</v>
      </c>
      <c r="AE15" s="165"/>
      <c r="AF15" s="165"/>
      <c r="AG15" s="165"/>
      <c r="AH15" s="165"/>
      <c r="AI15" s="166"/>
      <c r="AJ15" s="4"/>
      <c r="AK15" s="4"/>
      <c r="AL15" s="4"/>
      <c r="AM15" s="4"/>
      <c r="AN15" s="30" t="s">
        <v>126</v>
      </c>
      <c r="AO15" s="31"/>
      <c r="AP15" s="31"/>
      <c r="AQ15" s="31"/>
      <c r="AR15" s="32"/>
      <c r="AS15" s="33"/>
      <c r="AT15" s="4"/>
      <c r="AU15" s="4"/>
      <c r="AV15" s="4"/>
      <c r="AW15" s="4"/>
      <c r="AX15" s="114" t="s">
        <v>128</v>
      </c>
      <c r="AY15" s="115"/>
      <c r="AZ15" s="115"/>
      <c r="BA15" s="115"/>
      <c r="BB15" s="116"/>
      <c r="BC15" s="117"/>
      <c r="BD15" s="4"/>
      <c r="BE15" s="4"/>
      <c r="BF15" s="4"/>
      <c r="BG15" s="4"/>
      <c r="BH15" s="114" t="s">
        <v>20</v>
      </c>
      <c r="BI15" s="115"/>
      <c r="BJ15" s="115"/>
      <c r="BK15" s="115"/>
      <c r="BL15" s="116"/>
      <c r="BM15" s="117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57">
        <v>3</v>
      </c>
      <c r="K16" s="58"/>
      <c r="L16" s="59">
        <v>5</v>
      </c>
      <c r="M16" s="58"/>
      <c r="N16" s="59">
        <v>180</v>
      </c>
      <c r="O16" s="91"/>
      <c r="P16" s="4"/>
      <c r="Q16" s="4"/>
      <c r="R16" s="4"/>
      <c r="S16" s="4"/>
      <c r="T16" s="34">
        <v>3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3</v>
      </c>
      <c r="AE16" s="35"/>
      <c r="AF16" s="36">
        <v>4</v>
      </c>
      <c r="AG16" s="35"/>
      <c r="AH16" s="36">
        <v>150</v>
      </c>
      <c r="AI16" s="37"/>
      <c r="AJ16" s="4"/>
      <c r="AK16" s="4"/>
      <c r="AL16" s="4"/>
      <c r="AM16" s="4"/>
      <c r="AN16" s="34">
        <v>3</v>
      </c>
      <c r="AO16" s="35"/>
      <c r="AP16" s="36">
        <v>4</v>
      </c>
      <c r="AQ16" s="35"/>
      <c r="AR16" s="36">
        <v>150</v>
      </c>
      <c r="AS16" s="37"/>
      <c r="AT16" s="4"/>
      <c r="AU16" s="4"/>
      <c r="AV16" s="4"/>
      <c r="AW16" s="4"/>
      <c r="AX16" s="110">
        <v>2</v>
      </c>
      <c r="AY16" s="111"/>
      <c r="AZ16" s="108">
        <v>2</v>
      </c>
      <c r="BA16" s="111"/>
      <c r="BB16" s="108">
        <v>90</v>
      </c>
      <c r="BC16" s="109"/>
      <c r="BD16" s="4"/>
      <c r="BE16" s="4"/>
      <c r="BF16" s="4"/>
      <c r="BG16" s="4"/>
      <c r="BH16" s="110">
        <v>2</v>
      </c>
      <c r="BI16" s="111"/>
      <c r="BJ16" s="108">
        <v>2</v>
      </c>
      <c r="BK16" s="111"/>
      <c r="BL16" s="108">
        <v>90</v>
      </c>
      <c r="BM16" s="109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SUM(J16,T16,AD16,AN16,AX16,BH16)</f>
        <v>16</v>
      </c>
      <c r="F17" s="11">
        <f>SUM(L16,V16,AF16,AP16,AZ16,BJ16)</f>
        <v>22</v>
      </c>
      <c r="G17" s="105"/>
      <c r="H17" s="2"/>
      <c r="I17" s="2"/>
      <c r="J17" s="92">
        <v>2</v>
      </c>
      <c r="K17" s="93"/>
      <c r="L17" s="70">
        <v>0</v>
      </c>
      <c r="M17" s="93"/>
      <c r="N17" s="70">
        <v>3</v>
      </c>
      <c r="O17" s="71"/>
      <c r="P17" s="4"/>
      <c r="Q17" s="4"/>
      <c r="R17" s="4"/>
      <c r="S17" s="4"/>
      <c r="T17" s="20">
        <v>2</v>
      </c>
      <c r="U17" s="21"/>
      <c r="V17" s="22">
        <v>2</v>
      </c>
      <c r="W17" s="21"/>
      <c r="X17" s="22">
        <v>1</v>
      </c>
      <c r="Y17" s="23"/>
      <c r="Z17" s="4"/>
      <c r="AA17" s="4"/>
      <c r="AB17" s="4"/>
      <c r="AC17" s="4"/>
      <c r="AD17" s="20">
        <v>2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20">
        <v>3</v>
      </c>
      <c r="AO17" s="21"/>
      <c r="AP17" s="22">
        <v>1</v>
      </c>
      <c r="AQ17" s="21"/>
      <c r="AR17" s="22">
        <v>0</v>
      </c>
      <c r="AS17" s="23"/>
      <c r="AT17" s="4"/>
      <c r="AU17" s="4"/>
      <c r="AV17" s="4"/>
      <c r="AW17" s="4"/>
      <c r="AX17" s="112">
        <v>2</v>
      </c>
      <c r="AY17" s="113"/>
      <c r="AZ17" s="106">
        <v>0</v>
      </c>
      <c r="BA17" s="113"/>
      <c r="BB17" s="106">
        <v>0</v>
      </c>
      <c r="BC17" s="107"/>
      <c r="BD17" s="4"/>
      <c r="BE17" s="4"/>
      <c r="BF17" s="4"/>
      <c r="BG17" s="4"/>
      <c r="BH17" s="112">
        <v>2</v>
      </c>
      <c r="BI17" s="113"/>
      <c r="BJ17" s="106">
        <v>0</v>
      </c>
      <c r="BK17" s="113"/>
      <c r="BL17" s="106">
        <v>0</v>
      </c>
      <c r="BM17" s="107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3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19</v>
      </c>
      <c r="K24" s="25"/>
      <c r="L24" s="26"/>
      <c r="M24" s="38">
        <v>111</v>
      </c>
      <c r="N24" s="102"/>
      <c r="O24" s="103"/>
      <c r="P24" s="4"/>
      <c r="Q24" s="4"/>
      <c r="R24" s="4"/>
      <c r="S24" s="4"/>
      <c r="T24" s="24" t="s">
        <v>19</v>
      </c>
      <c r="U24" s="25"/>
      <c r="V24" s="26"/>
      <c r="W24" s="38">
        <v>131</v>
      </c>
      <c r="X24" s="102"/>
      <c r="Y24" s="103"/>
      <c r="Z24" s="4"/>
      <c r="AA24" s="4"/>
      <c r="AB24" s="4"/>
      <c r="AC24" s="4"/>
      <c r="AD24" s="24" t="s">
        <v>114</v>
      </c>
      <c r="AE24" s="25"/>
      <c r="AF24" s="26"/>
      <c r="AG24" s="38">
        <v>231</v>
      </c>
      <c r="AH24" s="39"/>
      <c r="AI24" s="40"/>
      <c r="AJ24" s="4"/>
      <c r="AK24" s="4"/>
      <c r="AL24" s="4"/>
      <c r="AM24" s="4"/>
      <c r="AN24" s="24" t="s">
        <v>48</v>
      </c>
      <c r="AO24" s="25"/>
      <c r="AP24" s="26"/>
      <c r="AQ24" s="38">
        <v>111</v>
      </c>
      <c r="AR24" s="39"/>
      <c r="AS24" s="40"/>
      <c r="AT24" s="4"/>
      <c r="AU24" s="4"/>
      <c r="AV24" s="4"/>
      <c r="AW24" s="4"/>
      <c r="AX24" s="24" t="s">
        <v>114</v>
      </c>
      <c r="AY24" s="25"/>
      <c r="AZ24" s="26"/>
      <c r="BA24" s="38">
        <v>212</v>
      </c>
      <c r="BB24" s="39"/>
      <c r="BC24" s="40"/>
      <c r="BD24" s="4"/>
      <c r="BE24" s="4"/>
      <c r="BF24" s="4"/>
      <c r="BG24" s="4"/>
      <c r="BH24" s="24" t="s">
        <v>129</v>
      </c>
      <c r="BI24" s="25"/>
      <c r="BJ24" s="26"/>
      <c r="BK24" s="38" t="s">
        <v>110</v>
      </c>
      <c r="BL24" s="39"/>
      <c r="BM24" s="40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48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SUM(N26,X26,AH26,J25,AR26,BB26,BL26)</f>
        <v>990</v>
      </c>
      <c r="H25" s="2"/>
      <c r="I25" s="2"/>
      <c r="J25" s="53" t="s">
        <v>36</v>
      </c>
      <c r="K25" s="54"/>
      <c r="L25" s="54"/>
      <c r="M25" s="54"/>
      <c r="N25" s="55"/>
      <c r="O25" s="56"/>
      <c r="P25" s="4"/>
      <c r="Q25" s="4"/>
      <c r="R25" s="4"/>
      <c r="S25" s="4"/>
      <c r="T25" s="53" t="s">
        <v>37</v>
      </c>
      <c r="U25" s="54"/>
      <c r="V25" s="54"/>
      <c r="W25" s="54"/>
      <c r="X25" s="55"/>
      <c r="Y25" s="56"/>
      <c r="Z25" s="4"/>
      <c r="AA25" s="4"/>
      <c r="AB25" s="4"/>
      <c r="AC25" s="4"/>
      <c r="AD25" s="30" t="s">
        <v>190</v>
      </c>
      <c r="AE25" s="31"/>
      <c r="AF25" s="31"/>
      <c r="AG25" s="31"/>
      <c r="AH25" s="32"/>
      <c r="AI25" s="33"/>
      <c r="AJ25" s="4"/>
      <c r="AK25" s="4"/>
      <c r="AL25" s="4"/>
      <c r="AM25" s="4"/>
      <c r="AN25" s="53" t="s">
        <v>47</v>
      </c>
      <c r="AO25" s="54"/>
      <c r="AP25" s="54"/>
      <c r="AQ25" s="54"/>
      <c r="AR25" s="55"/>
      <c r="AS25" s="56"/>
      <c r="AT25" s="4"/>
      <c r="AU25" s="4"/>
      <c r="AV25" s="4"/>
      <c r="AW25" s="4"/>
      <c r="AX25" s="30" t="s">
        <v>182</v>
      </c>
      <c r="AY25" s="31"/>
      <c r="AZ25" s="31"/>
      <c r="BA25" s="31"/>
      <c r="BB25" s="32"/>
      <c r="BC25" s="33"/>
      <c r="BD25" s="4"/>
      <c r="BE25" s="4"/>
      <c r="BF25" s="4"/>
      <c r="BG25" s="4"/>
      <c r="BH25" s="114" t="s">
        <v>130</v>
      </c>
      <c r="BI25" s="115"/>
      <c r="BJ25" s="115"/>
      <c r="BK25" s="115"/>
      <c r="BL25" s="116"/>
      <c r="BM25" s="117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57">
        <v>3</v>
      </c>
      <c r="K26" s="58"/>
      <c r="L26" s="59">
        <v>5</v>
      </c>
      <c r="M26" s="58"/>
      <c r="N26" s="59">
        <v>180</v>
      </c>
      <c r="O26" s="91"/>
      <c r="P26" s="4"/>
      <c r="Q26" s="4"/>
      <c r="R26" s="4"/>
      <c r="S26" s="4"/>
      <c r="T26" s="57">
        <v>3</v>
      </c>
      <c r="U26" s="58"/>
      <c r="V26" s="59">
        <v>6</v>
      </c>
      <c r="W26" s="58"/>
      <c r="X26" s="59">
        <v>195</v>
      </c>
      <c r="Y26" s="91"/>
      <c r="Z26" s="4"/>
      <c r="AA26" s="4"/>
      <c r="AB26" s="4"/>
      <c r="AC26" s="4"/>
      <c r="AD26" s="34">
        <v>3</v>
      </c>
      <c r="AE26" s="35"/>
      <c r="AF26" s="36">
        <v>5</v>
      </c>
      <c r="AG26" s="35"/>
      <c r="AH26" s="36">
        <v>195</v>
      </c>
      <c r="AI26" s="37"/>
      <c r="AJ26" s="4"/>
      <c r="AK26" s="4"/>
      <c r="AL26" s="4"/>
      <c r="AM26" s="4"/>
      <c r="AN26" s="57">
        <v>3</v>
      </c>
      <c r="AO26" s="58"/>
      <c r="AP26" s="59">
        <v>5</v>
      </c>
      <c r="AQ26" s="58"/>
      <c r="AR26" s="59">
        <v>180</v>
      </c>
      <c r="AS26" s="91"/>
      <c r="AT26" s="4"/>
      <c r="AU26" s="4"/>
      <c r="AV26" s="4"/>
      <c r="AW26" s="4"/>
      <c r="AX26" s="34">
        <v>3</v>
      </c>
      <c r="AY26" s="35"/>
      <c r="AZ26" s="36">
        <v>4</v>
      </c>
      <c r="BA26" s="35"/>
      <c r="BB26" s="36">
        <v>150</v>
      </c>
      <c r="BC26" s="37"/>
      <c r="BD26" s="4"/>
      <c r="BE26" s="4"/>
      <c r="BF26" s="4"/>
      <c r="BG26" s="4"/>
      <c r="BH26" s="110">
        <v>2</v>
      </c>
      <c r="BI26" s="111"/>
      <c r="BJ26" s="108">
        <v>2</v>
      </c>
      <c r="BK26" s="111"/>
      <c r="BL26" s="108">
        <v>90</v>
      </c>
      <c r="BM26" s="109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customHeight="1" thickBot="1" x14ac:dyDescent="0.35">
      <c r="B27" s="118"/>
      <c r="C27" s="1"/>
      <c r="D27" s="119"/>
      <c r="E27" s="11">
        <f>SUM(J26,T26,AD26,AN26,AX26,BH26)</f>
        <v>17</v>
      </c>
      <c r="F27" s="11">
        <f>SUM(L26,V26,AF26,AP26,AZ26,BJ26)</f>
        <v>27</v>
      </c>
      <c r="G27" s="105"/>
      <c r="H27" s="2"/>
      <c r="I27" s="2"/>
      <c r="J27" s="92">
        <v>2</v>
      </c>
      <c r="K27" s="93"/>
      <c r="L27" s="70">
        <v>0</v>
      </c>
      <c r="M27" s="93"/>
      <c r="N27" s="70">
        <v>3</v>
      </c>
      <c r="O27" s="71"/>
      <c r="P27" s="4"/>
      <c r="Q27" s="4"/>
      <c r="R27" s="4"/>
      <c r="S27" s="4"/>
      <c r="T27" s="92">
        <v>2</v>
      </c>
      <c r="U27" s="93"/>
      <c r="V27" s="70">
        <v>2</v>
      </c>
      <c r="W27" s="93"/>
      <c r="X27" s="70">
        <v>2</v>
      </c>
      <c r="Y27" s="71"/>
      <c r="Z27" s="4"/>
      <c r="AA27" s="4"/>
      <c r="AB27" s="4"/>
      <c r="AC27" s="4"/>
      <c r="AD27" s="20">
        <v>2</v>
      </c>
      <c r="AE27" s="21"/>
      <c r="AF27" s="22">
        <v>1</v>
      </c>
      <c r="AG27" s="21"/>
      <c r="AH27" s="22">
        <v>2</v>
      </c>
      <c r="AI27" s="23"/>
      <c r="AJ27" s="4"/>
      <c r="AK27" s="4"/>
      <c r="AL27" s="4"/>
      <c r="AM27" s="4"/>
      <c r="AN27" s="92">
        <v>2</v>
      </c>
      <c r="AO27" s="93"/>
      <c r="AP27" s="70">
        <v>1</v>
      </c>
      <c r="AQ27" s="93"/>
      <c r="AR27" s="70">
        <v>2</v>
      </c>
      <c r="AS27" s="71"/>
      <c r="AT27" s="4"/>
      <c r="AU27" s="4"/>
      <c r="AV27" s="4"/>
      <c r="AW27" s="4"/>
      <c r="AX27" s="20">
        <v>2</v>
      </c>
      <c r="AY27" s="21"/>
      <c r="AZ27" s="22">
        <v>0</v>
      </c>
      <c r="BA27" s="21"/>
      <c r="BB27" s="22">
        <v>2</v>
      </c>
      <c r="BC27" s="23"/>
      <c r="BD27" s="4"/>
      <c r="BE27" s="4"/>
      <c r="BF27" s="4"/>
      <c r="BG27" s="4"/>
      <c r="BH27" s="112">
        <v>2</v>
      </c>
      <c r="BI27" s="113"/>
      <c r="BJ27" s="106">
        <v>0</v>
      </c>
      <c r="BK27" s="113"/>
      <c r="BL27" s="106">
        <v>0</v>
      </c>
      <c r="BM27" s="107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19</v>
      </c>
      <c r="K32" s="25"/>
      <c r="L32" s="26"/>
      <c r="M32" s="27" t="s">
        <v>164</v>
      </c>
      <c r="N32" s="28"/>
      <c r="O32" s="29"/>
      <c r="P32" s="4"/>
      <c r="Q32" s="4"/>
      <c r="R32" s="4"/>
      <c r="S32" s="4"/>
      <c r="T32" s="24" t="s">
        <v>19</v>
      </c>
      <c r="U32" s="25"/>
      <c r="V32" s="26"/>
      <c r="W32" s="38">
        <v>221</v>
      </c>
      <c r="X32" s="102"/>
      <c r="Y32" s="103"/>
      <c r="Z32" s="4"/>
      <c r="AA32" s="4"/>
      <c r="AB32" s="4"/>
      <c r="AC32" s="4"/>
      <c r="AD32" s="24" t="s">
        <v>19</v>
      </c>
      <c r="AE32" s="25"/>
      <c r="AF32" s="26"/>
      <c r="AG32" s="38">
        <v>132</v>
      </c>
      <c r="AH32" s="102"/>
      <c r="AI32" s="103"/>
      <c r="AJ32" s="4"/>
      <c r="AK32" s="4"/>
      <c r="AL32" s="4"/>
      <c r="AM32" s="4"/>
      <c r="AN32" s="24" t="s">
        <v>114</v>
      </c>
      <c r="AO32" s="25"/>
      <c r="AP32" s="26"/>
      <c r="AQ32" s="38">
        <v>312</v>
      </c>
      <c r="AR32" s="39"/>
      <c r="AS32" s="40"/>
      <c r="AT32" s="4"/>
      <c r="AU32" s="4"/>
      <c r="AV32" s="4"/>
      <c r="AW32" s="4"/>
      <c r="AX32" s="24" t="s">
        <v>19</v>
      </c>
      <c r="AY32" s="25"/>
      <c r="AZ32" s="26"/>
      <c r="BA32" s="38">
        <v>191</v>
      </c>
      <c r="BB32" s="102"/>
      <c r="BC32" s="103"/>
      <c r="BD32" s="4"/>
      <c r="BE32" s="4"/>
      <c r="BF32" s="4"/>
      <c r="BG32" s="4"/>
      <c r="BH32" s="24" t="s">
        <v>19</v>
      </c>
      <c r="BI32" s="25"/>
      <c r="BJ32" s="26"/>
      <c r="BK32" s="38">
        <v>251</v>
      </c>
      <c r="BL32" s="102"/>
      <c r="BM32" s="103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900</v>
      </c>
      <c r="H33" s="2"/>
      <c r="I33" s="2"/>
      <c r="J33" s="94" t="s">
        <v>66</v>
      </c>
      <c r="K33" s="95"/>
      <c r="L33" s="95"/>
      <c r="M33" s="95"/>
      <c r="N33" s="96"/>
      <c r="O33" s="97"/>
      <c r="P33" s="4"/>
      <c r="Q33" s="4"/>
      <c r="R33" s="4"/>
      <c r="S33" s="4"/>
      <c r="T33" s="53" t="s">
        <v>43</v>
      </c>
      <c r="U33" s="54"/>
      <c r="V33" s="54"/>
      <c r="W33" s="54"/>
      <c r="X33" s="55"/>
      <c r="Y33" s="56"/>
      <c r="Z33" s="4"/>
      <c r="AA33" s="4"/>
      <c r="AB33" s="4"/>
      <c r="AC33" s="4"/>
      <c r="AD33" s="53" t="s">
        <v>39</v>
      </c>
      <c r="AE33" s="54"/>
      <c r="AF33" s="54"/>
      <c r="AG33" s="54"/>
      <c r="AH33" s="55"/>
      <c r="AI33" s="56"/>
      <c r="AJ33" s="4"/>
      <c r="AK33" s="4"/>
      <c r="AL33" s="4"/>
      <c r="AM33" s="4"/>
      <c r="AN33" s="30" t="s">
        <v>250</v>
      </c>
      <c r="AO33" s="31"/>
      <c r="AP33" s="31"/>
      <c r="AQ33" s="31"/>
      <c r="AR33" s="32"/>
      <c r="AS33" s="33"/>
      <c r="AT33" s="4"/>
      <c r="AU33" s="4"/>
      <c r="AV33" s="4"/>
      <c r="AW33" s="4"/>
      <c r="AX33" s="41" t="s">
        <v>183</v>
      </c>
      <c r="AY33" s="42"/>
      <c r="AZ33" s="42"/>
      <c r="BA33" s="42"/>
      <c r="BB33" s="43"/>
      <c r="BC33" s="44"/>
      <c r="BD33" s="4"/>
      <c r="BE33" s="4"/>
      <c r="BF33" s="4"/>
      <c r="BG33" s="4"/>
      <c r="BH33" s="53" t="s">
        <v>67</v>
      </c>
      <c r="BI33" s="54"/>
      <c r="BJ33" s="54"/>
      <c r="BK33" s="54"/>
      <c r="BL33" s="55"/>
      <c r="BM33" s="56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98">
        <v>3</v>
      </c>
      <c r="K34" s="99"/>
      <c r="L34" s="100">
        <v>5</v>
      </c>
      <c r="M34" s="99"/>
      <c r="N34" s="100">
        <v>165</v>
      </c>
      <c r="O34" s="101"/>
      <c r="P34" s="4"/>
      <c r="Q34" s="4"/>
      <c r="R34" s="4"/>
      <c r="S34" s="4"/>
      <c r="T34" s="57">
        <v>3</v>
      </c>
      <c r="U34" s="58"/>
      <c r="V34" s="59">
        <v>5</v>
      </c>
      <c r="W34" s="58"/>
      <c r="X34" s="59">
        <v>180</v>
      </c>
      <c r="Y34" s="91"/>
      <c r="Z34" s="4"/>
      <c r="AA34" s="4"/>
      <c r="AB34" s="4"/>
      <c r="AC34" s="4"/>
      <c r="AD34" s="57">
        <v>3</v>
      </c>
      <c r="AE34" s="58"/>
      <c r="AF34" s="59">
        <v>5</v>
      </c>
      <c r="AG34" s="58"/>
      <c r="AH34" s="59">
        <v>165</v>
      </c>
      <c r="AI34" s="91"/>
      <c r="AJ34" s="4"/>
      <c r="AK34" s="4"/>
      <c r="AL34" s="4"/>
      <c r="AM34" s="4"/>
      <c r="AN34" s="34">
        <v>3</v>
      </c>
      <c r="AO34" s="35"/>
      <c r="AP34" s="36">
        <v>4</v>
      </c>
      <c r="AQ34" s="35"/>
      <c r="AR34" s="36">
        <v>150</v>
      </c>
      <c r="AS34" s="37"/>
      <c r="AT34" s="4"/>
      <c r="AU34" s="4"/>
      <c r="AV34" s="4"/>
      <c r="AW34" s="4"/>
      <c r="AX34" s="45">
        <v>2</v>
      </c>
      <c r="AY34" s="46"/>
      <c r="AZ34" s="47">
        <v>2</v>
      </c>
      <c r="BA34" s="46"/>
      <c r="BB34" s="47">
        <v>60</v>
      </c>
      <c r="BC34" s="48"/>
      <c r="BD34" s="4"/>
      <c r="BE34" s="4"/>
      <c r="BF34" s="4"/>
      <c r="BG34" s="4"/>
      <c r="BH34" s="57">
        <v>3</v>
      </c>
      <c r="BI34" s="58"/>
      <c r="BJ34" s="59">
        <v>5</v>
      </c>
      <c r="BK34" s="58"/>
      <c r="BL34" s="59">
        <v>180</v>
      </c>
      <c r="BM34" s="91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SUM(J34,T34,AD34,AN34,AX34,BH34)</f>
        <v>17</v>
      </c>
      <c r="F35" s="11">
        <f>L34+V34+AF34+AP34+AZ34+BJ34</f>
        <v>26</v>
      </c>
      <c r="G35" s="105"/>
      <c r="H35" s="2"/>
      <c r="I35" s="2"/>
      <c r="J35" s="72">
        <v>2</v>
      </c>
      <c r="K35" s="73"/>
      <c r="L35" s="68">
        <v>1</v>
      </c>
      <c r="M35" s="73"/>
      <c r="N35" s="68">
        <v>2</v>
      </c>
      <c r="O35" s="69"/>
      <c r="P35" s="4"/>
      <c r="Q35" s="4"/>
      <c r="R35" s="4"/>
      <c r="S35" s="4"/>
      <c r="T35" s="92">
        <v>2</v>
      </c>
      <c r="U35" s="93"/>
      <c r="V35" s="70">
        <v>1</v>
      </c>
      <c r="W35" s="93"/>
      <c r="X35" s="70">
        <v>2</v>
      </c>
      <c r="Y35" s="71"/>
      <c r="Z35" s="4"/>
      <c r="AA35" s="4"/>
      <c r="AB35" s="4"/>
      <c r="AC35" s="4"/>
      <c r="AD35" s="92">
        <v>2</v>
      </c>
      <c r="AE35" s="93"/>
      <c r="AF35" s="70">
        <v>1</v>
      </c>
      <c r="AG35" s="93"/>
      <c r="AH35" s="70">
        <v>2</v>
      </c>
      <c r="AI35" s="71"/>
      <c r="AJ35" s="4"/>
      <c r="AK35" s="4"/>
      <c r="AL35" s="4"/>
      <c r="AM35" s="4"/>
      <c r="AN35" s="20">
        <v>2</v>
      </c>
      <c r="AO35" s="21"/>
      <c r="AP35" s="22">
        <v>2</v>
      </c>
      <c r="AQ35" s="21"/>
      <c r="AR35" s="22">
        <v>0</v>
      </c>
      <c r="AS35" s="23"/>
      <c r="AT35" s="4"/>
      <c r="AU35" s="4"/>
      <c r="AV35" s="4"/>
      <c r="AW35" s="4"/>
      <c r="AX35" s="49">
        <v>2</v>
      </c>
      <c r="AY35" s="50"/>
      <c r="AZ35" s="51">
        <v>0</v>
      </c>
      <c r="BA35" s="50"/>
      <c r="BB35" s="51">
        <v>0</v>
      </c>
      <c r="BC35" s="52"/>
      <c r="BD35" s="4"/>
      <c r="BE35" s="4"/>
      <c r="BF35" s="4"/>
      <c r="BG35" s="4"/>
      <c r="BH35" s="92">
        <v>2</v>
      </c>
      <c r="BI35" s="93"/>
      <c r="BJ35" s="70">
        <v>1</v>
      </c>
      <c r="BK35" s="93"/>
      <c r="BL35" s="70">
        <v>2</v>
      </c>
      <c r="BM35" s="71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2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19</v>
      </c>
      <c r="K42" s="25"/>
      <c r="L42" s="26"/>
      <c r="M42" s="38">
        <v>261</v>
      </c>
      <c r="N42" s="102"/>
      <c r="O42" s="103"/>
      <c r="P42" s="4"/>
      <c r="Q42" s="4"/>
      <c r="R42" s="4"/>
      <c r="S42" s="4"/>
      <c r="T42" s="24" t="s">
        <v>19</v>
      </c>
      <c r="U42" s="25"/>
      <c r="V42" s="26"/>
      <c r="W42" s="38">
        <v>281</v>
      </c>
      <c r="X42" s="39"/>
      <c r="Y42" s="40"/>
      <c r="Z42" s="4"/>
      <c r="AA42" s="4"/>
      <c r="AB42" s="4"/>
      <c r="AC42" s="4"/>
      <c r="AD42" s="24" t="s">
        <v>48</v>
      </c>
      <c r="AE42" s="25"/>
      <c r="AF42" s="26"/>
      <c r="AG42" s="38">
        <v>121</v>
      </c>
      <c r="AH42" s="39"/>
      <c r="AI42" s="40"/>
      <c r="AJ42" s="4"/>
      <c r="AK42" s="4"/>
      <c r="AL42" s="4"/>
      <c r="AM42" s="4"/>
      <c r="AN42" s="24" t="s">
        <v>136</v>
      </c>
      <c r="AO42" s="25"/>
      <c r="AP42" s="26"/>
      <c r="AQ42" s="38" t="s">
        <v>111</v>
      </c>
      <c r="AR42" s="39"/>
      <c r="AS42" s="40"/>
      <c r="AT42" s="4"/>
      <c r="AU42" s="4"/>
      <c r="AV42" s="4"/>
      <c r="AW42" s="4"/>
      <c r="AX42" s="24" t="s">
        <v>19</v>
      </c>
      <c r="AY42" s="25"/>
      <c r="AZ42" s="26"/>
      <c r="BA42" s="38">
        <v>233</v>
      </c>
      <c r="BB42" s="102"/>
      <c r="BC42" s="103"/>
      <c r="BD42" s="4"/>
      <c r="BE42" s="4"/>
      <c r="BF42" s="4"/>
      <c r="BG42" s="4"/>
      <c r="BH42" s="24" t="s">
        <v>133</v>
      </c>
      <c r="BI42" s="25"/>
      <c r="BJ42" s="26"/>
      <c r="BK42" s="38" t="s">
        <v>110</v>
      </c>
      <c r="BL42" s="39"/>
      <c r="BM42" s="40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960</v>
      </c>
      <c r="H43" s="2"/>
      <c r="I43" s="2"/>
      <c r="J43" s="53" t="s">
        <v>41</v>
      </c>
      <c r="K43" s="54"/>
      <c r="L43" s="54"/>
      <c r="M43" s="54"/>
      <c r="N43" s="55"/>
      <c r="O43" s="56"/>
      <c r="P43" s="4"/>
      <c r="Q43" s="4"/>
      <c r="R43" s="4"/>
      <c r="S43" s="4"/>
      <c r="T43" s="94" t="s">
        <v>42</v>
      </c>
      <c r="U43" s="95"/>
      <c r="V43" s="95"/>
      <c r="W43" s="95"/>
      <c r="X43" s="96"/>
      <c r="Y43" s="97"/>
      <c r="Z43" s="4"/>
      <c r="AA43" s="4"/>
      <c r="AB43" s="4"/>
      <c r="AC43" s="4"/>
      <c r="AD43" s="53" t="s">
        <v>49</v>
      </c>
      <c r="AE43" s="54"/>
      <c r="AF43" s="54"/>
      <c r="AG43" s="54"/>
      <c r="AH43" s="55"/>
      <c r="AI43" s="56"/>
      <c r="AJ43" s="4"/>
      <c r="AK43" s="4"/>
      <c r="AL43" s="4"/>
      <c r="AM43" s="4"/>
      <c r="AN43" s="76" t="s">
        <v>138</v>
      </c>
      <c r="AO43" s="77"/>
      <c r="AP43" s="77"/>
      <c r="AQ43" s="77"/>
      <c r="AR43" s="77"/>
      <c r="AS43" s="78"/>
      <c r="AT43" s="4"/>
      <c r="AU43" s="4"/>
      <c r="AV43" s="4"/>
      <c r="AW43" s="4"/>
      <c r="AX43" s="53" t="s">
        <v>40</v>
      </c>
      <c r="AY43" s="54"/>
      <c r="AZ43" s="54"/>
      <c r="BA43" s="54"/>
      <c r="BB43" s="55"/>
      <c r="BC43" s="56"/>
      <c r="BD43" s="4"/>
      <c r="BE43" s="4"/>
      <c r="BF43" s="4"/>
      <c r="BG43" s="4"/>
      <c r="BH43" s="114" t="s">
        <v>132</v>
      </c>
      <c r="BI43" s="115"/>
      <c r="BJ43" s="115"/>
      <c r="BK43" s="115"/>
      <c r="BL43" s="116"/>
      <c r="BM43" s="117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57">
        <v>3</v>
      </c>
      <c r="K44" s="58"/>
      <c r="L44" s="59">
        <v>5</v>
      </c>
      <c r="M44" s="58"/>
      <c r="N44" s="59">
        <v>165</v>
      </c>
      <c r="O44" s="91"/>
      <c r="P44" s="4"/>
      <c r="Q44" s="4"/>
      <c r="R44" s="4"/>
      <c r="S44" s="4"/>
      <c r="T44" s="98">
        <v>3</v>
      </c>
      <c r="U44" s="99"/>
      <c r="V44" s="100">
        <v>5</v>
      </c>
      <c r="W44" s="99"/>
      <c r="X44" s="100">
        <v>180</v>
      </c>
      <c r="Y44" s="101"/>
      <c r="Z44" s="4"/>
      <c r="AA44" s="4"/>
      <c r="AB44" s="4"/>
      <c r="AC44" s="4"/>
      <c r="AD44" s="57">
        <v>3</v>
      </c>
      <c r="AE44" s="58"/>
      <c r="AF44" s="59">
        <v>5</v>
      </c>
      <c r="AG44" s="58"/>
      <c r="AH44" s="59">
        <v>180</v>
      </c>
      <c r="AI44" s="91"/>
      <c r="AJ44" s="4"/>
      <c r="AK44" s="4"/>
      <c r="AL44" s="4"/>
      <c r="AM44" s="4"/>
      <c r="AN44" s="79">
        <v>3</v>
      </c>
      <c r="AO44" s="80"/>
      <c r="AP44" s="81">
        <v>5</v>
      </c>
      <c r="AQ44" s="80"/>
      <c r="AR44" s="81">
        <v>180</v>
      </c>
      <c r="AS44" s="82"/>
      <c r="AT44" s="4"/>
      <c r="AU44" s="4"/>
      <c r="AV44" s="4"/>
      <c r="AW44" s="4"/>
      <c r="AX44" s="57">
        <v>3</v>
      </c>
      <c r="AY44" s="58"/>
      <c r="AZ44" s="59">
        <v>5</v>
      </c>
      <c r="BA44" s="58"/>
      <c r="BB44" s="59">
        <v>165</v>
      </c>
      <c r="BC44" s="91"/>
      <c r="BD44" s="4"/>
      <c r="BE44" s="4"/>
      <c r="BF44" s="4"/>
      <c r="BG44" s="4"/>
      <c r="BH44" s="110">
        <v>2</v>
      </c>
      <c r="BI44" s="111"/>
      <c r="BJ44" s="108">
        <v>2</v>
      </c>
      <c r="BK44" s="111"/>
      <c r="BL44" s="108">
        <v>90</v>
      </c>
      <c r="BM44" s="109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SUM(J44,T44,AD44,AX44,BH44,AN44)</f>
        <v>17</v>
      </c>
      <c r="F45" s="11">
        <f>SUM(L44,V44,AF44,AP44,AZ44,BJ44)</f>
        <v>27</v>
      </c>
      <c r="G45" s="105"/>
      <c r="H45" s="2"/>
      <c r="I45" s="2"/>
      <c r="J45" s="92">
        <v>2</v>
      </c>
      <c r="K45" s="93"/>
      <c r="L45" s="70">
        <v>1</v>
      </c>
      <c r="M45" s="93"/>
      <c r="N45" s="70">
        <v>2</v>
      </c>
      <c r="O45" s="71"/>
      <c r="P45" s="4"/>
      <c r="Q45" s="4"/>
      <c r="R45" s="4"/>
      <c r="S45" s="4"/>
      <c r="T45" s="72">
        <v>2</v>
      </c>
      <c r="U45" s="73"/>
      <c r="V45" s="68">
        <v>1</v>
      </c>
      <c r="W45" s="73"/>
      <c r="X45" s="68">
        <v>2</v>
      </c>
      <c r="Y45" s="69"/>
      <c r="Z45" s="4"/>
      <c r="AA45" s="4"/>
      <c r="AB45" s="4"/>
      <c r="AC45" s="4"/>
      <c r="AD45" s="92">
        <v>2</v>
      </c>
      <c r="AE45" s="93"/>
      <c r="AF45" s="70">
        <v>1</v>
      </c>
      <c r="AG45" s="93"/>
      <c r="AH45" s="70">
        <v>2</v>
      </c>
      <c r="AI45" s="71"/>
      <c r="AJ45" s="4"/>
      <c r="AK45" s="4"/>
      <c r="AL45" s="4"/>
      <c r="AM45" s="4"/>
      <c r="AN45" s="83">
        <v>2</v>
      </c>
      <c r="AO45" s="84"/>
      <c r="AP45" s="85">
        <v>1</v>
      </c>
      <c r="AQ45" s="84"/>
      <c r="AR45" s="85">
        <v>2</v>
      </c>
      <c r="AS45" s="86"/>
      <c r="AT45" s="4"/>
      <c r="AU45" s="4"/>
      <c r="AV45" s="4"/>
      <c r="AW45" s="4"/>
      <c r="AX45" s="92">
        <v>2</v>
      </c>
      <c r="AY45" s="93"/>
      <c r="AZ45" s="70">
        <v>1</v>
      </c>
      <c r="BA45" s="93"/>
      <c r="BB45" s="70">
        <v>2</v>
      </c>
      <c r="BC45" s="71"/>
      <c r="BD45" s="4"/>
      <c r="BE45" s="4"/>
      <c r="BF45" s="4"/>
      <c r="BG45" s="4"/>
      <c r="BH45" s="112">
        <v>2</v>
      </c>
      <c r="BI45" s="113"/>
      <c r="BJ45" s="106">
        <v>0</v>
      </c>
      <c r="BK45" s="113"/>
      <c r="BL45" s="106">
        <v>0</v>
      </c>
      <c r="BM45" s="107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19</v>
      </c>
      <c r="K50" s="25"/>
      <c r="L50" s="26"/>
      <c r="M50" s="38">
        <v>112</v>
      </c>
      <c r="N50" s="102"/>
      <c r="O50" s="103"/>
      <c r="P50" s="4"/>
      <c r="Q50" s="4"/>
      <c r="R50" s="4"/>
      <c r="S50" s="4"/>
      <c r="T50" s="24" t="s">
        <v>19</v>
      </c>
      <c r="U50" s="25"/>
      <c r="V50" s="26"/>
      <c r="W50" s="38">
        <v>292</v>
      </c>
      <c r="X50" s="39"/>
      <c r="Y50" s="40"/>
      <c r="Z50" s="4"/>
      <c r="AA50" s="4"/>
      <c r="AB50" s="4"/>
      <c r="AC50" s="4"/>
      <c r="AD50" s="24" t="s">
        <v>19</v>
      </c>
      <c r="AE50" s="25"/>
      <c r="AF50" s="26"/>
      <c r="AG50" s="38">
        <v>382</v>
      </c>
      <c r="AH50" s="39"/>
      <c r="AI50" s="40"/>
      <c r="AJ50" s="4"/>
      <c r="AK50" s="4"/>
      <c r="AL50" s="4"/>
      <c r="AM50" s="4"/>
      <c r="AN50" s="24" t="s">
        <v>19</v>
      </c>
      <c r="AO50" s="25"/>
      <c r="AP50" s="26"/>
      <c r="AQ50" s="38">
        <v>352</v>
      </c>
      <c r="AR50" s="102"/>
      <c r="AS50" s="103"/>
      <c r="AT50" s="4"/>
      <c r="AU50" s="4"/>
      <c r="AV50" s="4"/>
      <c r="AW50" s="4"/>
      <c r="AX50" s="24" t="s">
        <v>137</v>
      </c>
      <c r="AY50" s="25"/>
      <c r="AZ50" s="26"/>
      <c r="BA50" s="38" t="s">
        <v>111</v>
      </c>
      <c r="BB50" s="39"/>
      <c r="BC50" s="40"/>
      <c r="BD50" s="4"/>
      <c r="BE50" s="4"/>
      <c r="BF50" s="4"/>
      <c r="BG50" s="4"/>
      <c r="BH50" s="24" t="s">
        <v>135</v>
      </c>
      <c r="BI50" s="25"/>
      <c r="BJ50" s="26"/>
      <c r="BK50" s="38" t="s">
        <v>111</v>
      </c>
      <c r="BL50" s="39"/>
      <c r="BM50" s="40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SUM(N52,X52,AH52,AR52,BB52,BL52)</f>
        <v>870</v>
      </c>
      <c r="H51" s="2"/>
      <c r="I51" s="2"/>
      <c r="J51" s="53" t="s">
        <v>38</v>
      </c>
      <c r="K51" s="54"/>
      <c r="L51" s="54"/>
      <c r="M51" s="54"/>
      <c r="N51" s="55"/>
      <c r="O51" s="56"/>
      <c r="P51" s="4"/>
      <c r="Q51" s="4"/>
      <c r="R51" s="4"/>
      <c r="S51" s="4"/>
      <c r="T51" s="41" t="s">
        <v>185</v>
      </c>
      <c r="U51" s="42"/>
      <c r="V51" s="42"/>
      <c r="W51" s="42"/>
      <c r="X51" s="43"/>
      <c r="Y51" s="44"/>
      <c r="Z51" s="4"/>
      <c r="AA51" s="4"/>
      <c r="AB51" s="4"/>
      <c r="AC51" s="4"/>
      <c r="AD51" s="94" t="s">
        <v>92</v>
      </c>
      <c r="AE51" s="95"/>
      <c r="AF51" s="95"/>
      <c r="AG51" s="95"/>
      <c r="AH51" s="96"/>
      <c r="AI51" s="97"/>
      <c r="AJ51" s="4"/>
      <c r="AK51" s="4"/>
      <c r="AL51" s="4"/>
      <c r="AM51" s="4"/>
      <c r="AN51" s="94" t="s">
        <v>187</v>
      </c>
      <c r="AO51" s="95"/>
      <c r="AP51" s="95"/>
      <c r="AQ51" s="95"/>
      <c r="AR51" s="96"/>
      <c r="AS51" s="97"/>
      <c r="AT51" s="4"/>
      <c r="AU51" s="4"/>
      <c r="AV51" s="4"/>
      <c r="AW51" s="4"/>
      <c r="AX51" s="76" t="s">
        <v>139</v>
      </c>
      <c r="AY51" s="77"/>
      <c r="AZ51" s="77"/>
      <c r="BA51" s="77"/>
      <c r="BB51" s="77"/>
      <c r="BC51" s="78"/>
      <c r="BD51" s="4"/>
      <c r="BE51" s="4"/>
      <c r="BF51" s="4"/>
      <c r="BG51" s="4"/>
      <c r="BH51" s="114" t="s">
        <v>134</v>
      </c>
      <c r="BI51" s="115"/>
      <c r="BJ51" s="115"/>
      <c r="BK51" s="115"/>
      <c r="BL51" s="116"/>
      <c r="BM51" s="117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57">
        <v>4</v>
      </c>
      <c r="K52" s="58"/>
      <c r="L52" s="59">
        <v>6</v>
      </c>
      <c r="M52" s="58"/>
      <c r="N52" s="59">
        <v>195</v>
      </c>
      <c r="O52" s="91"/>
      <c r="P52" s="4"/>
      <c r="Q52" s="4"/>
      <c r="R52" s="4"/>
      <c r="S52" s="4"/>
      <c r="T52" s="45">
        <v>2</v>
      </c>
      <c r="U52" s="46"/>
      <c r="V52" s="47">
        <v>2</v>
      </c>
      <c r="W52" s="46"/>
      <c r="X52" s="47">
        <v>60</v>
      </c>
      <c r="Y52" s="48"/>
      <c r="Z52" s="4"/>
      <c r="AA52" s="4"/>
      <c r="AB52" s="4"/>
      <c r="AC52" s="4"/>
      <c r="AD52" s="98">
        <v>3</v>
      </c>
      <c r="AE52" s="99"/>
      <c r="AF52" s="100">
        <v>5</v>
      </c>
      <c r="AG52" s="99"/>
      <c r="AH52" s="100">
        <v>180</v>
      </c>
      <c r="AI52" s="101"/>
      <c r="AJ52" s="4"/>
      <c r="AK52" s="4"/>
      <c r="AL52" s="4"/>
      <c r="AM52" s="4"/>
      <c r="AN52" s="98">
        <v>3</v>
      </c>
      <c r="AO52" s="99"/>
      <c r="AP52" s="100">
        <v>5</v>
      </c>
      <c r="AQ52" s="99"/>
      <c r="AR52" s="100">
        <v>165</v>
      </c>
      <c r="AS52" s="101"/>
      <c r="AT52" s="4"/>
      <c r="AU52" s="4"/>
      <c r="AV52" s="4"/>
      <c r="AW52" s="4"/>
      <c r="AX52" s="79">
        <v>3</v>
      </c>
      <c r="AY52" s="80"/>
      <c r="AZ52" s="81">
        <v>5</v>
      </c>
      <c r="BA52" s="80"/>
      <c r="BB52" s="81">
        <v>180</v>
      </c>
      <c r="BC52" s="82"/>
      <c r="BD52" s="4"/>
      <c r="BE52" s="4"/>
      <c r="BF52" s="4"/>
      <c r="BG52" s="4"/>
      <c r="BH52" s="110">
        <v>2</v>
      </c>
      <c r="BI52" s="111"/>
      <c r="BJ52" s="108">
        <v>2</v>
      </c>
      <c r="BK52" s="111"/>
      <c r="BL52" s="108">
        <v>90</v>
      </c>
      <c r="BM52" s="109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J52+T52+AD52+AN52+AX52+BH52</f>
        <v>17</v>
      </c>
      <c r="F53" s="11">
        <f>L52+V52+AF52+AP52+AZ52+BJ52</f>
        <v>25</v>
      </c>
      <c r="G53" s="105"/>
      <c r="H53" s="2"/>
      <c r="I53" s="2"/>
      <c r="J53" s="92">
        <v>3</v>
      </c>
      <c r="K53" s="93"/>
      <c r="L53" s="70">
        <v>3</v>
      </c>
      <c r="M53" s="93"/>
      <c r="N53" s="70">
        <v>0</v>
      </c>
      <c r="O53" s="71"/>
      <c r="P53" s="4"/>
      <c r="Q53" s="4"/>
      <c r="R53" s="4"/>
      <c r="S53" s="4"/>
      <c r="T53" s="49">
        <v>2</v>
      </c>
      <c r="U53" s="50"/>
      <c r="V53" s="51">
        <v>0</v>
      </c>
      <c r="W53" s="50"/>
      <c r="X53" s="51">
        <v>0</v>
      </c>
      <c r="Y53" s="52"/>
      <c r="Z53" s="4"/>
      <c r="AA53" s="4"/>
      <c r="AB53" s="4"/>
      <c r="AC53" s="4"/>
      <c r="AD53" s="72">
        <v>2</v>
      </c>
      <c r="AE53" s="73"/>
      <c r="AF53" s="68">
        <v>1</v>
      </c>
      <c r="AG53" s="73"/>
      <c r="AH53" s="68">
        <v>2</v>
      </c>
      <c r="AI53" s="69"/>
      <c r="AJ53" s="4"/>
      <c r="AK53" s="4"/>
      <c r="AL53" s="4"/>
      <c r="AM53" s="4"/>
      <c r="AN53" s="72">
        <v>2</v>
      </c>
      <c r="AO53" s="73"/>
      <c r="AP53" s="68">
        <v>1</v>
      </c>
      <c r="AQ53" s="73"/>
      <c r="AR53" s="68">
        <v>2</v>
      </c>
      <c r="AS53" s="69"/>
      <c r="AT53" s="4"/>
      <c r="AU53" s="4"/>
      <c r="AV53" s="4"/>
      <c r="AW53" s="4"/>
      <c r="AX53" s="83">
        <v>2</v>
      </c>
      <c r="AY53" s="84"/>
      <c r="AZ53" s="85">
        <v>1</v>
      </c>
      <c r="BA53" s="84"/>
      <c r="BB53" s="85">
        <v>2</v>
      </c>
      <c r="BC53" s="86"/>
      <c r="BD53" s="4"/>
      <c r="BE53" s="4"/>
      <c r="BF53" s="4"/>
      <c r="BG53" s="4"/>
      <c r="BH53" s="112">
        <v>2</v>
      </c>
      <c r="BI53" s="113"/>
      <c r="BJ53" s="106">
        <v>0</v>
      </c>
      <c r="BK53" s="113"/>
      <c r="BL53" s="106">
        <v>0</v>
      </c>
      <c r="BM53" s="107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1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19</v>
      </c>
      <c r="K60" s="25"/>
      <c r="L60" s="26"/>
      <c r="M60" s="38">
        <v>363</v>
      </c>
      <c r="N60" s="39"/>
      <c r="O60" s="40"/>
      <c r="P60" s="14"/>
      <c r="Q60" s="14"/>
      <c r="R60" s="14"/>
      <c r="S60" s="14"/>
      <c r="T60" s="24" t="s">
        <v>19</v>
      </c>
      <c r="U60" s="25"/>
      <c r="V60" s="26"/>
      <c r="W60" s="38">
        <v>383</v>
      </c>
      <c r="X60" s="39"/>
      <c r="Y60" s="40"/>
      <c r="Z60" s="14"/>
      <c r="AA60" s="14"/>
      <c r="AB60" s="14"/>
      <c r="AC60" s="14"/>
      <c r="AD60" s="24" t="s">
        <v>19</v>
      </c>
      <c r="AE60" s="25"/>
      <c r="AF60" s="26"/>
      <c r="AG60" s="38">
        <v>493</v>
      </c>
      <c r="AH60" s="39"/>
      <c r="AI60" s="40"/>
      <c r="AJ60" s="14"/>
      <c r="AK60" s="14"/>
      <c r="AL60" s="14"/>
      <c r="AM60" s="14"/>
      <c r="AN60" s="24" t="s">
        <v>48</v>
      </c>
      <c r="AO60" s="25"/>
      <c r="AP60" s="26"/>
      <c r="AQ60" s="38">
        <v>323</v>
      </c>
      <c r="AR60" s="39"/>
      <c r="AS60" s="40"/>
      <c r="AT60" s="14"/>
      <c r="AU60" s="14"/>
      <c r="AV60" s="14"/>
      <c r="AW60" s="14"/>
      <c r="AX60" s="24" t="s">
        <v>141</v>
      </c>
      <c r="AY60" s="25"/>
      <c r="AZ60" s="26"/>
      <c r="BA60" s="38" t="s">
        <v>111</v>
      </c>
      <c r="BB60" s="39"/>
      <c r="BC60" s="40"/>
      <c r="BD60" s="14"/>
      <c r="BE60" s="14"/>
      <c r="BF60" s="14"/>
      <c r="BG60" s="14"/>
      <c r="BH60" s="24" t="s">
        <v>252</v>
      </c>
      <c r="BI60" s="25"/>
      <c r="BJ60" s="26"/>
      <c r="BK60" s="38" t="s">
        <v>112</v>
      </c>
      <c r="BL60" s="39"/>
      <c r="BM60" s="40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990</v>
      </c>
      <c r="H61" s="2"/>
      <c r="I61" s="2"/>
      <c r="J61" s="94" t="s">
        <v>72</v>
      </c>
      <c r="K61" s="95"/>
      <c r="L61" s="95"/>
      <c r="M61" s="95"/>
      <c r="N61" s="96"/>
      <c r="O61" s="97"/>
      <c r="P61" s="4"/>
      <c r="Q61" s="4"/>
      <c r="R61" s="4"/>
      <c r="S61" s="4"/>
      <c r="T61" s="94" t="s">
        <v>44</v>
      </c>
      <c r="U61" s="95"/>
      <c r="V61" s="95"/>
      <c r="W61" s="95"/>
      <c r="X61" s="96"/>
      <c r="Y61" s="97"/>
      <c r="Z61" s="4"/>
      <c r="AA61" s="4"/>
      <c r="AB61" s="4"/>
      <c r="AC61" s="4"/>
      <c r="AD61" s="41" t="s">
        <v>63</v>
      </c>
      <c r="AE61" s="42"/>
      <c r="AF61" s="42"/>
      <c r="AG61" s="42"/>
      <c r="AH61" s="43"/>
      <c r="AI61" s="44"/>
      <c r="AJ61" s="4"/>
      <c r="AK61" s="4"/>
      <c r="AL61" s="4"/>
      <c r="AM61" s="4"/>
      <c r="AN61" s="94" t="s">
        <v>57</v>
      </c>
      <c r="AO61" s="95"/>
      <c r="AP61" s="95"/>
      <c r="AQ61" s="95"/>
      <c r="AR61" s="96"/>
      <c r="AS61" s="97"/>
      <c r="AT61" s="4"/>
      <c r="AU61" s="4"/>
      <c r="AV61" s="4"/>
      <c r="AW61" s="4"/>
      <c r="AX61" s="114" t="s">
        <v>142</v>
      </c>
      <c r="AY61" s="115"/>
      <c r="AZ61" s="115"/>
      <c r="BA61" s="115"/>
      <c r="BB61" s="116"/>
      <c r="BC61" s="117"/>
      <c r="BD61" s="4"/>
      <c r="BE61" s="4"/>
      <c r="BF61" s="4"/>
      <c r="BG61" s="4"/>
      <c r="BH61" s="76" t="s">
        <v>140</v>
      </c>
      <c r="BI61" s="77"/>
      <c r="BJ61" s="77"/>
      <c r="BK61" s="77"/>
      <c r="BL61" s="77"/>
      <c r="BM61" s="78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98">
        <v>3</v>
      </c>
      <c r="K62" s="99"/>
      <c r="L62" s="100">
        <v>5</v>
      </c>
      <c r="M62" s="99"/>
      <c r="N62" s="100">
        <v>180</v>
      </c>
      <c r="O62" s="101"/>
      <c r="P62" s="4"/>
      <c r="Q62" s="4"/>
      <c r="R62" s="4"/>
      <c r="S62" s="4"/>
      <c r="T62" s="98">
        <v>3</v>
      </c>
      <c r="U62" s="99"/>
      <c r="V62" s="100">
        <v>5</v>
      </c>
      <c r="W62" s="99"/>
      <c r="X62" s="100">
        <v>180</v>
      </c>
      <c r="Y62" s="101"/>
      <c r="Z62" s="4"/>
      <c r="AA62" s="4"/>
      <c r="AB62" s="4"/>
      <c r="AC62" s="4"/>
      <c r="AD62" s="45">
        <v>3</v>
      </c>
      <c r="AE62" s="46"/>
      <c r="AF62" s="47">
        <v>5</v>
      </c>
      <c r="AG62" s="46"/>
      <c r="AH62" s="47">
        <v>180</v>
      </c>
      <c r="AI62" s="48"/>
      <c r="AJ62" s="4"/>
      <c r="AK62" s="4"/>
      <c r="AL62" s="4"/>
      <c r="AM62" s="4"/>
      <c r="AN62" s="98">
        <v>3</v>
      </c>
      <c r="AO62" s="99"/>
      <c r="AP62" s="100">
        <v>5</v>
      </c>
      <c r="AQ62" s="99"/>
      <c r="AR62" s="100">
        <v>180</v>
      </c>
      <c r="AS62" s="101"/>
      <c r="AT62" s="4"/>
      <c r="AU62" s="4"/>
      <c r="AV62" s="4"/>
      <c r="AW62" s="4"/>
      <c r="AX62" s="110">
        <v>2</v>
      </c>
      <c r="AY62" s="111"/>
      <c r="AZ62" s="108">
        <v>2</v>
      </c>
      <c r="BA62" s="111"/>
      <c r="BB62" s="108">
        <v>90</v>
      </c>
      <c r="BC62" s="109"/>
      <c r="BD62" s="4"/>
      <c r="BE62" s="4"/>
      <c r="BF62" s="4"/>
      <c r="BG62" s="4"/>
      <c r="BH62" s="79">
        <v>3</v>
      </c>
      <c r="BI62" s="80"/>
      <c r="BJ62" s="81">
        <v>5</v>
      </c>
      <c r="BK62" s="80"/>
      <c r="BL62" s="81">
        <v>180</v>
      </c>
      <c r="BM62" s="82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17</v>
      </c>
      <c r="F63" s="11">
        <f>SUM(L62,V62,AF62,AP62,AZ62,BJ62)</f>
        <v>27</v>
      </c>
      <c r="G63" s="105"/>
      <c r="H63" s="2"/>
      <c r="I63" s="2"/>
      <c r="J63" s="72">
        <v>2</v>
      </c>
      <c r="K63" s="73"/>
      <c r="L63" s="68">
        <v>1</v>
      </c>
      <c r="M63" s="73"/>
      <c r="N63" s="68">
        <v>2</v>
      </c>
      <c r="O63" s="69"/>
      <c r="P63" s="4"/>
      <c r="Q63" s="4"/>
      <c r="R63" s="4"/>
      <c r="S63" s="4"/>
      <c r="T63" s="72">
        <v>2</v>
      </c>
      <c r="U63" s="73"/>
      <c r="V63" s="68">
        <v>1</v>
      </c>
      <c r="W63" s="73"/>
      <c r="X63" s="68">
        <v>2</v>
      </c>
      <c r="Y63" s="69"/>
      <c r="Z63" s="4"/>
      <c r="AA63" s="4"/>
      <c r="AB63" s="4"/>
      <c r="AC63" s="4"/>
      <c r="AD63" s="49">
        <v>2</v>
      </c>
      <c r="AE63" s="50"/>
      <c r="AF63" s="51">
        <v>0</v>
      </c>
      <c r="AG63" s="50"/>
      <c r="AH63" s="51">
        <v>3</v>
      </c>
      <c r="AI63" s="52"/>
      <c r="AJ63" s="4"/>
      <c r="AK63" s="4"/>
      <c r="AL63" s="4"/>
      <c r="AM63" s="4"/>
      <c r="AN63" s="72">
        <v>2</v>
      </c>
      <c r="AO63" s="73"/>
      <c r="AP63" s="68">
        <v>1</v>
      </c>
      <c r="AQ63" s="73"/>
      <c r="AR63" s="68">
        <v>2</v>
      </c>
      <c r="AS63" s="69"/>
      <c r="AT63" s="4"/>
      <c r="AU63" s="4"/>
      <c r="AV63" s="4"/>
      <c r="AW63" s="4"/>
      <c r="AX63" s="112">
        <v>2</v>
      </c>
      <c r="AY63" s="113"/>
      <c r="AZ63" s="106">
        <v>0</v>
      </c>
      <c r="BA63" s="113"/>
      <c r="BB63" s="106">
        <v>0</v>
      </c>
      <c r="BC63" s="107"/>
      <c r="BD63" s="4"/>
      <c r="BE63" s="4"/>
      <c r="BF63" s="4"/>
      <c r="BG63" s="4"/>
      <c r="BH63" s="83">
        <v>2</v>
      </c>
      <c r="BI63" s="84"/>
      <c r="BJ63" s="85">
        <v>1</v>
      </c>
      <c r="BK63" s="84"/>
      <c r="BL63" s="85">
        <v>2</v>
      </c>
      <c r="BM63" s="86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19</v>
      </c>
      <c r="K68" s="25"/>
      <c r="L68" s="26"/>
      <c r="M68" s="38">
        <v>484</v>
      </c>
      <c r="N68" s="39"/>
      <c r="O68" s="40"/>
      <c r="P68" s="14"/>
      <c r="Q68" s="14"/>
      <c r="R68" s="14"/>
      <c r="S68" s="14"/>
      <c r="T68" s="24" t="s">
        <v>19</v>
      </c>
      <c r="U68" s="25"/>
      <c r="V68" s="26"/>
      <c r="W68" s="38">
        <v>494</v>
      </c>
      <c r="X68" s="102"/>
      <c r="Y68" s="103"/>
      <c r="Z68" s="14"/>
      <c r="AA68" s="14"/>
      <c r="AB68" s="14"/>
      <c r="AC68" s="14"/>
      <c r="AD68" s="24" t="s">
        <v>19</v>
      </c>
      <c r="AE68" s="25"/>
      <c r="AF68" s="26"/>
      <c r="AG68" s="38">
        <v>411</v>
      </c>
      <c r="AH68" s="39"/>
      <c r="AI68" s="40"/>
      <c r="AJ68" s="14"/>
      <c r="AK68" s="14"/>
      <c r="AL68" s="14"/>
      <c r="AM68" s="14"/>
      <c r="AN68" s="24" t="s">
        <v>254</v>
      </c>
      <c r="AO68" s="25"/>
      <c r="AP68" s="26"/>
      <c r="AQ68" s="38" t="s">
        <v>112</v>
      </c>
      <c r="AR68" s="39"/>
      <c r="AS68" s="40"/>
      <c r="AT68" s="14"/>
      <c r="AU68" s="14"/>
      <c r="AV68" s="14"/>
      <c r="AW68" s="14"/>
      <c r="AX68" s="24" t="s">
        <v>255</v>
      </c>
      <c r="AY68" s="25"/>
      <c r="AZ68" s="26"/>
      <c r="BA68" s="38" t="s">
        <v>112</v>
      </c>
      <c r="BB68" s="39"/>
      <c r="BC68" s="40"/>
      <c r="BD68" s="4"/>
      <c r="BE68" s="4"/>
      <c r="BF68" s="4"/>
      <c r="BG68" s="4"/>
      <c r="BH68" s="24" t="s">
        <v>144</v>
      </c>
      <c r="BI68" s="25"/>
      <c r="BJ68" s="26"/>
      <c r="BK68" s="38" t="s">
        <v>111</v>
      </c>
      <c r="BL68" s="39"/>
      <c r="BM68" s="40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990</v>
      </c>
      <c r="H69" s="2"/>
      <c r="I69" s="2"/>
      <c r="J69" s="94" t="s">
        <v>93</v>
      </c>
      <c r="K69" s="95"/>
      <c r="L69" s="95"/>
      <c r="M69" s="95"/>
      <c r="N69" s="96"/>
      <c r="O69" s="97"/>
      <c r="P69" s="4"/>
      <c r="Q69" s="4"/>
      <c r="R69" s="4"/>
      <c r="S69" s="4"/>
      <c r="T69" s="41" t="s">
        <v>64</v>
      </c>
      <c r="U69" s="42"/>
      <c r="V69" s="42"/>
      <c r="W69" s="42"/>
      <c r="X69" s="43"/>
      <c r="Y69" s="44"/>
      <c r="Z69" s="4"/>
      <c r="AA69" s="4"/>
      <c r="AB69" s="4"/>
      <c r="AC69" s="4"/>
      <c r="AD69" s="94" t="s">
        <v>188</v>
      </c>
      <c r="AE69" s="95"/>
      <c r="AF69" s="95"/>
      <c r="AG69" s="95"/>
      <c r="AH69" s="96"/>
      <c r="AI69" s="97"/>
      <c r="AJ69" s="4"/>
      <c r="AK69" s="4"/>
      <c r="AL69" s="4"/>
      <c r="AM69" s="4"/>
      <c r="AN69" s="76" t="s">
        <v>143</v>
      </c>
      <c r="AO69" s="77"/>
      <c r="AP69" s="77"/>
      <c r="AQ69" s="77"/>
      <c r="AR69" s="77"/>
      <c r="AS69" s="78"/>
      <c r="AT69" s="4"/>
      <c r="AU69" s="4"/>
      <c r="AV69" s="4"/>
      <c r="AW69" s="4"/>
      <c r="AX69" s="76" t="s">
        <v>145</v>
      </c>
      <c r="AY69" s="77"/>
      <c r="AZ69" s="77"/>
      <c r="BA69" s="77"/>
      <c r="BB69" s="77"/>
      <c r="BC69" s="78"/>
      <c r="BD69" s="4"/>
      <c r="BE69" s="4"/>
      <c r="BF69" s="4"/>
      <c r="BG69" s="4"/>
      <c r="BH69" s="114" t="s">
        <v>106</v>
      </c>
      <c r="BI69" s="115"/>
      <c r="BJ69" s="115"/>
      <c r="BK69" s="115"/>
      <c r="BL69" s="116"/>
      <c r="BM69" s="117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98">
        <v>3</v>
      </c>
      <c r="K70" s="99"/>
      <c r="L70" s="100">
        <v>5</v>
      </c>
      <c r="M70" s="99"/>
      <c r="N70" s="100">
        <v>180</v>
      </c>
      <c r="O70" s="101"/>
      <c r="P70" s="4"/>
      <c r="Q70" s="4"/>
      <c r="R70" s="4"/>
      <c r="S70" s="4"/>
      <c r="T70" s="45">
        <v>3</v>
      </c>
      <c r="U70" s="46"/>
      <c r="V70" s="47">
        <v>5</v>
      </c>
      <c r="W70" s="46"/>
      <c r="X70" s="47">
        <v>180</v>
      </c>
      <c r="Y70" s="48"/>
      <c r="Z70" s="4"/>
      <c r="AA70" s="4"/>
      <c r="AB70" s="4"/>
      <c r="AC70" s="4"/>
      <c r="AD70" s="98">
        <v>3</v>
      </c>
      <c r="AE70" s="99"/>
      <c r="AF70" s="100">
        <v>5</v>
      </c>
      <c r="AG70" s="99"/>
      <c r="AH70" s="100">
        <v>180</v>
      </c>
      <c r="AI70" s="101"/>
      <c r="AJ70" s="4"/>
      <c r="AK70" s="4"/>
      <c r="AL70" s="4"/>
      <c r="AM70" s="4"/>
      <c r="AN70" s="79">
        <v>3</v>
      </c>
      <c r="AO70" s="80"/>
      <c r="AP70" s="81">
        <v>5</v>
      </c>
      <c r="AQ70" s="80"/>
      <c r="AR70" s="81">
        <v>180</v>
      </c>
      <c r="AS70" s="82"/>
      <c r="AT70" s="4"/>
      <c r="AU70" s="4"/>
      <c r="AV70" s="4"/>
      <c r="AW70" s="4"/>
      <c r="AX70" s="79">
        <v>3</v>
      </c>
      <c r="AY70" s="80"/>
      <c r="AZ70" s="81">
        <v>5</v>
      </c>
      <c r="BA70" s="80"/>
      <c r="BB70" s="81">
        <v>180</v>
      </c>
      <c r="BC70" s="82"/>
      <c r="BD70" s="4"/>
      <c r="BE70" s="4"/>
      <c r="BF70" s="4"/>
      <c r="BG70" s="4"/>
      <c r="BH70" s="110">
        <v>2</v>
      </c>
      <c r="BI70" s="111"/>
      <c r="BJ70" s="108">
        <v>2</v>
      </c>
      <c r="BK70" s="111"/>
      <c r="BL70" s="108">
        <v>90</v>
      </c>
      <c r="BM70" s="109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SUM(J70,T70,AD70,AN70,AX70,BH70)</f>
        <v>17</v>
      </c>
      <c r="F71" s="11">
        <f>L70+V70+AF70+AP70+AZ70+BJ70</f>
        <v>27</v>
      </c>
      <c r="G71" s="105"/>
      <c r="H71" s="2"/>
      <c r="I71" s="2"/>
      <c r="J71" s="72">
        <v>2</v>
      </c>
      <c r="K71" s="73"/>
      <c r="L71" s="68">
        <v>1</v>
      </c>
      <c r="M71" s="73"/>
      <c r="N71" s="68">
        <v>2</v>
      </c>
      <c r="O71" s="69"/>
      <c r="P71" s="4"/>
      <c r="Q71" s="4"/>
      <c r="R71" s="4"/>
      <c r="S71" s="4"/>
      <c r="T71" s="49">
        <v>2</v>
      </c>
      <c r="U71" s="50"/>
      <c r="V71" s="51">
        <v>0</v>
      </c>
      <c r="W71" s="50"/>
      <c r="X71" s="51">
        <v>3</v>
      </c>
      <c r="Y71" s="52"/>
      <c r="Z71" s="4"/>
      <c r="AA71" s="4"/>
      <c r="AB71" s="4"/>
      <c r="AC71" s="4"/>
      <c r="AD71" s="72">
        <v>2</v>
      </c>
      <c r="AE71" s="73"/>
      <c r="AF71" s="68">
        <v>1</v>
      </c>
      <c r="AG71" s="73"/>
      <c r="AH71" s="68">
        <v>2</v>
      </c>
      <c r="AI71" s="69"/>
      <c r="AJ71" s="4"/>
      <c r="AK71" s="4"/>
      <c r="AL71" s="4"/>
      <c r="AM71" s="4"/>
      <c r="AN71" s="83">
        <v>2</v>
      </c>
      <c r="AO71" s="84"/>
      <c r="AP71" s="85">
        <v>1</v>
      </c>
      <c r="AQ71" s="84"/>
      <c r="AR71" s="85">
        <v>2</v>
      </c>
      <c r="AS71" s="86"/>
      <c r="AT71" s="4"/>
      <c r="AU71" s="4"/>
      <c r="AV71" s="4"/>
      <c r="AW71" s="4"/>
      <c r="AX71" s="83">
        <v>2</v>
      </c>
      <c r="AY71" s="84"/>
      <c r="AZ71" s="85">
        <v>1</v>
      </c>
      <c r="BA71" s="84"/>
      <c r="BB71" s="85">
        <v>2</v>
      </c>
      <c r="BC71" s="86"/>
      <c r="BD71" s="4"/>
      <c r="BE71" s="4"/>
      <c r="BF71" s="4"/>
      <c r="BG71" s="4"/>
      <c r="BH71" s="112">
        <v>2</v>
      </c>
      <c r="BI71" s="113"/>
      <c r="BJ71" s="106">
        <v>0</v>
      </c>
      <c r="BK71" s="113"/>
      <c r="BL71" s="106">
        <v>0</v>
      </c>
      <c r="BM71" s="107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thickBot="1" x14ac:dyDescent="0.35"/>
    <row r="77" spans="2:135" ht="10.050000000000001" customHeight="1" thickTop="1" thickBot="1" x14ac:dyDescent="0.35">
      <c r="BI77" s="63" t="s">
        <v>15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6"/>
    </row>
    <row r="78" spans="2:135" ht="15" customHeight="1" x14ac:dyDescent="0.3">
      <c r="BI78" s="64"/>
      <c r="BJ78" s="16"/>
      <c r="BK78" s="17"/>
      <c r="BL78" s="16"/>
      <c r="BR78" s="123" t="s">
        <v>7</v>
      </c>
      <c r="BS78" s="124"/>
      <c r="BT78" s="124"/>
      <c r="BU78" s="124"/>
      <c r="BV78" s="125"/>
      <c r="BW78" s="126"/>
      <c r="CA78" s="8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I79" s="64"/>
      <c r="BJ79" s="16"/>
      <c r="BK79" s="17"/>
      <c r="BL79" s="16"/>
      <c r="BR79" s="127" t="s">
        <v>8</v>
      </c>
      <c r="BS79" s="128"/>
      <c r="BT79" s="128"/>
      <c r="BU79" s="128"/>
      <c r="BV79" s="129"/>
      <c r="BW79" s="130"/>
      <c r="CA79" s="8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I80" s="64"/>
      <c r="BJ80" s="16"/>
      <c r="BK80" s="17"/>
      <c r="BL80" s="16"/>
      <c r="BR80" s="66" t="s">
        <v>9</v>
      </c>
      <c r="BS80" s="67"/>
      <c r="BT80" s="131" t="s">
        <v>18</v>
      </c>
      <c r="BU80" s="67"/>
      <c r="BV80" s="131" t="s">
        <v>10</v>
      </c>
      <c r="BW80" s="132"/>
      <c r="CA80" s="8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61:135" ht="15" thickBot="1" x14ac:dyDescent="0.35">
      <c r="BI81" s="64"/>
      <c r="BJ81" s="16"/>
      <c r="BK81" s="17"/>
      <c r="BL81" s="16"/>
      <c r="BR81" s="133" t="s">
        <v>11</v>
      </c>
      <c r="BS81" s="134"/>
      <c r="BT81" s="135" t="s">
        <v>12</v>
      </c>
      <c r="BU81" s="134"/>
      <c r="BV81" s="135" t="s">
        <v>13</v>
      </c>
      <c r="BW81" s="136"/>
      <c r="CA81" s="8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61:135" ht="10.050000000000001" customHeight="1" x14ac:dyDescent="0.3">
      <c r="BI82" s="64"/>
      <c r="BL82" s="16"/>
      <c r="CA82" s="8"/>
    </row>
    <row r="83" spans="61:135" ht="10.050000000000001" customHeight="1" x14ac:dyDescent="0.3">
      <c r="BI83" s="64"/>
      <c r="BL83" s="16"/>
      <c r="CA83" s="8"/>
    </row>
    <row r="84" spans="61:135" ht="10.050000000000001" customHeight="1" x14ac:dyDescent="0.3">
      <c r="BI84" s="64"/>
      <c r="BJ84" s="90"/>
      <c r="BL84" s="15"/>
      <c r="BN84" s="18"/>
      <c r="BO84" s="18"/>
      <c r="BP84" s="18"/>
      <c r="BQ84" s="18"/>
      <c r="BS84" s="60"/>
      <c r="BU84" s="75" t="s">
        <v>30</v>
      </c>
      <c r="BW84" s="61"/>
      <c r="CA84" s="8"/>
    </row>
    <row r="85" spans="61:135" ht="10.050000000000001" customHeight="1" thickBot="1" x14ac:dyDescent="0.35">
      <c r="BI85" s="64"/>
      <c r="BJ85" s="90"/>
      <c r="BL85" s="74" t="s">
        <v>22</v>
      </c>
      <c r="BN85" s="18"/>
      <c r="BO85" s="18"/>
      <c r="BP85" s="18"/>
      <c r="BQ85" s="18"/>
      <c r="BS85" s="60"/>
      <c r="BU85" s="75"/>
      <c r="BW85" s="61"/>
      <c r="CA85" s="8"/>
    </row>
    <row r="86" spans="61:135" ht="15" customHeight="1" x14ac:dyDescent="0.3">
      <c r="BI86" s="64"/>
      <c r="BJ86" s="90" t="s">
        <v>31</v>
      </c>
      <c r="BK86" s="7"/>
      <c r="BL86" s="74"/>
      <c r="BM86" s="7"/>
      <c r="BN86" s="62" t="s">
        <v>14</v>
      </c>
      <c r="BO86" s="62"/>
      <c r="BP86" s="62"/>
      <c r="BQ86" s="62"/>
      <c r="BR86" s="7"/>
      <c r="BS86" s="60" t="s">
        <v>46</v>
      </c>
      <c r="BT86" s="7"/>
      <c r="BU86" s="75"/>
      <c r="BV86" s="7"/>
      <c r="BW86" s="61" t="s">
        <v>62</v>
      </c>
      <c r="CA86" s="8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61:135" ht="48.75" customHeight="1" x14ac:dyDescent="0.3">
      <c r="BI87" s="64"/>
      <c r="BJ87" s="90"/>
      <c r="BK87" s="7"/>
      <c r="BL87" s="74"/>
      <c r="BM87" s="7"/>
      <c r="BN87" s="62"/>
      <c r="BO87" s="62"/>
      <c r="BP87" s="62"/>
      <c r="BQ87" s="62"/>
      <c r="BR87" s="7"/>
      <c r="BS87" s="60"/>
      <c r="BT87" s="7"/>
      <c r="BU87" s="75"/>
      <c r="BV87" s="7"/>
      <c r="BW87" s="61"/>
      <c r="CA87" s="8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61:135" x14ac:dyDescent="0.3">
      <c r="BI88" s="64"/>
      <c r="BJ88" s="90"/>
      <c r="BK88" s="7"/>
      <c r="BL88" s="74"/>
      <c r="BM88" s="7"/>
      <c r="BN88" s="62"/>
      <c r="BO88" s="62"/>
      <c r="BP88" s="62"/>
      <c r="BQ88" s="62"/>
      <c r="BR88" s="7"/>
      <c r="BS88" s="60"/>
      <c r="BT88" s="7"/>
      <c r="BU88" s="75"/>
      <c r="BV88" s="7"/>
      <c r="BW88" s="61"/>
      <c r="CA88" s="8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61:135" ht="15" thickBot="1" x14ac:dyDescent="0.35">
      <c r="BI89" s="64"/>
      <c r="BJ89" s="90"/>
      <c r="BK89" s="7"/>
      <c r="BL89" s="74"/>
      <c r="BM89" s="7"/>
      <c r="BN89" s="62"/>
      <c r="BO89" s="62"/>
      <c r="BP89" s="62"/>
      <c r="BQ89" s="62"/>
      <c r="BR89" s="7"/>
      <c r="BS89" s="60"/>
      <c r="BT89" s="7"/>
      <c r="BU89" s="75"/>
      <c r="BV89" s="7"/>
      <c r="BW89" s="61"/>
      <c r="CA89" s="8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61:135" ht="10.050000000000001" customHeight="1" thickBot="1" x14ac:dyDescent="0.35">
      <c r="BI90" s="65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10"/>
    </row>
    <row r="91" spans="61:135" ht="10.050000000000001" customHeight="1" thickTop="1" x14ac:dyDescent="0.3"/>
    <row r="92" spans="61:135" ht="10.050000000000001" customHeight="1" x14ac:dyDescent="0.3"/>
    <row r="93" spans="61:135" ht="10.050000000000001" customHeight="1" x14ac:dyDescent="0.3"/>
    <row r="100" ht="48.75" customHeight="1" x14ac:dyDescent="0.3"/>
  </sheetData>
  <mergeCells count="655"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X8:Y8"/>
    <mergeCell ref="AD8:AE8"/>
    <mergeCell ref="BH9:BI9"/>
    <mergeCell ref="BJ9:BK9"/>
    <mergeCell ref="X9:Y9"/>
    <mergeCell ref="AD9:AE9"/>
    <mergeCell ref="AF9:AG9"/>
    <mergeCell ref="AH9:AI9"/>
    <mergeCell ref="AN9:AO9"/>
    <mergeCell ref="AP9:AQ9"/>
    <mergeCell ref="AX14:AZ14"/>
    <mergeCell ref="BA14:BC14"/>
    <mergeCell ref="BH14:BJ14"/>
    <mergeCell ref="BK14:BM14"/>
    <mergeCell ref="DZ6:EE6"/>
    <mergeCell ref="E7:E8"/>
    <mergeCell ref="F7:F8"/>
    <mergeCell ref="J7:O7"/>
    <mergeCell ref="T7:Y7"/>
    <mergeCell ref="AD7:AI7"/>
    <mergeCell ref="AN7:AS7"/>
    <mergeCell ref="AX7:BC7"/>
    <mergeCell ref="BH7:BM7"/>
    <mergeCell ref="DP7:DU7"/>
    <mergeCell ref="AQ6:AS6"/>
    <mergeCell ref="AX6:AZ6"/>
    <mergeCell ref="BA6:BC6"/>
    <mergeCell ref="BH6:BJ6"/>
    <mergeCell ref="BK6:BM6"/>
    <mergeCell ref="DP6:DU6"/>
    <mergeCell ref="DZ7:EE7"/>
    <mergeCell ref="G8:G9"/>
    <mergeCell ref="H8:I8"/>
    <mergeCell ref="J8:K8"/>
    <mergeCell ref="L8:M8"/>
    <mergeCell ref="N8:O8"/>
    <mergeCell ref="T8:U8"/>
    <mergeCell ref="V8:W8"/>
    <mergeCell ref="DR8:DS8"/>
    <mergeCell ref="DT8:DU8"/>
    <mergeCell ref="DZ8:EA8"/>
    <mergeCell ref="EB8:EC8"/>
    <mergeCell ref="ED8:EE8"/>
    <mergeCell ref="J9:K9"/>
    <mergeCell ref="L9:M9"/>
    <mergeCell ref="N9:O9"/>
    <mergeCell ref="T9:U9"/>
    <mergeCell ref="V9:W9"/>
    <mergeCell ref="AZ8:BA8"/>
    <mergeCell ref="BB8:BC8"/>
    <mergeCell ref="BH8:BI8"/>
    <mergeCell ref="BJ8:BK8"/>
    <mergeCell ref="BL8:BM8"/>
    <mergeCell ref="DP8:DQ8"/>
    <mergeCell ref="AF8:AG8"/>
    <mergeCell ref="AH8:AI8"/>
    <mergeCell ref="AN8:AO8"/>
    <mergeCell ref="AP8:AQ8"/>
    <mergeCell ref="AR8:AS8"/>
    <mergeCell ref="AX8:AY8"/>
    <mergeCell ref="AZ9:BA9"/>
    <mergeCell ref="BB9:BC9"/>
    <mergeCell ref="DP14:DU14"/>
    <mergeCell ref="DZ14:EE14"/>
    <mergeCell ref="ED9:EE9"/>
    <mergeCell ref="D14:D17"/>
    <mergeCell ref="J14:L14"/>
    <mergeCell ref="M14:O14"/>
    <mergeCell ref="T14:V14"/>
    <mergeCell ref="W14:Y14"/>
    <mergeCell ref="AD14:AF14"/>
    <mergeCell ref="AG14:AI14"/>
    <mergeCell ref="AN14:AP14"/>
    <mergeCell ref="AQ14:AS14"/>
    <mergeCell ref="BL9:BM9"/>
    <mergeCell ref="DP9:DQ9"/>
    <mergeCell ref="DR9:DS9"/>
    <mergeCell ref="DT9:DU9"/>
    <mergeCell ref="DZ9:EA9"/>
    <mergeCell ref="EB9:EC9"/>
    <mergeCell ref="AR9:AS9"/>
    <mergeCell ref="AX9:AY9"/>
    <mergeCell ref="E15:E16"/>
    <mergeCell ref="F15:F16"/>
    <mergeCell ref="J15:O15"/>
    <mergeCell ref="T15:Y15"/>
    <mergeCell ref="AD15:AI15"/>
    <mergeCell ref="AN15:AS15"/>
    <mergeCell ref="V16:W16"/>
    <mergeCell ref="X16:Y16"/>
    <mergeCell ref="AD16:AE16"/>
    <mergeCell ref="AF16:AG16"/>
    <mergeCell ref="AX15:BC15"/>
    <mergeCell ref="BH15:BM15"/>
    <mergeCell ref="DP15:DU15"/>
    <mergeCell ref="AX16:AY16"/>
    <mergeCell ref="AZ16:BA16"/>
    <mergeCell ref="DZ15:EE15"/>
    <mergeCell ref="G16:G17"/>
    <mergeCell ref="H16:I16"/>
    <mergeCell ref="J16:K16"/>
    <mergeCell ref="L16:M16"/>
    <mergeCell ref="N16:O16"/>
    <mergeCell ref="T16:U16"/>
    <mergeCell ref="ED16:EE16"/>
    <mergeCell ref="J17:K17"/>
    <mergeCell ref="L17:M17"/>
    <mergeCell ref="N17:O17"/>
    <mergeCell ref="T17:U17"/>
    <mergeCell ref="V17:W17"/>
    <mergeCell ref="X17:Y17"/>
    <mergeCell ref="BB16:BC16"/>
    <mergeCell ref="BH16:BI16"/>
    <mergeCell ref="BJ16:BK16"/>
    <mergeCell ref="BL16:BM16"/>
    <mergeCell ref="DP16:DQ16"/>
    <mergeCell ref="DR16:DS16"/>
    <mergeCell ref="AH16:AI16"/>
    <mergeCell ref="AN16:AO16"/>
    <mergeCell ref="AP16:AQ16"/>
    <mergeCell ref="AR16:AS16"/>
    <mergeCell ref="AD17:AE17"/>
    <mergeCell ref="AF17:AG17"/>
    <mergeCell ref="AH17:AI17"/>
    <mergeCell ref="AN17:AO17"/>
    <mergeCell ref="AP17:AQ17"/>
    <mergeCell ref="AR17:AS17"/>
    <mergeCell ref="DT16:DU16"/>
    <mergeCell ref="DZ16:EA16"/>
    <mergeCell ref="EB16:EC16"/>
    <mergeCell ref="DP17:DQ17"/>
    <mergeCell ref="DR17:DS17"/>
    <mergeCell ref="DT17:DU17"/>
    <mergeCell ref="DZ17:EA17"/>
    <mergeCell ref="EB17:EC17"/>
    <mergeCell ref="ED17:EE17"/>
    <mergeCell ref="AX17:AY17"/>
    <mergeCell ref="AZ17:BA17"/>
    <mergeCell ref="BB17:BC17"/>
    <mergeCell ref="BH17:BI17"/>
    <mergeCell ref="BJ17:BK17"/>
    <mergeCell ref="BL17:BM17"/>
    <mergeCell ref="B23:B36"/>
    <mergeCell ref="D24:D27"/>
    <mergeCell ref="J24:L24"/>
    <mergeCell ref="M24:O24"/>
    <mergeCell ref="T24:V24"/>
    <mergeCell ref="W24:Y24"/>
    <mergeCell ref="V26:W26"/>
    <mergeCell ref="X26:Y26"/>
    <mergeCell ref="J27:K27"/>
    <mergeCell ref="L27:M27"/>
    <mergeCell ref="BH24:BJ24"/>
    <mergeCell ref="BK24:BM24"/>
    <mergeCell ref="DP24:DU24"/>
    <mergeCell ref="DZ24:EE24"/>
    <mergeCell ref="E25:E26"/>
    <mergeCell ref="F25:F26"/>
    <mergeCell ref="J25:O25"/>
    <mergeCell ref="T25:Y25"/>
    <mergeCell ref="AD25:AI25"/>
    <mergeCell ref="AN25:AS25"/>
    <mergeCell ref="AD24:AF24"/>
    <mergeCell ref="AG24:AI24"/>
    <mergeCell ref="AN24:AP24"/>
    <mergeCell ref="AQ24:AS24"/>
    <mergeCell ref="AX24:AZ24"/>
    <mergeCell ref="BA24:BC24"/>
    <mergeCell ref="AX25:BC25"/>
    <mergeCell ref="BH25:BM25"/>
    <mergeCell ref="DP25:DU25"/>
    <mergeCell ref="DZ25:EE25"/>
    <mergeCell ref="G26:G27"/>
    <mergeCell ref="H26:I26"/>
    <mergeCell ref="J26:K26"/>
    <mergeCell ref="L26:M26"/>
    <mergeCell ref="N26:O26"/>
    <mergeCell ref="T26:U26"/>
    <mergeCell ref="ED26:EE26"/>
    <mergeCell ref="AX26:AY26"/>
    <mergeCell ref="AZ26:BA26"/>
    <mergeCell ref="BB26:BC26"/>
    <mergeCell ref="BH26:BI26"/>
    <mergeCell ref="BJ26:BK26"/>
    <mergeCell ref="BL26:BM26"/>
    <mergeCell ref="AD26:AE26"/>
    <mergeCell ref="AF26:AG26"/>
    <mergeCell ref="AH26:AI26"/>
    <mergeCell ref="AN26:AO26"/>
    <mergeCell ref="AP26:AQ26"/>
    <mergeCell ref="AR26:AS26"/>
    <mergeCell ref="V27:W27"/>
    <mergeCell ref="X27:Y27"/>
    <mergeCell ref="AD27:AE27"/>
    <mergeCell ref="AF27:AG27"/>
    <mergeCell ref="DP26:DQ26"/>
    <mergeCell ref="DR26:DS26"/>
    <mergeCell ref="DT26:DU26"/>
    <mergeCell ref="DZ26:EA26"/>
    <mergeCell ref="EB26:EC26"/>
    <mergeCell ref="DT27:DU27"/>
    <mergeCell ref="DZ27:EA27"/>
    <mergeCell ref="EB27:EC27"/>
    <mergeCell ref="ED27:EE27"/>
    <mergeCell ref="D32:D35"/>
    <mergeCell ref="J32:L32"/>
    <mergeCell ref="M32:O32"/>
    <mergeCell ref="T32:V32"/>
    <mergeCell ref="W32:Y32"/>
    <mergeCell ref="AD32:AF32"/>
    <mergeCell ref="BB27:BC27"/>
    <mergeCell ref="BH27:BI27"/>
    <mergeCell ref="BJ27:BK27"/>
    <mergeCell ref="BL27:BM27"/>
    <mergeCell ref="DP27:DQ27"/>
    <mergeCell ref="DR27:DS27"/>
    <mergeCell ref="AH27:AI27"/>
    <mergeCell ref="AN27:AO27"/>
    <mergeCell ref="AP27:AQ27"/>
    <mergeCell ref="AR27:AS27"/>
    <mergeCell ref="AX27:AY27"/>
    <mergeCell ref="AZ27:BA27"/>
    <mergeCell ref="N27:O27"/>
    <mergeCell ref="T27:U27"/>
    <mergeCell ref="N34:O34"/>
    <mergeCell ref="T34:U34"/>
    <mergeCell ref="DZ32:EE32"/>
    <mergeCell ref="E33:E34"/>
    <mergeCell ref="F33:F34"/>
    <mergeCell ref="J33:O33"/>
    <mergeCell ref="T33:Y33"/>
    <mergeCell ref="AD33:AI33"/>
    <mergeCell ref="AN33:AS33"/>
    <mergeCell ref="AX33:BC33"/>
    <mergeCell ref="DP33:DU33"/>
    <mergeCell ref="DZ33:EE33"/>
    <mergeCell ref="EB34:EC34"/>
    <mergeCell ref="ED34:EE34"/>
    <mergeCell ref="AG32:AI32"/>
    <mergeCell ref="AN32:AP32"/>
    <mergeCell ref="AQ32:AS32"/>
    <mergeCell ref="AX32:AZ32"/>
    <mergeCell ref="BA32:BC32"/>
    <mergeCell ref="DP32:DU32"/>
    <mergeCell ref="DR34:DS34"/>
    <mergeCell ref="DT34:DU34"/>
    <mergeCell ref="DZ34:EA34"/>
    <mergeCell ref="BB34:BC34"/>
    <mergeCell ref="DP34:DQ34"/>
    <mergeCell ref="BH32:BJ32"/>
    <mergeCell ref="BK32:BM32"/>
    <mergeCell ref="BH33:BM33"/>
    <mergeCell ref="BH34:BI34"/>
    <mergeCell ref="BJ34:BK34"/>
    <mergeCell ref="BL34:BM34"/>
    <mergeCell ref="J35:K35"/>
    <mergeCell ref="L35:M35"/>
    <mergeCell ref="N35:O35"/>
    <mergeCell ref="T35:U35"/>
    <mergeCell ref="V35:W35"/>
    <mergeCell ref="AP34:AQ34"/>
    <mergeCell ref="AR34:AS34"/>
    <mergeCell ref="AX34:AY34"/>
    <mergeCell ref="AZ34:BA34"/>
    <mergeCell ref="V34:W34"/>
    <mergeCell ref="X34:Y34"/>
    <mergeCell ref="AD34:AE34"/>
    <mergeCell ref="AF34:AG34"/>
    <mergeCell ref="AH34:AI34"/>
    <mergeCell ref="AN34:AO34"/>
    <mergeCell ref="J34:K34"/>
    <mergeCell ref="L34:M34"/>
    <mergeCell ref="DT35:DU35"/>
    <mergeCell ref="DZ35:EA35"/>
    <mergeCell ref="EB35:EC35"/>
    <mergeCell ref="ED35:EE35"/>
    <mergeCell ref="B41:B54"/>
    <mergeCell ref="D42:D45"/>
    <mergeCell ref="J42:L42"/>
    <mergeCell ref="M42:O42"/>
    <mergeCell ref="T42:V42"/>
    <mergeCell ref="W42:Y42"/>
    <mergeCell ref="AR35:AS35"/>
    <mergeCell ref="AX35:AY35"/>
    <mergeCell ref="AZ35:BA35"/>
    <mergeCell ref="BB35:BC35"/>
    <mergeCell ref="DP35:DQ35"/>
    <mergeCell ref="DR35:DS35"/>
    <mergeCell ref="X35:Y35"/>
    <mergeCell ref="AD35:AE35"/>
    <mergeCell ref="AF35:AG35"/>
    <mergeCell ref="AH35:AI35"/>
    <mergeCell ref="AN35:AO35"/>
    <mergeCell ref="AP35:AQ35"/>
    <mergeCell ref="G34:G35"/>
    <mergeCell ref="H34:I34"/>
    <mergeCell ref="DP42:DU42"/>
    <mergeCell ref="DZ42:EE42"/>
    <mergeCell ref="E43:E44"/>
    <mergeCell ref="F43:F44"/>
    <mergeCell ref="J43:O43"/>
    <mergeCell ref="T43:Y43"/>
    <mergeCell ref="AD43:AI43"/>
    <mergeCell ref="AN43:AS43"/>
    <mergeCell ref="AD42:AF42"/>
    <mergeCell ref="AG42:AI42"/>
    <mergeCell ref="AN42:AP42"/>
    <mergeCell ref="AQ42:AS42"/>
    <mergeCell ref="AX42:AZ42"/>
    <mergeCell ref="BA42:BC42"/>
    <mergeCell ref="AD44:AE44"/>
    <mergeCell ref="AF44:AG44"/>
    <mergeCell ref="AH44:AI44"/>
    <mergeCell ref="AN44:AO44"/>
    <mergeCell ref="AX43:BC43"/>
    <mergeCell ref="BH43:BM43"/>
    <mergeCell ref="DP43:DU43"/>
    <mergeCell ref="DZ43:EE43"/>
    <mergeCell ref="G44:G45"/>
    <mergeCell ref="H44:I44"/>
    <mergeCell ref="J44:K44"/>
    <mergeCell ref="L44:M44"/>
    <mergeCell ref="N44:O44"/>
    <mergeCell ref="T44:U44"/>
    <mergeCell ref="EB44:EC44"/>
    <mergeCell ref="ED44:EE44"/>
    <mergeCell ref="J45:K45"/>
    <mergeCell ref="L45:M45"/>
    <mergeCell ref="N45:O45"/>
    <mergeCell ref="T45:U45"/>
    <mergeCell ref="V45:W45"/>
    <mergeCell ref="X45:Y45"/>
    <mergeCell ref="AD45:AE45"/>
    <mergeCell ref="AF45:AG45"/>
    <mergeCell ref="BJ44:BK44"/>
    <mergeCell ref="BL44:BM44"/>
    <mergeCell ref="DP44:DQ44"/>
    <mergeCell ref="DR44:DS44"/>
    <mergeCell ref="DT44:DU44"/>
    <mergeCell ref="DZ44:EA44"/>
    <mergeCell ref="AP44:AQ44"/>
    <mergeCell ref="AR44:AS44"/>
    <mergeCell ref="AX44:AY44"/>
    <mergeCell ref="AZ44:BA44"/>
    <mergeCell ref="BB44:BC44"/>
    <mergeCell ref="BH44:BI44"/>
    <mergeCell ref="V44:W44"/>
    <mergeCell ref="X44:Y44"/>
    <mergeCell ref="DT45:DU45"/>
    <mergeCell ref="DZ45:EA45"/>
    <mergeCell ref="EB45:EC45"/>
    <mergeCell ref="ED45:EE45"/>
    <mergeCell ref="D50:D53"/>
    <mergeCell ref="J50:L50"/>
    <mergeCell ref="M50:O50"/>
    <mergeCell ref="T50:V50"/>
    <mergeCell ref="W50:Y50"/>
    <mergeCell ref="AD50:AF50"/>
    <mergeCell ref="BB45:BC45"/>
    <mergeCell ref="BH45:BI45"/>
    <mergeCell ref="BJ45:BK45"/>
    <mergeCell ref="BL45:BM45"/>
    <mergeCell ref="DP45:DQ45"/>
    <mergeCell ref="DR45:DS45"/>
    <mergeCell ref="AH45:AI45"/>
    <mergeCell ref="AN45:AO45"/>
    <mergeCell ref="AP45:AQ45"/>
    <mergeCell ref="AR45:AS45"/>
    <mergeCell ref="AX45:AY45"/>
    <mergeCell ref="AZ45:BA45"/>
    <mergeCell ref="BK50:BM50"/>
    <mergeCell ref="DP50:DU50"/>
    <mergeCell ref="DZ50:EE50"/>
    <mergeCell ref="E51:E52"/>
    <mergeCell ref="F51:F52"/>
    <mergeCell ref="T51:Y51"/>
    <mergeCell ref="AD51:AI51"/>
    <mergeCell ref="AN51:AS51"/>
    <mergeCell ref="AX51:BC51"/>
    <mergeCell ref="AG50:AI50"/>
    <mergeCell ref="AN50:AP50"/>
    <mergeCell ref="AQ50:AS50"/>
    <mergeCell ref="AX50:AZ50"/>
    <mergeCell ref="BA50:BC50"/>
    <mergeCell ref="AF52:AG52"/>
    <mergeCell ref="AH52:AI52"/>
    <mergeCell ref="AN52:AO52"/>
    <mergeCell ref="AP52:AQ52"/>
    <mergeCell ref="BH51:BM51"/>
    <mergeCell ref="DP51:DU51"/>
    <mergeCell ref="DZ51:EE51"/>
    <mergeCell ref="G52:G53"/>
    <mergeCell ref="H52:I52"/>
    <mergeCell ref="J52:K52"/>
    <mergeCell ref="L52:M52"/>
    <mergeCell ref="N52:O52"/>
    <mergeCell ref="T52:U52"/>
    <mergeCell ref="V52:W52"/>
    <mergeCell ref="ED52:EE52"/>
    <mergeCell ref="J53:K53"/>
    <mergeCell ref="L53:M53"/>
    <mergeCell ref="N53:O53"/>
    <mergeCell ref="T53:U53"/>
    <mergeCell ref="V53:W53"/>
    <mergeCell ref="X53:Y53"/>
    <mergeCell ref="AD53:AE53"/>
    <mergeCell ref="AF53:AG53"/>
    <mergeCell ref="J51:O51"/>
    <mergeCell ref="AH53:AI53"/>
    <mergeCell ref="BL52:BM52"/>
    <mergeCell ref="DP52:DQ52"/>
    <mergeCell ref="DR52:DS52"/>
    <mergeCell ref="DT52:DU52"/>
    <mergeCell ref="DZ52:EA52"/>
    <mergeCell ref="EB52:EC52"/>
    <mergeCell ref="AR52:AS52"/>
    <mergeCell ref="AX52:AY52"/>
    <mergeCell ref="AZ52:BA52"/>
    <mergeCell ref="BB52:BC52"/>
    <mergeCell ref="BH52:BI52"/>
    <mergeCell ref="BJ52:BK52"/>
    <mergeCell ref="X52:Y52"/>
    <mergeCell ref="AD52:AE52"/>
    <mergeCell ref="DZ53:EA53"/>
    <mergeCell ref="EB53:EC53"/>
    <mergeCell ref="ED53:EE53"/>
    <mergeCell ref="B59:B72"/>
    <mergeCell ref="D60:D63"/>
    <mergeCell ref="J60:L60"/>
    <mergeCell ref="M60:O60"/>
    <mergeCell ref="T60:V60"/>
    <mergeCell ref="W60:Y60"/>
    <mergeCell ref="AD60:AF60"/>
    <mergeCell ref="BH53:BI53"/>
    <mergeCell ref="BJ53:BK53"/>
    <mergeCell ref="BL53:BM53"/>
    <mergeCell ref="DP53:DQ53"/>
    <mergeCell ref="DR53:DS53"/>
    <mergeCell ref="DT53:DU53"/>
    <mergeCell ref="AN53:AO53"/>
    <mergeCell ref="AP53:AQ53"/>
    <mergeCell ref="AR53:AS53"/>
    <mergeCell ref="AX53:AY53"/>
    <mergeCell ref="AZ53:BA53"/>
    <mergeCell ref="BB53:BC53"/>
    <mergeCell ref="DP60:DU60"/>
    <mergeCell ref="DZ60:EE60"/>
    <mergeCell ref="E61:E62"/>
    <mergeCell ref="F61:F62"/>
    <mergeCell ref="J61:O61"/>
    <mergeCell ref="T61:Y61"/>
    <mergeCell ref="AD61:AI61"/>
    <mergeCell ref="AN61:AS61"/>
    <mergeCell ref="AX61:BC61"/>
    <mergeCell ref="AG60:AI60"/>
    <mergeCell ref="AN60:AP60"/>
    <mergeCell ref="AQ60:AS60"/>
    <mergeCell ref="AX60:AZ60"/>
    <mergeCell ref="BA60:BC60"/>
    <mergeCell ref="BH60:BJ60"/>
    <mergeCell ref="AF62:AG62"/>
    <mergeCell ref="AH62:AI62"/>
    <mergeCell ref="AN62:AO62"/>
    <mergeCell ref="AP62:AQ62"/>
    <mergeCell ref="BH61:BM61"/>
    <mergeCell ref="DP61:DU61"/>
    <mergeCell ref="DZ61:EE61"/>
    <mergeCell ref="G62:G63"/>
    <mergeCell ref="H62:I62"/>
    <mergeCell ref="J62:K62"/>
    <mergeCell ref="L62:M62"/>
    <mergeCell ref="N62:O62"/>
    <mergeCell ref="T62:U62"/>
    <mergeCell ref="V62:W62"/>
    <mergeCell ref="ED62:EE62"/>
    <mergeCell ref="J63:K63"/>
    <mergeCell ref="L63:M63"/>
    <mergeCell ref="N63:O63"/>
    <mergeCell ref="T63:U63"/>
    <mergeCell ref="V63:W63"/>
    <mergeCell ref="X63:Y63"/>
    <mergeCell ref="AD63:AE63"/>
    <mergeCell ref="AF63:AG63"/>
    <mergeCell ref="AH63:AI63"/>
    <mergeCell ref="BL62:BM62"/>
    <mergeCell ref="DP62:DQ62"/>
    <mergeCell ref="DR62:DS62"/>
    <mergeCell ref="DT62:DU62"/>
    <mergeCell ref="DZ62:EA62"/>
    <mergeCell ref="EB62:EC62"/>
    <mergeCell ref="AR62:AS62"/>
    <mergeCell ref="AX62:AY62"/>
    <mergeCell ref="AZ62:BA62"/>
    <mergeCell ref="BB62:BC62"/>
    <mergeCell ref="BH62:BI62"/>
    <mergeCell ref="BJ62:BK62"/>
    <mergeCell ref="X62:Y62"/>
    <mergeCell ref="AD62:AE62"/>
    <mergeCell ref="D68:D71"/>
    <mergeCell ref="J68:L68"/>
    <mergeCell ref="M68:O68"/>
    <mergeCell ref="T68:V68"/>
    <mergeCell ref="W68:Y68"/>
    <mergeCell ref="AD68:AF68"/>
    <mergeCell ref="AG68:AI68"/>
    <mergeCell ref="BH63:BI63"/>
    <mergeCell ref="BJ63:BK63"/>
    <mergeCell ref="AN63:AO63"/>
    <mergeCell ref="AP63:AQ63"/>
    <mergeCell ref="AR63:AS63"/>
    <mergeCell ref="AX63:AY63"/>
    <mergeCell ref="AZ63:BA63"/>
    <mergeCell ref="BB63:BC63"/>
    <mergeCell ref="AN68:AP68"/>
    <mergeCell ref="AQ68:AS68"/>
    <mergeCell ref="AX68:AZ68"/>
    <mergeCell ref="BA68:BC68"/>
    <mergeCell ref="DP68:DU68"/>
    <mergeCell ref="DZ68:EE68"/>
    <mergeCell ref="DZ63:EA63"/>
    <mergeCell ref="EB63:EC63"/>
    <mergeCell ref="ED63:EE63"/>
    <mergeCell ref="BL63:BM63"/>
    <mergeCell ref="DP63:DQ63"/>
    <mergeCell ref="DR63:DS63"/>
    <mergeCell ref="DT63:DU63"/>
    <mergeCell ref="E69:E70"/>
    <mergeCell ref="F69:F70"/>
    <mergeCell ref="J69:O69"/>
    <mergeCell ref="T69:Y69"/>
    <mergeCell ref="AD69:AI69"/>
    <mergeCell ref="AN69:AS69"/>
    <mergeCell ref="X70:Y70"/>
    <mergeCell ref="AD70:AE70"/>
    <mergeCell ref="AF70:AG70"/>
    <mergeCell ref="AH70:AI70"/>
    <mergeCell ref="AX69:BC69"/>
    <mergeCell ref="DP69:DU69"/>
    <mergeCell ref="DZ69:EE69"/>
    <mergeCell ref="G70:G71"/>
    <mergeCell ref="H70:I70"/>
    <mergeCell ref="J70:K70"/>
    <mergeCell ref="L70:M70"/>
    <mergeCell ref="N70:O70"/>
    <mergeCell ref="T70:U70"/>
    <mergeCell ref="V70:W70"/>
    <mergeCell ref="DZ70:EA70"/>
    <mergeCell ref="EB70:EC70"/>
    <mergeCell ref="ED70:EE70"/>
    <mergeCell ref="AN70:AO70"/>
    <mergeCell ref="AP70:AQ70"/>
    <mergeCell ref="AR70:AS70"/>
    <mergeCell ref="AX70:AY70"/>
    <mergeCell ref="AZ70:BA70"/>
    <mergeCell ref="BB70:BC70"/>
    <mergeCell ref="J71:K71"/>
    <mergeCell ref="L71:M71"/>
    <mergeCell ref="N71:O71"/>
    <mergeCell ref="T71:U71"/>
    <mergeCell ref="V71:W71"/>
    <mergeCell ref="DZ81:EA81"/>
    <mergeCell ref="BR80:BS80"/>
    <mergeCell ref="BT80:BU80"/>
    <mergeCell ref="BV80:BW80"/>
    <mergeCell ref="DP80:DQ80"/>
    <mergeCell ref="X71:Y71"/>
    <mergeCell ref="DP70:DQ70"/>
    <mergeCell ref="DR70:DS70"/>
    <mergeCell ref="DT70:DU70"/>
    <mergeCell ref="AX71:AY71"/>
    <mergeCell ref="AZ71:BA71"/>
    <mergeCell ref="BB71:BC71"/>
    <mergeCell ref="DP71:DQ71"/>
    <mergeCell ref="DR71:DS71"/>
    <mergeCell ref="DT71:DU71"/>
    <mergeCell ref="AD71:AE71"/>
    <mergeCell ref="AF71:AG71"/>
    <mergeCell ref="AH71:AI71"/>
    <mergeCell ref="AN71:AO71"/>
    <mergeCell ref="AP71:AQ71"/>
    <mergeCell ref="AR71:AS71"/>
    <mergeCell ref="BH71:BI71"/>
    <mergeCell ref="BJ71:BK71"/>
    <mergeCell ref="BL71:BM71"/>
    <mergeCell ref="DZ87:EE87"/>
    <mergeCell ref="DP88:DQ88"/>
    <mergeCell ref="DR88:DS88"/>
    <mergeCell ref="DT88:DU88"/>
    <mergeCell ref="DZ88:EA88"/>
    <mergeCell ref="DZ71:EA71"/>
    <mergeCell ref="EB71:EC71"/>
    <mergeCell ref="ED71:EE71"/>
    <mergeCell ref="BI77:BI90"/>
    <mergeCell ref="BR78:BW78"/>
    <mergeCell ref="DP78:DU78"/>
    <mergeCell ref="DZ78:EE78"/>
    <mergeCell ref="BR79:BW79"/>
    <mergeCell ref="DP79:DU79"/>
    <mergeCell ref="DZ79:EE79"/>
    <mergeCell ref="DZ80:EA80"/>
    <mergeCell ref="EB80:EC80"/>
    <mergeCell ref="ED80:EE80"/>
    <mergeCell ref="BR81:BS81"/>
    <mergeCell ref="BT81:BU81"/>
    <mergeCell ref="BV81:BW81"/>
    <mergeCell ref="DP81:DQ81"/>
    <mergeCell ref="DR81:DS81"/>
    <mergeCell ref="DT81:DU81"/>
    <mergeCell ref="EB88:EC88"/>
    <mergeCell ref="DR80:DS80"/>
    <mergeCell ref="DT80:DU80"/>
    <mergeCell ref="EB81:EC81"/>
    <mergeCell ref="ED81:EE81"/>
    <mergeCell ref="BJ84:BJ85"/>
    <mergeCell ref="BS84:BS85"/>
    <mergeCell ref="BU84:BU89"/>
    <mergeCell ref="BW84:BW85"/>
    <mergeCell ref="BL85:BL89"/>
    <mergeCell ref="BJ86:BJ89"/>
    <mergeCell ref="BN86:BQ89"/>
    <mergeCell ref="BS86:BS89"/>
    <mergeCell ref="ED88:EE88"/>
    <mergeCell ref="DP89:DQ89"/>
    <mergeCell ref="DR89:DS89"/>
    <mergeCell ref="DT89:DU89"/>
    <mergeCell ref="DZ89:EA89"/>
    <mergeCell ref="EB89:EC89"/>
    <mergeCell ref="ED89:EE89"/>
    <mergeCell ref="BW86:BW89"/>
    <mergeCell ref="DP86:DU86"/>
    <mergeCell ref="DZ86:EE86"/>
    <mergeCell ref="DP87:DU87"/>
    <mergeCell ref="BH35:BI35"/>
    <mergeCell ref="BJ35:BK35"/>
    <mergeCell ref="BL35:BM35"/>
    <mergeCell ref="BH68:BJ68"/>
    <mergeCell ref="BK68:BM68"/>
    <mergeCell ref="BH69:BM69"/>
    <mergeCell ref="BH70:BI70"/>
    <mergeCell ref="BJ70:BK70"/>
    <mergeCell ref="BL70:BM70"/>
    <mergeCell ref="BK60:BM60"/>
    <mergeCell ref="BH50:BJ50"/>
    <mergeCell ref="BH42:BJ42"/>
    <mergeCell ref="BK42:BM42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EE100"/>
  <sheetViews>
    <sheetView zoomScaleNormal="100" workbookViewId="0">
      <selection activeCell="CE40" sqref="CE40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177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5" spans="2:135" ht="10.050000000000001" customHeight="1" thickBot="1" x14ac:dyDescent="0.35">
      <c r="B5" s="118" t="s">
        <v>4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121</v>
      </c>
      <c r="K6" s="25"/>
      <c r="L6" s="26"/>
      <c r="M6" s="38" t="s">
        <v>109</v>
      </c>
      <c r="N6" s="39"/>
      <c r="O6" s="40"/>
      <c r="P6" s="4"/>
      <c r="Q6" s="4"/>
      <c r="R6" s="4"/>
      <c r="S6" s="4"/>
      <c r="T6" s="24" t="s">
        <v>119</v>
      </c>
      <c r="U6" s="25"/>
      <c r="V6" s="26"/>
      <c r="W6" s="38" t="s">
        <v>109</v>
      </c>
      <c r="X6" s="39"/>
      <c r="Y6" s="40"/>
      <c r="Z6" s="4"/>
      <c r="AA6" s="4"/>
      <c r="AB6" s="4"/>
      <c r="AC6" s="4"/>
      <c r="AD6" s="24" t="s">
        <v>114</v>
      </c>
      <c r="AE6" s="25"/>
      <c r="AF6" s="26"/>
      <c r="AG6" s="38">
        <v>114</v>
      </c>
      <c r="AH6" s="39"/>
      <c r="AI6" s="40"/>
      <c r="AJ6" s="4"/>
      <c r="AK6" s="4"/>
      <c r="AL6" s="4"/>
      <c r="AM6" s="4"/>
      <c r="AN6" s="24" t="s">
        <v>90</v>
      </c>
      <c r="AO6" s="25"/>
      <c r="AP6" s="26"/>
      <c r="AQ6" s="27" t="s">
        <v>164</v>
      </c>
      <c r="AR6" s="28"/>
      <c r="AS6" s="29"/>
      <c r="AT6" s="4"/>
      <c r="AU6" s="4"/>
      <c r="AV6" s="4"/>
      <c r="AW6" s="4"/>
      <c r="AX6" s="24" t="s">
        <v>19</v>
      </c>
      <c r="AY6" s="25"/>
      <c r="AZ6" s="26"/>
      <c r="BA6" s="27" t="s">
        <v>33</v>
      </c>
      <c r="BB6" s="28"/>
      <c r="BC6" s="29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SUM(N8,X8,AH8,AR8,BB8,BL8)</f>
        <v>705</v>
      </c>
      <c r="H7" s="2"/>
      <c r="I7" s="2"/>
      <c r="J7" s="114" t="s">
        <v>21</v>
      </c>
      <c r="K7" s="115"/>
      <c r="L7" s="115"/>
      <c r="M7" s="115"/>
      <c r="N7" s="116"/>
      <c r="O7" s="117"/>
      <c r="P7" s="4"/>
      <c r="Q7" s="4"/>
      <c r="R7" s="4"/>
      <c r="S7" s="4"/>
      <c r="T7" s="114" t="s">
        <v>120</v>
      </c>
      <c r="U7" s="115"/>
      <c r="V7" s="115"/>
      <c r="W7" s="115"/>
      <c r="X7" s="116"/>
      <c r="Y7" s="117"/>
      <c r="Z7" s="4"/>
      <c r="AA7" s="4"/>
      <c r="AB7" s="4"/>
      <c r="AC7" s="4"/>
      <c r="AD7" s="30" t="s">
        <v>117</v>
      </c>
      <c r="AE7" s="31"/>
      <c r="AF7" s="31"/>
      <c r="AG7" s="31"/>
      <c r="AH7" s="32"/>
      <c r="AI7" s="33"/>
      <c r="AJ7" s="4"/>
      <c r="AK7" s="4"/>
      <c r="AL7" s="4"/>
      <c r="AM7" s="4"/>
      <c r="AN7" s="30" t="s">
        <v>165</v>
      </c>
      <c r="AO7" s="31"/>
      <c r="AP7" s="31"/>
      <c r="AQ7" s="31"/>
      <c r="AR7" s="32"/>
      <c r="AS7" s="33"/>
      <c r="AT7" s="4"/>
      <c r="AU7" s="4"/>
      <c r="AV7" s="4"/>
      <c r="AW7" s="4"/>
      <c r="AX7" s="53" t="s">
        <v>32</v>
      </c>
      <c r="AY7" s="54"/>
      <c r="AZ7" s="54"/>
      <c r="BA7" s="54"/>
      <c r="BB7" s="55"/>
      <c r="BC7" s="56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110">
        <v>2</v>
      </c>
      <c r="K8" s="111"/>
      <c r="L8" s="108">
        <v>2</v>
      </c>
      <c r="M8" s="111"/>
      <c r="N8" s="108">
        <v>90</v>
      </c>
      <c r="O8" s="109"/>
      <c r="P8" s="4"/>
      <c r="Q8" s="4"/>
      <c r="R8" s="4"/>
      <c r="S8" s="4"/>
      <c r="T8" s="110">
        <v>2</v>
      </c>
      <c r="U8" s="111"/>
      <c r="V8" s="108">
        <v>2</v>
      </c>
      <c r="W8" s="111"/>
      <c r="X8" s="108">
        <v>90</v>
      </c>
      <c r="Y8" s="109"/>
      <c r="Z8" s="4"/>
      <c r="AA8" s="4"/>
      <c r="AB8" s="4"/>
      <c r="AC8" s="4"/>
      <c r="AD8" s="34">
        <v>4</v>
      </c>
      <c r="AE8" s="35"/>
      <c r="AF8" s="36">
        <v>5</v>
      </c>
      <c r="AG8" s="35"/>
      <c r="AH8" s="36">
        <v>195</v>
      </c>
      <c r="AI8" s="37"/>
      <c r="AJ8" s="4"/>
      <c r="AK8" s="4"/>
      <c r="AL8" s="4"/>
      <c r="AM8" s="4"/>
      <c r="AN8" s="34">
        <v>3</v>
      </c>
      <c r="AO8" s="35"/>
      <c r="AP8" s="36">
        <v>4</v>
      </c>
      <c r="AQ8" s="35"/>
      <c r="AR8" s="36">
        <v>150</v>
      </c>
      <c r="AS8" s="37"/>
      <c r="AT8" s="4"/>
      <c r="AU8" s="4"/>
      <c r="AV8" s="4"/>
      <c r="AW8" s="4"/>
      <c r="AX8" s="57">
        <v>3</v>
      </c>
      <c r="AY8" s="58"/>
      <c r="AZ8" s="59">
        <v>6</v>
      </c>
      <c r="BA8" s="58"/>
      <c r="BB8" s="59">
        <v>180</v>
      </c>
      <c r="BC8" s="91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SUM(J8,T8,AD8,AN8,AX8,BH8,BR8)</f>
        <v>14</v>
      </c>
      <c r="F9" s="11">
        <f>SUM(J9:BW9)</f>
        <v>19</v>
      </c>
      <c r="G9" s="105"/>
      <c r="H9" s="2"/>
      <c r="I9" s="2"/>
      <c r="J9" s="112">
        <v>2</v>
      </c>
      <c r="K9" s="113"/>
      <c r="L9" s="106">
        <v>0</v>
      </c>
      <c r="M9" s="113"/>
      <c r="N9" s="106">
        <v>0</v>
      </c>
      <c r="O9" s="107"/>
      <c r="P9" s="4"/>
      <c r="Q9" s="4"/>
      <c r="R9" s="4"/>
      <c r="S9" s="4"/>
      <c r="T9" s="112">
        <v>2</v>
      </c>
      <c r="U9" s="113"/>
      <c r="V9" s="106">
        <v>0</v>
      </c>
      <c r="W9" s="113"/>
      <c r="X9" s="106">
        <v>0</v>
      </c>
      <c r="Y9" s="107"/>
      <c r="Z9" s="4"/>
      <c r="AA9" s="4"/>
      <c r="AB9" s="4"/>
      <c r="AC9" s="4"/>
      <c r="AD9" s="20">
        <v>3</v>
      </c>
      <c r="AE9" s="21"/>
      <c r="AF9" s="22">
        <v>2</v>
      </c>
      <c r="AG9" s="21"/>
      <c r="AH9" s="22">
        <v>0</v>
      </c>
      <c r="AI9" s="23"/>
      <c r="AJ9" s="4"/>
      <c r="AK9" s="4"/>
      <c r="AL9" s="4"/>
      <c r="AM9" s="4"/>
      <c r="AN9" s="20">
        <v>2</v>
      </c>
      <c r="AO9" s="21"/>
      <c r="AP9" s="22">
        <v>2</v>
      </c>
      <c r="AQ9" s="21"/>
      <c r="AR9" s="22">
        <v>0</v>
      </c>
      <c r="AS9" s="23"/>
      <c r="AT9" s="4"/>
      <c r="AU9" s="4"/>
      <c r="AV9" s="4"/>
      <c r="AW9" s="4"/>
      <c r="AX9" s="92">
        <v>3</v>
      </c>
      <c r="AY9" s="93"/>
      <c r="AZ9" s="70">
        <v>3</v>
      </c>
      <c r="BA9" s="93"/>
      <c r="BB9" s="70">
        <v>0</v>
      </c>
      <c r="BC9" s="71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122</v>
      </c>
      <c r="K14" s="25"/>
      <c r="L14" s="26"/>
      <c r="M14" s="38" t="s">
        <v>109</v>
      </c>
      <c r="N14" s="39"/>
      <c r="O14" s="40"/>
      <c r="P14" s="4"/>
      <c r="Q14" s="4"/>
      <c r="R14" s="4"/>
      <c r="S14" s="4"/>
      <c r="T14" s="24" t="s">
        <v>114</v>
      </c>
      <c r="U14" s="25"/>
      <c r="V14" s="26"/>
      <c r="W14" s="38">
        <v>313</v>
      </c>
      <c r="X14" s="39"/>
      <c r="Y14" s="40"/>
      <c r="Z14" s="4"/>
      <c r="AA14" s="4"/>
      <c r="AB14" s="4"/>
      <c r="AC14" s="4"/>
      <c r="AD14" s="24" t="s">
        <v>114</v>
      </c>
      <c r="AE14" s="25"/>
      <c r="AF14" s="26"/>
      <c r="AG14" s="38">
        <v>131</v>
      </c>
      <c r="AH14" s="39"/>
      <c r="AI14" s="40"/>
      <c r="AJ14" s="4"/>
      <c r="AK14" s="4"/>
      <c r="AL14" s="4"/>
      <c r="AM14" s="4"/>
      <c r="AN14" s="24" t="s">
        <v>19</v>
      </c>
      <c r="AO14" s="25"/>
      <c r="AP14" s="26"/>
      <c r="AQ14" s="38">
        <v>113</v>
      </c>
      <c r="AR14" s="39"/>
      <c r="AS14" s="40"/>
      <c r="AT14" s="4"/>
      <c r="AU14" s="4"/>
      <c r="AV14" s="4"/>
      <c r="AW14" s="4"/>
      <c r="AX14" s="24" t="s">
        <v>19</v>
      </c>
      <c r="AY14" s="25"/>
      <c r="AZ14" s="26"/>
      <c r="BA14" s="27" t="s">
        <v>35</v>
      </c>
      <c r="BB14" s="28"/>
      <c r="BC14" s="29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750</v>
      </c>
      <c r="H15" s="2"/>
      <c r="I15" s="2"/>
      <c r="J15" s="114" t="s">
        <v>123</v>
      </c>
      <c r="K15" s="115"/>
      <c r="L15" s="115"/>
      <c r="M15" s="115"/>
      <c r="N15" s="116"/>
      <c r="O15" s="117"/>
      <c r="P15" s="4"/>
      <c r="Q15" s="4"/>
      <c r="R15" s="4"/>
      <c r="S15" s="4"/>
      <c r="T15" s="30" t="s">
        <v>125</v>
      </c>
      <c r="U15" s="31"/>
      <c r="V15" s="31"/>
      <c r="W15" s="31"/>
      <c r="X15" s="32"/>
      <c r="Y15" s="33"/>
      <c r="Z15" s="4"/>
      <c r="AA15" s="4"/>
      <c r="AB15" s="4"/>
      <c r="AC15" s="4"/>
      <c r="AD15" s="30" t="s">
        <v>124</v>
      </c>
      <c r="AE15" s="31"/>
      <c r="AF15" s="31"/>
      <c r="AG15" s="31"/>
      <c r="AH15" s="32"/>
      <c r="AI15" s="33"/>
      <c r="AJ15" s="4"/>
      <c r="AK15" s="4"/>
      <c r="AL15" s="4"/>
      <c r="AM15" s="4"/>
      <c r="AN15" s="30" t="s">
        <v>24</v>
      </c>
      <c r="AO15" s="31"/>
      <c r="AP15" s="31"/>
      <c r="AQ15" s="31"/>
      <c r="AR15" s="32"/>
      <c r="AS15" s="33"/>
      <c r="AT15" s="4"/>
      <c r="AU15" s="4"/>
      <c r="AV15" s="4"/>
      <c r="AW15" s="4"/>
      <c r="AX15" s="53" t="s">
        <v>34</v>
      </c>
      <c r="AY15" s="54"/>
      <c r="AZ15" s="54"/>
      <c r="BA15" s="54"/>
      <c r="BB15" s="55"/>
      <c r="BC15" s="56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110">
        <v>2</v>
      </c>
      <c r="K16" s="111"/>
      <c r="L16" s="108">
        <v>2</v>
      </c>
      <c r="M16" s="111"/>
      <c r="N16" s="108">
        <v>90</v>
      </c>
      <c r="O16" s="109"/>
      <c r="P16" s="4"/>
      <c r="Q16" s="4"/>
      <c r="R16" s="4"/>
      <c r="S16" s="4"/>
      <c r="T16" s="34">
        <v>4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2</v>
      </c>
      <c r="AE16" s="35"/>
      <c r="AF16" s="36">
        <v>3</v>
      </c>
      <c r="AG16" s="35"/>
      <c r="AH16" s="36">
        <v>105</v>
      </c>
      <c r="AI16" s="37"/>
      <c r="AJ16" s="4"/>
      <c r="AK16" s="4"/>
      <c r="AL16" s="4"/>
      <c r="AM16" s="4"/>
      <c r="AN16" s="34">
        <v>3</v>
      </c>
      <c r="AO16" s="35"/>
      <c r="AP16" s="36">
        <v>6</v>
      </c>
      <c r="AQ16" s="35"/>
      <c r="AR16" s="36">
        <v>180</v>
      </c>
      <c r="AS16" s="37"/>
      <c r="AT16" s="4"/>
      <c r="AU16" s="4"/>
      <c r="AV16" s="4"/>
      <c r="AW16" s="4"/>
      <c r="AX16" s="57">
        <v>3</v>
      </c>
      <c r="AY16" s="58"/>
      <c r="AZ16" s="59">
        <v>6</v>
      </c>
      <c r="BA16" s="58"/>
      <c r="BB16" s="59">
        <v>180</v>
      </c>
      <c r="BC16" s="91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SUM(J16,T16,AD16,AN16,AX16,BH16,BR16)</f>
        <v>14</v>
      </c>
      <c r="F17" s="11">
        <f>SUM(J17:BW17)</f>
        <v>22</v>
      </c>
      <c r="G17" s="105"/>
      <c r="H17" s="2"/>
      <c r="I17" s="2"/>
      <c r="J17" s="112">
        <v>2</v>
      </c>
      <c r="K17" s="113"/>
      <c r="L17" s="106">
        <v>0</v>
      </c>
      <c r="M17" s="113"/>
      <c r="N17" s="106">
        <v>0</v>
      </c>
      <c r="O17" s="107"/>
      <c r="P17" s="4"/>
      <c r="Q17" s="4"/>
      <c r="R17" s="4"/>
      <c r="S17" s="4"/>
      <c r="T17" s="20">
        <v>3</v>
      </c>
      <c r="U17" s="21"/>
      <c r="V17" s="22">
        <v>2</v>
      </c>
      <c r="W17" s="21"/>
      <c r="X17" s="22">
        <v>0</v>
      </c>
      <c r="Y17" s="23"/>
      <c r="Z17" s="4"/>
      <c r="AA17" s="4"/>
      <c r="AB17" s="4"/>
      <c r="AC17" s="4"/>
      <c r="AD17" s="20">
        <v>1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20">
        <v>1</v>
      </c>
      <c r="AO17" s="21"/>
      <c r="AP17" s="22">
        <v>3</v>
      </c>
      <c r="AQ17" s="21"/>
      <c r="AR17" s="22">
        <v>2</v>
      </c>
      <c r="AS17" s="23"/>
      <c r="AT17" s="4"/>
      <c r="AU17" s="4"/>
      <c r="AV17" s="4"/>
      <c r="AW17" s="4"/>
      <c r="AX17" s="92">
        <v>3</v>
      </c>
      <c r="AY17" s="93"/>
      <c r="AZ17" s="70">
        <v>3</v>
      </c>
      <c r="BA17" s="93"/>
      <c r="BB17" s="70">
        <v>0</v>
      </c>
      <c r="BC17" s="71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3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127</v>
      </c>
      <c r="K24" s="25"/>
      <c r="L24" s="26"/>
      <c r="M24" s="38" t="s">
        <v>110</v>
      </c>
      <c r="N24" s="39"/>
      <c r="O24" s="40"/>
      <c r="P24" s="4"/>
      <c r="Q24" s="4"/>
      <c r="R24" s="4"/>
      <c r="S24" s="4"/>
      <c r="T24" s="24" t="s">
        <v>131</v>
      </c>
      <c r="U24" s="25"/>
      <c r="V24" s="26"/>
      <c r="W24" s="38" t="s">
        <v>110</v>
      </c>
      <c r="X24" s="39"/>
      <c r="Y24" s="40"/>
      <c r="Z24" s="4"/>
      <c r="AA24" s="4"/>
      <c r="AB24" s="4"/>
      <c r="AC24" s="4"/>
      <c r="AD24" s="24" t="s">
        <v>114</v>
      </c>
      <c r="AE24" s="25"/>
      <c r="AF24" s="26"/>
      <c r="AG24" s="38">
        <v>112</v>
      </c>
      <c r="AH24" s="39"/>
      <c r="AI24" s="40"/>
      <c r="AJ24" s="4"/>
      <c r="AK24" s="4"/>
      <c r="AL24" s="4"/>
      <c r="AM24" s="4"/>
      <c r="AN24" s="24" t="s">
        <v>114</v>
      </c>
      <c r="AO24" s="25"/>
      <c r="AP24" s="26"/>
      <c r="AQ24" s="38">
        <v>231</v>
      </c>
      <c r="AR24" s="39"/>
      <c r="AS24" s="40"/>
      <c r="AT24" s="4"/>
      <c r="AU24" s="4"/>
      <c r="AV24" s="4"/>
      <c r="AW24" s="4"/>
      <c r="AX24" s="24" t="s">
        <v>19</v>
      </c>
      <c r="AY24" s="25"/>
      <c r="AZ24" s="26"/>
      <c r="BA24" s="38">
        <v>111</v>
      </c>
      <c r="BB24" s="102"/>
      <c r="BC24" s="103"/>
      <c r="BD24" s="4"/>
      <c r="BE24" s="4"/>
      <c r="BF24" s="4"/>
      <c r="BG24" s="4"/>
      <c r="BH24" s="24" t="s">
        <v>19</v>
      </c>
      <c r="BI24" s="25"/>
      <c r="BJ24" s="26"/>
      <c r="BK24" s="38">
        <v>131</v>
      </c>
      <c r="BL24" s="102"/>
      <c r="BM24" s="103"/>
      <c r="BN24" s="4"/>
      <c r="BO24" s="4"/>
      <c r="BP24" s="4"/>
      <c r="BQ24" s="4"/>
      <c r="BR24" s="24" t="s">
        <v>19</v>
      </c>
      <c r="BS24" s="25"/>
      <c r="BT24" s="26"/>
      <c r="BU24" s="38">
        <v>191</v>
      </c>
      <c r="BV24" s="39"/>
      <c r="BW24" s="40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48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SUM(N26,X26,AH26,AR26,BB26,BL26,BV26)</f>
        <v>915</v>
      </c>
      <c r="H25" s="2"/>
      <c r="I25" s="2"/>
      <c r="J25" s="114" t="s">
        <v>128</v>
      </c>
      <c r="K25" s="115"/>
      <c r="L25" s="115"/>
      <c r="M25" s="115"/>
      <c r="N25" s="116"/>
      <c r="O25" s="117"/>
      <c r="P25" s="4"/>
      <c r="Q25" s="4"/>
      <c r="R25" s="4"/>
      <c r="S25" s="4"/>
      <c r="T25" s="114" t="s">
        <v>20</v>
      </c>
      <c r="U25" s="115"/>
      <c r="V25" s="115"/>
      <c r="W25" s="115"/>
      <c r="X25" s="116"/>
      <c r="Y25" s="117"/>
      <c r="Z25" s="4"/>
      <c r="AA25" s="4"/>
      <c r="AB25" s="4"/>
      <c r="AC25" s="4"/>
      <c r="AD25" s="30" t="s">
        <v>126</v>
      </c>
      <c r="AE25" s="31"/>
      <c r="AF25" s="31"/>
      <c r="AG25" s="31"/>
      <c r="AH25" s="32"/>
      <c r="AI25" s="33"/>
      <c r="AJ25" s="4"/>
      <c r="AK25" s="4"/>
      <c r="AL25" s="4"/>
      <c r="AM25" s="4"/>
      <c r="AN25" s="30" t="s">
        <v>148</v>
      </c>
      <c r="AO25" s="31"/>
      <c r="AP25" s="31"/>
      <c r="AQ25" s="31"/>
      <c r="AR25" s="32"/>
      <c r="AS25" s="33"/>
      <c r="AT25" s="4"/>
      <c r="AU25" s="4"/>
      <c r="AV25" s="4"/>
      <c r="AW25" s="4"/>
      <c r="AX25" s="53" t="s">
        <v>36</v>
      </c>
      <c r="AY25" s="54"/>
      <c r="AZ25" s="54"/>
      <c r="BA25" s="54"/>
      <c r="BB25" s="55"/>
      <c r="BC25" s="56"/>
      <c r="BD25" s="4"/>
      <c r="BE25" s="4"/>
      <c r="BF25" s="4"/>
      <c r="BG25" s="4"/>
      <c r="BH25" s="53" t="s">
        <v>37</v>
      </c>
      <c r="BI25" s="54"/>
      <c r="BJ25" s="54"/>
      <c r="BK25" s="54"/>
      <c r="BL25" s="55"/>
      <c r="BM25" s="56"/>
      <c r="BN25" s="4"/>
      <c r="BO25" s="4"/>
      <c r="BP25" s="4"/>
      <c r="BQ25" s="4"/>
      <c r="BR25" s="41" t="s">
        <v>156</v>
      </c>
      <c r="BS25" s="42"/>
      <c r="BT25" s="42"/>
      <c r="BU25" s="42"/>
      <c r="BV25" s="43"/>
      <c r="BW25" s="4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110">
        <v>2</v>
      </c>
      <c r="K26" s="111"/>
      <c r="L26" s="108">
        <v>2</v>
      </c>
      <c r="M26" s="111"/>
      <c r="N26" s="108">
        <v>90</v>
      </c>
      <c r="O26" s="109"/>
      <c r="P26" s="4"/>
      <c r="Q26" s="4"/>
      <c r="R26" s="4"/>
      <c r="S26" s="4"/>
      <c r="T26" s="110">
        <v>2</v>
      </c>
      <c r="U26" s="111"/>
      <c r="V26" s="108">
        <v>2</v>
      </c>
      <c r="W26" s="111"/>
      <c r="X26" s="108">
        <v>90</v>
      </c>
      <c r="Y26" s="109"/>
      <c r="Z26" s="4"/>
      <c r="AA26" s="4"/>
      <c r="AB26" s="4"/>
      <c r="AC26" s="4"/>
      <c r="AD26" s="34">
        <v>3</v>
      </c>
      <c r="AE26" s="35"/>
      <c r="AF26" s="36">
        <v>4</v>
      </c>
      <c r="AG26" s="35"/>
      <c r="AH26" s="36">
        <v>150</v>
      </c>
      <c r="AI26" s="37"/>
      <c r="AJ26" s="4"/>
      <c r="AK26" s="4"/>
      <c r="AL26" s="4"/>
      <c r="AM26" s="4"/>
      <c r="AN26" s="34">
        <v>3</v>
      </c>
      <c r="AO26" s="35"/>
      <c r="AP26" s="36">
        <v>4</v>
      </c>
      <c r="AQ26" s="35"/>
      <c r="AR26" s="36">
        <v>150</v>
      </c>
      <c r="AS26" s="37"/>
      <c r="AT26" s="4"/>
      <c r="AU26" s="4"/>
      <c r="AV26" s="4"/>
      <c r="AW26" s="4"/>
      <c r="AX26" s="57">
        <v>3</v>
      </c>
      <c r="AY26" s="58"/>
      <c r="AZ26" s="59">
        <v>6</v>
      </c>
      <c r="BA26" s="58"/>
      <c r="BB26" s="59">
        <v>180</v>
      </c>
      <c r="BC26" s="91"/>
      <c r="BD26" s="4"/>
      <c r="BE26" s="4"/>
      <c r="BF26" s="4"/>
      <c r="BG26" s="4"/>
      <c r="BH26" s="57">
        <v>3</v>
      </c>
      <c r="BI26" s="58"/>
      <c r="BJ26" s="59">
        <v>7</v>
      </c>
      <c r="BK26" s="58"/>
      <c r="BL26" s="59">
        <v>195</v>
      </c>
      <c r="BM26" s="91"/>
      <c r="BN26" s="4"/>
      <c r="BO26" s="4"/>
      <c r="BP26" s="4"/>
      <c r="BQ26" s="4"/>
      <c r="BR26" s="45">
        <v>2</v>
      </c>
      <c r="BS26" s="46"/>
      <c r="BT26" s="47">
        <v>2</v>
      </c>
      <c r="BU26" s="46"/>
      <c r="BV26" s="47">
        <v>60</v>
      </c>
      <c r="BW26" s="48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thickBot="1" x14ac:dyDescent="0.35">
      <c r="B27" s="118"/>
      <c r="C27" s="1"/>
      <c r="D27" s="119"/>
      <c r="E27" s="11">
        <f>SUM(J26,T26,AD26,AN26,AX26,BH26,BR26)</f>
        <v>18</v>
      </c>
      <c r="F27" s="11">
        <f>SUM(J27:BW27)</f>
        <v>27</v>
      </c>
      <c r="G27" s="105"/>
      <c r="H27" s="2"/>
      <c r="I27" s="2"/>
      <c r="J27" s="112">
        <v>2</v>
      </c>
      <c r="K27" s="113"/>
      <c r="L27" s="106">
        <v>0</v>
      </c>
      <c r="M27" s="113"/>
      <c r="N27" s="106">
        <v>0</v>
      </c>
      <c r="O27" s="107"/>
      <c r="P27" s="4"/>
      <c r="Q27" s="4"/>
      <c r="R27" s="4"/>
      <c r="S27" s="4"/>
      <c r="T27" s="112">
        <v>2</v>
      </c>
      <c r="U27" s="113"/>
      <c r="V27" s="106">
        <v>0</v>
      </c>
      <c r="W27" s="113"/>
      <c r="X27" s="106">
        <v>0</v>
      </c>
      <c r="Y27" s="107"/>
      <c r="Z27" s="4"/>
      <c r="AA27" s="4"/>
      <c r="AB27" s="4"/>
      <c r="AC27" s="4"/>
      <c r="AD27" s="20">
        <v>2</v>
      </c>
      <c r="AE27" s="21"/>
      <c r="AF27" s="22">
        <v>2</v>
      </c>
      <c r="AG27" s="21"/>
      <c r="AH27" s="22">
        <v>0</v>
      </c>
      <c r="AI27" s="23"/>
      <c r="AJ27" s="4"/>
      <c r="AK27" s="4"/>
      <c r="AL27" s="4"/>
      <c r="AM27" s="4"/>
      <c r="AN27" s="20">
        <v>2</v>
      </c>
      <c r="AO27" s="21"/>
      <c r="AP27" s="22">
        <v>2</v>
      </c>
      <c r="AQ27" s="21"/>
      <c r="AR27" s="22">
        <v>0</v>
      </c>
      <c r="AS27" s="23"/>
      <c r="AT27" s="4"/>
      <c r="AU27" s="4"/>
      <c r="AV27" s="4"/>
      <c r="AW27" s="4"/>
      <c r="AX27" s="92">
        <v>3</v>
      </c>
      <c r="AY27" s="93"/>
      <c r="AZ27" s="70">
        <v>3</v>
      </c>
      <c r="BA27" s="93"/>
      <c r="BB27" s="70">
        <v>0</v>
      </c>
      <c r="BC27" s="71"/>
      <c r="BD27" s="4"/>
      <c r="BE27" s="4"/>
      <c r="BF27" s="4"/>
      <c r="BG27" s="4"/>
      <c r="BH27" s="92">
        <v>3</v>
      </c>
      <c r="BI27" s="93"/>
      <c r="BJ27" s="70">
        <v>2</v>
      </c>
      <c r="BK27" s="93"/>
      <c r="BL27" s="70">
        <v>2</v>
      </c>
      <c r="BM27" s="71"/>
      <c r="BN27" s="4"/>
      <c r="BO27" s="4"/>
      <c r="BP27" s="4"/>
      <c r="BQ27" s="4"/>
      <c r="BR27" s="49">
        <v>2</v>
      </c>
      <c r="BS27" s="50"/>
      <c r="BT27" s="51">
        <v>0</v>
      </c>
      <c r="BU27" s="50"/>
      <c r="BV27" s="51">
        <v>0</v>
      </c>
      <c r="BW27" s="52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129</v>
      </c>
      <c r="K32" s="25"/>
      <c r="L32" s="26"/>
      <c r="M32" s="38" t="s">
        <v>110</v>
      </c>
      <c r="N32" s="39"/>
      <c r="O32" s="40"/>
      <c r="P32" s="4"/>
      <c r="Q32" s="4"/>
      <c r="R32" s="4"/>
      <c r="S32" s="4"/>
      <c r="T32" s="24" t="s">
        <v>19</v>
      </c>
      <c r="U32" s="25"/>
      <c r="V32" s="26"/>
      <c r="W32" s="38">
        <v>315</v>
      </c>
      <c r="X32" s="39"/>
      <c r="Y32" s="40"/>
      <c r="Z32" s="4"/>
      <c r="AA32" s="4"/>
      <c r="AB32" s="4"/>
      <c r="AC32" s="4"/>
      <c r="AD32" s="24" t="s">
        <v>19</v>
      </c>
      <c r="AE32" s="25"/>
      <c r="AF32" s="26"/>
      <c r="AG32" s="38">
        <v>112</v>
      </c>
      <c r="AH32" s="102"/>
      <c r="AI32" s="103"/>
      <c r="AJ32" s="4"/>
      <c r="AK32" s="4"/>
      <c r="AL32" s="4"/>
      <c r="AM32" s="4"/>
      <c r="AN32" s="24" t="s">
        <v>19</v>
      </c>
      <c r="AO32" s="25"/>
      <c r="AP32" s="26"/>
      <c r="AQ32" s="38">
        <v>221</v>
      </c>
      <c r="AR32" s="102"/>
      <c r="AS32" s="103"/>
      <c r="AT32" s="4"/>
      <c r="AU32" s="4"/>
      <c r="AV32" s="4"/>
      <c r="AW32" s="4"/>
      <c r="AX32" s="24" t="s">
        <v>19</v>
      </c>
      <c r="AY32" s="25"/>
      <c r="AZ32" s="26"/>
      <c r="BA32" s="38">
        <v>132</v>
      </c>
      <c r="BB32" s="102"/>
      <c r="BC32" s="103"/>
      <c r="BD32" s="4"/>
      <c r="BE32" s="4"/>
      <c r="BF32" s="4"/>
      <c r="BG32" s="4"/>
      <c r="BH32" s="24" t="s">
        <v>19</v>
      </c>
      <c r="BI32" s="25"/>
      <c r="BJ32" s="26"/>
      <c r="BK32" s="38">
        <v>251</v>
      </c>
      <c r="BL32" s="102"/>
      <c r="BM32" s="103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945</v>
      </c>
      <c r="H33" s="2"/>
      <c r="I33" s="2"/>
      <c r="J33" s="114" t="s">
        <v>130</v>
      </c>
      <c r="K33" s="115"/>
      <c r="L33" s="115"/>
      <c r="M33" s="115"/>
      <c r="N33" s="116"/>
      <c r="O33" s="117"/>
      <c r="P33" s="4"/>
      <c r="Q33" s="4"/>
      <c r="R33" s="4"/>
      <c r="S33" s="4"/>
      <c r="T33" s="30" t="s">
        <v>26</v>
      </c>
      <c r="U33" s="31"/>
      <c r="V33" s="31"/>
      <c r="W33" s="31"/>
      <c r="X33" s="32"/>
      <c r="Y33" s="33"/>
      <c r="Z33" s="4"/>
      <c r="AA33" s="4"/>
      <c r="AB33" s="4"/>
      <c r="AC33" s="4"/>
      <c r="AD33" s="53" t="s">
        <v>38</v>
      </c>
      <c r="AE33" s="54"/>
      <c r="AF33" s="54"/>
      <c r="AG33" s="54"/>
      <c r="AH33" s="55"/>
      <c r="AI33" s="56"/>
      <c r="AJ33" s="4"/>
      <c r="AK33" s="4"/>
      <c r="AL33" s="4"/>
      <c r="AM33" s="4"/>
      <c r="AN33" s="53" t="s">
        <v>43</v>
      </c>
      <c r="AO33" s="54"/>
      <c r="AP33" s="54"/>
      <c r="AQ33" s="54"/>
      <c r="AR33" s="55"/>
      <c r="AS33" s="56"/>
      <c r="AT33" s="4"/>
      <c r="AU33" s="4"/>
      <c r="AV33" s="4"/>
      <c r="AW33" s="4"/>
      <c r="AX33" s="53" t="s">
        <v>39</v>
      </c>
      <c r="AY33" s="54"/>
      <c r="AZ33" s="54"/>
      <c r="BA33" s="54"/>
      <c r="BB33" s="55"/>
      <c r="BC33" s="56"/>
      <c r="BD33" s="4"/>
      <c r="BE33" s="4"/>
      <c r="BF33" s="4"/>
      <c r="BG33" s="4"/>
      <c r="BH33" s="53" t="s">
        <v>67</v>
      </c>
      <c r="BI33" s="54"/>
      <c r="BJ33" s="54"/>
      <c r="BK33" s="54"/>
      <c r="BL33" s="55"/>
      <c r="BM33" s="56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110">
        <v>2</v>
      </c>
      <c r="K34" s="111"/>
      <c r="L34" s="108">
        <v>2</v>
      </c>
      <c r="M34" s="111"/>
      <c r="N34" s="108">
        <v>90</v>
      </c>
      <c r="O34" s="109"/>
      <c r="P34" s="4"/>
      <c r="Q34" s="4"/>
      <c r="R34" s="4"/>
      <c r="S34" s="4"/>
      <c r="T34" s="34">
        <v>3</v>
      </c>
      <c r="U34" s="35"/>
      <c r="V34" s="36">
        <v>4</v>
      </c>
      <c r="W34" s="35"/>
      <c r="X34" s="36">
        <v>150</v>
      </c>
      <c r="Y34" s="37"/>
      <c r="Z34" s="4"/>
      <c r="AA34" s="4"/>
      <c r="AB34" s="4"/>
      <c r="AC34" s="4"/>
      <c r="AD34" s="57">
        <v>3</v>
      </c>
      <c r="AE34" s="58"/>
      <c r="AF34" s="59">
        <v>6</v>
      </c>
      <c r="AG34" s="58"/>
      <c r="AH34" s="59">
        <v>180</v>
      </c>
      <c r="AI34" s="91"/>
      <c r="AJ34" s="4"/>
      <c r="AK34" s="4"/>
      <c r="AL34" s="4"/>
      <c r="AM34" s="4"/>
      <c r="AN34" s="57">
        <v>3</v>
      </c>
      <c r="AO34" s="58"/>
      <c r="AP34" s="59">
        <v>6</v>
      </c>
      <c r="AQ34" s="58"/>
      <c r="AR34" s="59">
        <v>180</v>
      </c>
      <c r="AS34" s="91"/>
      <c r="AT34" s="4"/>
      <c r="AU34" s="4"/>
      <c r="AV34" s="4"/>
      <c r="AW34" s="4"/>
      <c r="AX34" s="57">
        <v>3</v>
      </c>
      <c r="AY34" s="58"/>
      <c r="AZ34" s="59">
        <v>5</v>
      </c>
      <c r="BA34" s="58"/>
      <c r="BB34" s="59">
        <v>165</v>
      </c>
      <c r="BC34" s="91"/>
      <c r="BD34" s="4"/>
      <c r="BE34" s="4"/>
      <c r="BF34" s="4"/>
      <c r="BG34" s="4"/>
      <c r="BH34" s="57">
        <v>3</v>
      </c>
      <c r="BI34" s="58"/>
      <c r="BJ34" s="59">
        <v>6</v>
      </c>
      <c r="BK34" s="58"/>
      <c r="BL34" s="59">
        <v>180</v>
      </c>
      <c r="BM34" s="91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SUM(J34,T34,AD34,AN34,AX34,BH34,BR34)</f>
        <v>17</v>
      </c>
      <c r="F35" s="11">
        <f>L34+V34+AF34+AP34+AZ34+BJ34+BT34</f>
        <v>29</v>
      </c>
      <c r="G35" s="105"/>
      <c r="H35" s="2"/>
      <c r="I35" s="2"/>
      <c r="J35" s="112">
        <v>2</v>
      </c>
      <c r="K35" s="113"/>
      <c r="L35" s="106">
        <v>0</v>
      </c>
      <c r="M35" s="113"/>
      <c r="N35" s="106">
        <v>0</v>
      </c>
      <c r="O35" s="107"/>
      <c r="P35" s="4"/>
      <c r="Q35" s="4"/>
      <c r="R35" s="4"/>
      <c r="S35" s="4"/>
      <c r="T35" s="20">
        <v>2</v>
      </c>
      <c r="U35" s="21"/>
      <c r="V35" s="22">
        <v>0</v>
      </c>
      <c r="W35" s="21"/>
      <c r="X35" s="22">
        <v>2</v>
      </c>
      <c r="Y35" s="23"/>
      <c r="Z35" s="4"/>
      <c r="AA35" s="4"/>
      <c r="AB35" s="4"/>
      <c r="AC35" s="4"/>
      <c r="AD35" s="92">
        <v>3</v>
      </c>
      <c r="AE35" s="93"/>
      <c r="AF35" s="70">
        <v>3</v>
      </c>
      <c r="AG35" s="93"/>
      <c r="AH35" s="70">
        <v>0</v>
      </c>
      <c r="AI35" s="71"/>
      <c r="AJ35" s="4"/>
      <c r="AK35" s="4"/>
      <c r="AL35" s="4"/>
      <c r="AM35" s="4"/>
      <c r="AN35" s="92">
        <v>3</v>
      </c>
      <c r="AO35" s="93"/>
      <c r="AP35" s="70">
        <v>3</v>
      </c>
      <c r="AQ35" s="93"/>
      <c r="AR35" s="70">
        <v>0</v>
      </c>
      <c r="AS35" s="71"/>
      <c r="AT35" s="4"/>
      <c r="AU35" s="4"/>
      <c r="AV35" s="4"/>
      <c r="AW35" s="4"/>
      <c r="AX35" s="92">
        <v>3</v>
      </c>
      <c r="AY35" s="93"/>
      <c r="AZ35" s="70">
        <v>2</v>
      </c>
      <c r="BA35" s="93"/>
      <c r="BB35" s="70">
        <v>0</v>
      </c>
      <c r="BC35" s="71"/>
      <c r="BD35" s="4"/>
      <c r="BE35" s="4"/>
      <c r="BF35" s="4"/>
      <c r="BG35" s="4"/>
      <c r="BH35" s="92">
        <v>3</v>
      </c>
      <c r="BI35" s="93"/>
      <c r="BJ35" s="70">
        <v>3</v>
      </c>
      <c r="BK35" s="93"/>
      <c r="BL35" s="70">
        <v>0</v>
      </c>
      <c r="BM35" s="71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2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133</v>
      </c>
      <c r="K42" s="25"/>
      <c r="L42" s="26"/>
      <c r="M42" s="38" t="s">
        <v>110</v>
      </c>
      <c r="N42" s="39"/>
      <c r="O42" s="40"/>
      <c r="P42" s="4"/>
      <c r="Q42" s="4"/>
      <c r="R42" s="4"/>
      <c r="S42" s="4"/>
      <c r="T42" s="24" t="s">
        <v>19</v>
      </c>
      <c r="U42" s="25"/>
      <c r="V42" s="26"/>
      <c r="W42" s="38">
        <v>233</v>
      </c>
      <c r="X42" s="102"/>
      <c r="Y42" s="103"/>
      <c r="Z42" s="4"/>
      <c r="AA42" s="4"/>
      <c r="AB42" s="4"/>
      <c r="AC42" s="4"/>
      <c r="AD42" s="24" t="s">
        <v>19</v>
      </c>
      <c r="AE42" s="25"/>
      <c r="AF42" s="26"/>
      <c r="AG42" s="38">
        <v>261</v>
      </c>
      <c r="AH42" s="102"/>
      <c r="AI42" s="103"/>
      <c r="AJ42" s="4"/>
      <c r="AK42" s="4"/>
      <c r="AL42" s="4"/>
      <c r="AM42" s="4"/>
      <c r="AN42" s="24" t="s">
        <v>19</v>
      </c>
      <c r="AO42" s="25"/>
      <c r="AP42" s="26"/>
      <c r="AQ42" s="38">
        <v>211</v>
      </c>
      <c r="AR42" s="102"/>
      <c r="AS42" s="103"/>
      <c r="AT42" s="4"/>
      <c r="AU42" s="4"/>
      <c r="AV42" s="4"/>
      <c r="AW42" s="4"/>
      <c r="AX42" s="24" t="s">
        <v>48</v>
      </c>
      <c r="AY42" s="25"/>
      <c r="AZ42" s="26"/>
      <c r="BA42" s="38">
        <v>111</v>
      </c>
      <c r="BB42" s="39"/>
      <c r="BC42" s="40"/>
      <c r="BD42" s="4"/>
      <c r="BE42" s="4"/>
      <c r="BF42" s="4"/>
      <c r="BG42" s="4"/>
      <c r="BH42" s="24" t="s">
        <v>19</v>
      </c>
      <c r="BI42" s="25"/>
      <c r="BJ42" s="26"/>
      <c r="BK42" s="38">
        <v>241</v>
      </c>
      <c r="BL42" s="102"/>
      <c r="BM42" s="103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930</v>
      </c>
      <c r="H43" s="2"/>
      <c r="I43" s="2"/>
      <c r="J43" s="114" t="s">
        <v>132</v>
      </c>
      <c r="K43" s="115"/>
      <c r="L43" s="115"/>
      <c r="M43" s="115"/>
      <c r="N43" s="116"/>
      <c r="O43" s="117"/>
      <c r="P43" s="4"/>
      <c r="Q43" s="4"/>
      <c r="R43" s="4"/>
      <c r="S43" s="4"/>
      <c r="T43" s="53" t="s">
        <v>40</v>
      </c>
      <c r="U43" s="54"/>
      <c r="V43" s="54"/>
      <c r="W43" s="54"/>
      <c r="X43" s="55"/>
      <c r="Y43" s="56"/>
      <c r="Z43" s="4"/>
      <c r="AA43" s="4"/>
      <c r="AB43" s="4"/>
      <c r="AC43" s="4"/>
      <c r="AD43" s="53" t="s">
        <v>41</v>
      </c>
      <c r="AE43" s="54"/>
      <c r="AF43" s="54"/>
      <c r="AG43" s="54"/>
      <c r="AH43" s="55"/>
      <c r="AI43" s="56"/>
      <c r="AJ43" s="4"/>
      <c r="AK43" s="4"/>
      <c r="AL43" s="4"/>
      <c r="AM43" s="4"/>
      <c r="AN43" s="53" t="s">
        <v>66</v>
      </c>
      <c r="AO43" s="54"/>
      <c r="AP43" s="54"/>
      <c r="AQ43" s="54"/>
      <c r="AR43" s="55"/>
      <c r="AS43" s="56"/>
      <c r="AT43" s="4"/>
      <c r="AU43" s="4"/>
      <c r="AV43" s="4"/>
      <c r="AW43" s="4"/>
      <c r="AX43" s="146" t="s">
        <v>47</v>
      </c>
      <c r="AY43" s="147"/>
      <c r="AZ43" s="147"/>
      <c r="BA43" s="147"/>
      <c r="BB43" s="148"/>
      <c r="BC43" s="149"/>
      <c r="BD43" s="4"/>
      <c r="BE43" s="4"/>
      <c r="BF43" s="4"/>
      <c r="BG43" s="4"/>
      <c r="BH43" s="94" t="s">
        <v>78</v>
      </c>
      <c r="BI43" s="95"/>
      <c r="BJ43" s="95"/>
      <c r="BK43" s="95"/>
      <c r="BL43" s="96"/>
      <c r="BM43" s="97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110">
        <v>2</v>
      </c>
      <c r="K44" s="111"/>
      <c r="L44" s="108">
        <v>2</v>
      </c>
      <c r="M44" s="111"/>
      <c r="N44" s="108">
        <v>90</v>
      </c>
      <c r="O44" s="109"/>
      <c r="P44" s="4"/>
      <c r="Q44" s="4"/>
      <c r="R44" s="4"/>
      <c r="S44" s="4"/>
      <c r="T44" s="57">
        <v>3</v>
      </c>
      <c r="U44" s="58"/>
      <c r="V44" s="59">
        <v>5</v>
      </c>
      <c r="W44" s="58"/>
      <c r="X44" s="59">
        <v>165</v>
      </c>
      <c r="Y44" s="91"/>
      <c r="Z44" s="4"/>
      <c r="AA44" s="4"/>
      <c r="AB44" s="4"/>
      <c r="AC44" s="4"/>
      <c r="AD44" s="57">
        <v>3</v>
      </c>
      <c r="AE44" s="58"/>
      <c r="AF44" s="59">
        <v>5</v>
      </c>
      <c r="AG44" s="58"/>
      <c r="AH44" s="59">
        <v>165</v>
      </c>
      <c r="AI44" s="91"/>
      <c r="AJ44" s="4"/>
      <c r="AK44" s="4"/>
      <c r="AL44" s="4"/>
      <c r="AM44" s="4"/>
      <c r="AN44" s="57">
        <v>3</v>
      </c>
      <c r="AO44" s="58"/>
      <c r="AP44" s="59">
        <v>5</v>
      </c>
      <c r="AQ44" s="58"/>
      <c r="AR44" s="59">
        <v>165</v>
      </c>
      <c r="AS44" s="91"/>
      <c r="AT44" s="4"/>
      <c r="AU44" s="4"/>
      <c r="AV44" s="4"/>
      <c r="AW44" s="4"/>
      <c r="AX44" s="138">
        <v>3</v>
      </c>
      <c r="AY44" s="139"/>
      <c r="AZ44" s="140">
        <v>6</v>
      </c>
      <c r="BA44" s="139"/>
      <c r="BB44" s="140">
        <v>180</v>
      </c>
      <c r="BC44" s="141"/>
      <c r="BD44" s="4"/>
      <c r="BE44" s="4"/>
      <c r="BF44" s="4"/>
      <c r="BG44" s="4"/>
      <c r="BH44" s="98">
        <v>3</v>
      </c>
      <c r="BI44" s="99"/>
      <c r="BJ44" s="100">
        <v>5</v>
      </c>
      <c r="BK44" s="99"/>
      <c r="BL44" s="100">
        <v>165</v>
      </c>
      <c r="BM44" s="101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17</v>
      </c>
      <c r="F45" s="11">
        <f>SUM(J45:BM45)</f>
        <v>28</v>
      </c>
      <c r="G45" s="105"/>
      <c r="H45" s="2"/>
      <c r="I45" s="2"/>
      <c r="J45" s="112">
        <v>2</v>
      </c>
      <c r="K45" s="113"/>
      <c r="L45" s="106">
        <v>0</v>
      </c>
      <c r="M45" s="113"/>
      <c r="N45" s="106">
        <v>0</v>
      </c>
      <c r="O45" s="107"/>
      <c r="P45" s="4"/>
      <c r="Q45" s="4"/>
      <c r="R45" s="4"/>
      <c r="S45" s="4"/>
      <c r="T45" s="92">
        <v>3</v>
      </c>
      <c r="U45" s="93"/>
      <c r="V45" s="70">
        <v>2</v>
      </c>
      <c r="W45" s="93"/>
      <c r="X45" s="70">
        <v>0</v>
      </c>
      <c r="Y45" s="71"/>
      <c r="Z45" s="4"/>
      <c r="AA45" s="4"/>
      <c r="AB45" s="4"/>
      <c r="AC45" s="4"/>
      <c r="AD45" s="92">
        <v>3</v>
      </c>
      <c r="AE45" s="93"/>
      <c r="AF45" s="70">
        <v>2</v>
      </c>
      <c r="AG45" s="93"/>
      <c r="AH45" s="70">
        <v>0</v>
      </c>
      <c r="AI45" s="71"/>
      <c r="AJ45" s="4"/>
      <c r="AK45" s="4"/>
      <c r="AL45" s="4"/>
      <c r="AM45" s="4"/>
      <c r="AN45" s="92">
        <v>3</v>
      </c>
      <c r="AO45" s="93"/>
      <c r="AP45" s="70">
        <v>2</v>
      </c>
      <c r="AQ45" s="93"/>
      <c r="AR45" s="70">
        <v>0</v>
      </c>
      <c r="AS45" s="71"/>
      <c r="AT45" s="4"/>
      <c r="AU45" s="4"/>
      <c r="AV45" s="4"/>
      <c r="AW45" s="4"/>
      <c r="AX45" s="142">
        <v>3</v>
      </c>
      <c r="AY45" s="143"/>
      <c r="AZ45" s="144">
        <v>3</v>
      </c>
      <c r="BA45" s="143"/>
      <c r="BB45" s="144">
        <v>0</v>
      </c>
      <c r="BC45" s="145"/>
      <c r="BD45" s="4"/>
      <c r="BE45" s="4"/>
      <c r="BF45" s="4"/>
      <c r="BG45" s="4"/>
      <c r="BH45" s="72">
        <v>3</v>
      </c>
      <c r="BI45" s="73"/>
      <c r="BJ45" s="68">
        <v>2</v>
      </c>
      <c r="BK45" s="73"/>
      <c r="BL45" s="68">
        <v>0</v>
      </c>
      <c r="BM45" s="69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135</v>
      </c>
      <c r="K50" s="25"/>
      <c r="L50" s="26"/>
      <c r="M50" s="38" t="s">
        <v>111</v>
      </c>
      <c r="N50" s="39"/>
      <c r="O50" s="40"/>
      <c r="P50" s="4"/>
      <c r="Q50" s="4"/>
      <c r="R50" s="4"/>
      <c r="S50" s="4"/>
      <c r="T50" s="24" t="s">
        <v>144</v>
      </c>
      <c r="U50" s="25"/>
      <c r="V50" s="26"/>
      <c r="W50" s="38" t="s">
        <v>111</v>
      </c>
      <c r="X50" s="39"/>
      <c r="Y50" s="40"/>
      <c r="Z50" s="4"/>
      <c r="AA50" s="4"/>
      <c r="AB50" s="4"/>
      <c r="AC50" s="4"/>
      <c r="AD50" s="24" t="s">
        <v>19</v>
      </c>
      <c r="AE50" s="25"/>
      <c r="AF50" s="26"/>
      <c r="AG50" s="38">
        <v>212</v>
      </c>
      <c r="AH50" s="102"/>
      <c r="AI50" s="103"/>
      <c r="AJ50" s="4"/>
      <c r="AK50" s="4"/>
      <c r="AL50" s="4"/>
      <c r="AM50" s="4"/>
      <c r="AN50" s="24" t="s">
        <v>19</v>
      </c>
      <c r="AO50" s="25"/>
      <c r="AP50" s="26"/>
      <c r="AQ50" s="38">
        <v>352</v>
      </c>
      <c r="AR50" s="102"/>
      <c r="AS50" s="103"/>
      <c r="AT50" s="4"/>
      <c r="AU50" s="4"/>
      <c r="AV50" s="4"/>
      <c r="AW50" s="4"/>
      <c r="AX50" s="24" t="s">
        <v>48</v>
      </c>
      <c r="AY50" s="25"/>
      <c r="AZ50" s="26"/>
      <c r="BA50" s="38">
        <v>121</v>
      </c>
      <c r="BB50" s="39"/>
      <c r="BC50" s="40"/>
      <c r="BD50" s="4"/>
      <c r="BE50" s="4"/>
      <c r="BF50" s="4"/>
      <c r="BG50" s="4"/>
      <c r="BH50" s="24" t="s">
        <v>19</v>
      </c>
      <c r="BI50" s="25"/>
      <c r="BJ50" s="26"/>
      <c r="BK50" s="38">
        <v>323</v>
      </c>
      <c r="BL50" s="102"/>
      <c r="BM50" s="103"/>
      <c r="BN50" s="4"/>
      <c r="BO50" s="4"/>
      <c r="BP50" s="4"/>
      <c r="BQ50" s="4"/>
      <c r="BR50" s="24" t="s">
        <v>19</v>
      </c>
      <c r="BS50" s="25"/>
      <c r="BT50" s="26"/>
      <c r="BU50" s="38">
        <v>292</v>
      </c>
      <c r="BV50" s="39"/>
      <c r="BW50" s="40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SUM(N52,X52,AH52,AR52,BB52,BL52,BV52)</f>
        <v>945</v>
      </c>
      <c r="H51" s="2"/>
      <c r="I51" s="2"/>
      <c r="J51" s="114" t="s">
        <v>134</v>
      </c>
      <c r="K51" s="115"/>
      <c r="L51" s="115"/>
      <c r="M51" s="115"/>
      <c r="N51" s="116"/>
      <c r="O51" s="117"/>
      <c r="P51" s="4"/>
      <c r="Q51" s="4"/>
      <c r="R51" s="4"/>
      <c r="S51" s="4"/>
      <c r="T51" s="114" t="s">
        <v>106</v>
      </c>
      <c r="U51" s="115"/>
      <c r="V51" s="115"/>
      <c r="W51" s="115"/>
      <c r="X51" s="116"/>
      <c r="Y51" s="117"/>
      <c r="Z51" s="4"/>
      <c r="AA51" s="4"/>
      <c r="AB51" s="4"/>
      <c r="AC51" s="4"/>
      <c r="AD51" s="53" t="s">
        <v>86</v>
      </c>
      <c r="AE51" s="54"/>
      <c r="AF51" s="54"/>
      <c r="AG51" s="54"/>
      <c r="AH51" s="55"/>
      <c r="AI51" s="56"/>
      <c r="AJ51" s="4"/>
      <c r="AK51" s="4"/>
      <c r="AL51" s="4"/>
      <c r="AM51" s="4"/>
      <c r="AN51" s="53" t="s">
        <v>91</v>
      </c>
      <c r="AO51" s="54"/>
      <c r="AP51" s="54"/>
      <c r="AQ51" s="54"/>
      <c r="AR51" s="55"/>
      <c r="AS51" s="56"/>
      <c r="AT51" s="4"/>
      <c r="AU51" s="4"/>
      <c r="AV51" s="4"/>
      <c r="AW51" s="4"/>
      <c r="AX51" s="146" t="s">
        <v>49</v>
      </c>
      <c r="AY51" s="147"/>
      <c r="AZ51" s="147"/>
      <c r="BA51" s="147"/>
      <c r="BB51" s="148"/>
      <c r="BC51" s="149"/>
      <c r="BD51" s="4"/>
      <c r="BE51" s="4"/>
      <c r="BF51" s="4"/>
      <c r="BG51" s="4"/>
      <c r="BH51" s="94" t="s">
        <v>95</v>
      </c>
      <c r="BI51" s="95"/>
      <c r="BJ51" s="95"/>
      <c r="BK51" s="95"/>
      <c r="BL51" s="96"/>
      <c r="BM51" s="97"/>
      <c r="BN51" s="4"/>
      <c r="BO51" s="4"/>
      <c r="BP51" s="4"/>
      <c r="BQ51" s="4"/>
      <c r="BR51" s="41" t="s">
        <v>157</v>
      </c>
      <c r="BS51" s="42"/>
      <c r="BT51" s="42"/>
      <c r="BU51" s="42"/>
      <c r="BV51" s="43"/>
      <c r="BW51" s="4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110">
        <v>2</v>
      </c>
      <c r="K52" s="111"/>
      <c r="L52" s="108">
        <v>2</v>
      </c>
      <c r="M52" s="111"/>
      <c r="N52" s="108">
        <v>90</v>
      </c>
      <c r="O52" s="109"/>
      <c r="P52" s="4"/>
      <c r="Q52" s="4"/>
      <c r="R52" s="4"/>
      <c r="S52" s="4"/>
      <c r="T52" s="110">
        <v>2</v>
      </c>
      <c r="U52" s="111"/>
      <c r="V52" s="108">
        <v>2</v>
      </c>
      <c r="W52" s="111"/>
      <c r="X52" s="108">
        <v>90</v>
      </c>
      <c r="Y52" s="109"/>
      <c r="Z52" s="4"/>
      <c r="AA52" s="4"/>
      <c r="AB52" s="4"/>
      <c r="AC52" s="4"/>
      <c r="AD52" s="57">
        <v>3</v>
      </c>
      <c r="AE52" s="58"/>
      <c r="AF52" s="59">
        <v>6</v>
      </c>
      <c r="AG52" s="58"/>
      <c r="AH52" s="59">
        <v>180</v>
      </c>
      <c r="AI52" s="91"/>
      <c r="AJ52" s="4"/>
      <c r="AK52" s="4"/>
      <c r="AL52" s="4"/>
      <c r="AM52" s="4"/>
      <c r="AN52" s="57">
        <v>3</v>
      </c>
      <c r="AO52" s="58"/>
      <c r="AP52" s="59">
        <v>5</v>
      </c>
      <c r="AQ52" s="58"/>
      <c r="AR52" s="59">
        <v>165</v>
      </c>
      <c r="AS52" s="91"/>
      <c r="AT52" s="4"/>
      <c r="AU52" s="4"/>
      <c r="AV52" s="4"/>
      <c r="AW52" s="4"/>
      <c r="AX52" s="138">
        <v>3</v>
      </c>
      <c r="AY52" s="139"/>
      <c r="AZ52" s="140">
        <v>6</v>
      </c>
      <c r="BA52" s="139"/>
      <c r="BB52" s="140">
        <v>180</v>
      </c>
      <c r="BC52" s="141"/>
      <c r="BD52" s="4"/>
      <c r="BE52" s="4"/>
      <c r="BF52" s="4"/>
      <c r="BG52" s="4"/>
      <c r="BH52" s="98">
        <v>3</v>
      </c>
      <c r="BI52" s="99"/>
      <c r="BJ52" s="100">
        <v>6</v>
      </c>
      <c r="BK52" s="99"/>
      <c r="BL52" s="100">
        <v>180</v>
      </c>
      <c r="BM52" s="101"/>
      <c r="BN52" s="4"/>
      <c r="BO52" s="4"/>
      <c r="BP52" s="4"/>
      <c r="BQ52" s="4"/>
      <c r="BR52" s="45">
        <v>2</v>
      </c>
      <c r="BS52" s="46"/>
      <c r="BT52" s="47">
        <v>2</v>
      </c>
      <c r="BU52" s="46"/>
      <c r="BV52" s="47">
        <v>60</v>
      </c>
      <c r="BW52" s="48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J52+T52+AD52+AN52+AX52+BH52+BR52</f>
        <v>18</v>
      </c>
      <c r="F53" s="11">
        <f>L52+V52+AF52+AP52+AZ52+BJ52+BT52</f>
        <v>29</v>
      </c>
      <c r="G53" s="105"/>
      <c r="H53" s="2"/>
      <c r="I53" s="2"/>
      <c r="J53" s="112">
        <v>2</v>
      </c>
      <c r="K53" s="113"/>
      <c r="L53" s="106">
        <v>0</v>
      </c>
      <c r="M53" s="113"/>
      <c r="N53" s="106">
        <v>0</v>
      </c>
      <c r="O53" s="107"/>
      <c r="P53" s="4"/>
      <c r="Q53" s="4"/>
      <c r="R53" s="4"/>
      <c r="S53" s="4"/>
      <c r="T53" s="112">
        <v>2</v>
      </c>
      <c r="U53" s="113"/>
      <c r="V53" s="106">
        <v>0</v>
      </c>
      <c r="W53" s="113"/>
      <c r="X53" s="106">
        <v>0</v>
      </c>
      <c r="Y53" s="107"/>
      <c r="Z53" s="4"/>
      <c r="AA53" s="4"/>
      <c r="AB53" s="4"/>
      <c r="AC53" s="4"/>
      <c r="AD53" s="92">
        <v>3</v>
      </c>
      <c r="AE53" s="93"/>
      <c r="AF53" s="70">
        <v>3</v>
      </c>
      <c r="AG53" s="93"/>
      <c r="AH53" s="70">
        <v>0</v>
      </c>
      <c r="AI53" s="71"/>
      <c r="AJ53" s="4"/>
      <c r="AK53" s="4"/>
      <c r="AL53" s="4"/>
      <c r="AM53" s="4"/>
      <c r="AN53" s="92">
        <v>3</v>
      </c>
      <c r="AO53" s="93"/>
      <c r="AP53" s="70">
        <v>2</v>
      </c>
      <c r="AQ53" s="93"/>
      <c r="AR53" s="70">
        <v>0</v>
      </c>
      <c r="AS53" s="71"/>
      <c r="AT53" s="4"/>
      <c r="AU53" s="4"/>
      <c r="AV53" s="4"/>
      <c r="AW53" s="4"/>
      <c r="AX53" s="142">
        <v>3</v>
      </c>
      <c r="AY53" s="143"/>
      <c r="AZ53" s="144">
        <v>3</v>
      </c>
      <c r="BA53" s="143"/>
      <c r="BB53" s="144">
        <v>0</v>
      </c>
      <c r="BC53" s="145"/>
      <c r="BD53" s="4"/>
      <c r="BE53" s="4"/>
      <c r="BF53" s="4"/>
      <c r="BG53" s="4"/>
      <c r="BH53" s="72">
        <v>3</v>
      </c>
      <c r="BI53" s="73"/>
      <c r="BJ53" s="68">
        <v>3</v>
      </c>
      <c r="BK53" s="73"/>
      <c r="BL53" s="68">
        <v>0</v>
      </c>
      <c r="BM53" s="69"/>
      <c r="BN53" s="4"/>
      <c r="BO53" s="4"/>
      <c r="BP53" s="4"/>
      <c r="BQ53" s="4"/>
      <c r="BR53" s="49">
        <v>2</v>
      </c>
      <c r="BS53" s="50"/>
      <c r="BT53" s="51">
        <v>0</v>
      </c>
      <c r="BU53" s="50"/>
      <c r="BV53" s="51">
        <v>0</v>
      </c>
      <c r="BW53" s="52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1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141</v>
      </c>
      <c r="K60" s="25"/>
      <c r="L60" s="26"/>
      <c r="M60" s="38" t="s">
        <v>111</v>
      </c>
      <c r="N60" s="39"/>
      <c r="O60" s="40"/>
      <c r="P60" s="4"/>
      <c r="Q60" s="4"/>
      <c r="R60" s="4"/>
      <c r="S60" s="4"/>
      <c r="T60" s="24" t="s">
        <v>19</v>
      </c>
      <c r="U60" s="25"/>
      <c r="V60" s="26"/>
      <c r="W60" s="38">
        <v>454</v>
      </c>
      <c r="X60" s="102"/>
      <c r="Y60" s="103"/>
      <c r="Z60" s="4"/>
      <c r="AA60" s="4"/>
      <c r="AB60" s="4"/>
      <c r="AC60" s="4"/>
      <c r="AD60" s="24" t="s">
        <v>19</v>
      </c>
      <c r="AE60" s="25"/>
      <c r="AF60" s="26"/>
      <c r="AG60" s="38">
        <v>475</v>
      </c>
      <c r="AH60" s="102"/>
      <c r="AI60" s="103"/>
      <c r="AJ60" s="4"/>
      <c r="AK60" s="4"/>
      <c r="AL60" s="4"/>
      <c r="AM60" s="4"/>
      <c r="AN60" s="24" t="s">
        <v>136</v>
      </c>
      <c r="AO60" s="25"/>
      <c r="AP60" s="26"/>
      <c r="AQ60" s="38" t="s">
        <v>111</v>
      </c>
      <c r="AR60" s="39"/>
      <c r="AS60" s="40"/>
      <c r="AT60" s="4"/>
      <c r="AU60" s="4"/>
      <c r="AV60" s="4"/>
      <c r="AW60" s="4"/>
      <c r="AX60" s="24" t="s">
        <v>19</v>
      </c>
      <c r="AY60" s="25"/>
      <c r="AZ60" s="26"/>
      <c r="BA60" s="38">
        <v>493</v>
      </c>
      <c r="BB60" s="39"/>
      <c r="BC60" s="40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765</v>
      </c>
      <c r="H61" s="2"/>
      <c r="I61" s="2"/>
      <c r="J61" s="114" t="s">
        <v>142</v>
      </c>
      <c r="K61" s="115"/>
      <c r="L61" s="115"/>
      <c r="M61" s="115"/>
      <c r="N61" s="116"/>
      <c r="O61" s="117"/>
      <c r="P61" s="4"/>
      <c r="Q61" s="4"/>
      <c r="R61" s="4"/>
      <c r="S61" s="4"/>
      <c r="T61" s="94" t="s">
        <v>108</v>
      </c>
      <c r="U61" s="95"/>
      <c r="V61" s="95"/>
      <c r="W61" s="95"/>
      <c r="X61" s="96"/>
      <c r="Y61" s="97"/>
      <c r="Z61" s="4"/>
      <c r="AA61" s="4"/>
      <c r="AB61" s="4"/>
      <c r="AC61" s="4"/>
      <c r="AD61" s="94" t="s">
        <v>96</v>
      </c>
      <c r="AE61" s="95"/>
      <c r="AF61" s="95"/>
      <c r="AG61" s="95"/>
      <c r="AH61" s="96"/>
      <c r="AI61" s="97"/>
      <c r="AJ61" s="4"/>
      <c r="AK61" s="4"/>
      <c r="AL61" s="4"/>
      <c r="AM61" s="4"/>
      <c r="AN61" s="76" t="s">
        <v>138</v>
      </c>
      <c r="AO61" s="77"/>
      <c r="AP61" s="77"/>
      <c r="AQ61" s="77"/>
      <c r="AR61" s="77"/>
      <c r="AS61" s="78"/>
      <c r="AT61" s="4"/>
      <c r="AU61" s="4"/>
      <c r="AV61" s="4"/>
      <c r="AW61" s="4"/>
      <c r="AX61" s="41" t="s">
        <v>63</v>
      </c>
      <c r="AY61" s="42"/>
      <c r="AZ61" s="42"/>
      <c r="BA61" s="42"/>
      <c r="BB61" s="43"/>
      <c r="BC61" s="4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110">
        <v>2</v>
      </c>
      <c r="K62" s="111"/>
      <c r="L62" s="108">
        <v>2</v>
      </c>
      <c r="M62" s="111"/>
      <c r="N62" s="108">
        <v>90</v>
      </c>
      <c r="O62" s="109"/>
      <c r="P62" s="4"/>
      <c r="Q62" s="4"/>
      <c r="R62" s="4"/>
      <c r="S62" s="4"/>
      <c r="T62" s="98">
        <v>3</v>
      </c>
      <c r="U62" s="99"/>
      <c r="V62" s="100">
        <v>6</v>
      </c>
      <c r="W62" s="99"/>
      <c r="X62" s="100">
        <v>180</v>
      </c>
      <c r="Y62" s="101"/>
      <c r="Z62" s="4"/>
      <c r="AA62" s="4"/>
      <c r="AB62" s="4"/>
      <c r="AC62" s="4"/>
      <c r="AD62" s="98">
        <v>3</v>
      </c>
      <c r="AE62" s="99"/>
      <c r="AF62" s="100">
        <v>6</v>
      </c>
      <c r="AG62" s="99"/>
      <c r="AH62" s="100">
        <v>180</v>
      </c>
      <c r="AI62" s="101"/>
      <c r="AJ62" s="4"/>
      <c r="AK62" s="4"/>
      <c r="AL62" s="4"/>
      <c r="AM62" s="4"/>
      <c r="AN62" s="79">
        <v>3</v>
      </c>
      <c r="AO62" s="80"/>
      <c r="AP62" s="81">
        <v>7</v>
      </c>
      <c r="AQ62" s="80"/>
      <c r="AR62" s="81">
        <v>195</v>
      </c>
      <c r="AS62" s="82"/>
      <c r="AT62" s="4"/>
      <c r="AU62" s="4"/>
      <c r="AV62" s="4"/>
      <c r="AW62" s="4"/>
      <c r="AX62" s="45">
        <v>3</v>
      </c>
      <c r="AY62" s="46"/>
      <c r="AZ62" s="47">
        <v>2</v>
      </c>
      <c r="BA62" s="46"/>
      <c r="BB62" s="47">
        <v>120</v>
      </c>
      <c r="BC62" s="48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14</v>
      </c>
      <c r="F63" s="11">
        <f>SUM(J63:BM63)</f>
        <v>23</v>
      </c>
      <c r="G63" s="105"/>
      <c r="H63" s="2"/>
      <c r="I63" s="2"/>
      <c r="J63" s="112">
        <v>2</v>
      </c>
      <c r="K63" s="113"/>
      <c r="L63" s="106">
        <v>0</v>
      </c>
      <c r="M63" s="113"/>
      <c r="N63" s="106">
        <v>0</v>
      </c>
      <c r="O63" s="107"/>
      <c r="P63" s="4"/>
      <c r="Q63" s="4"/>
      <c r="R63" s="4"/>
      <c r="S63" s="4"/>
      <c r="T63" s="72">
        <v>3</v>
      </c>
      <c r="U63" s="73"/>
      <c r="V63" s="68">
        <v>3</v>
      </c>
      <c r="W63" s="73"/>
      <c r="X63" s="68">
        <v>0</v>
      </c>
      <c r="Y63" s="69"/>
      <c r="Z63" s="4"/>
      <c r="AA63" s="4"/>
      <c r="AB63" s="4"/>
      <c r="AC63" s="4"/>
      <c r="AD63" s="72">
        <v>3</v>
      </c>
      <c r="AE63" s="73"/>
      <c r="AF63" s="68">
        <v>3</v>
      </c>
      <c r="AG63" s="73"/>
      <c r="AH63" s="68">
        <v>0</v>
      </c>
      <c r="AI63" s="69"/>
      <c r="AJ63" s="4"/>
      <c r="AK63" s="4"/>
      <c r="AL63" s="4"/>
      <c r="AM63" s="4"/>
      <c r="AN63" s="83">
        <v>3</v>
      </c>
      <c r="AO63" s="84"/>
      <c r="AP63" s="85">
        <v>2</v>
      </c>
      <c r="AQ63" s="84"/>
      <c r="AR63" s="85">
        <v>2</v>
      </c>
      <c r="AS63" s="86"/>
      <c r="AT63" s="4"/>
      <c r="AU63" s="4"/>
      <c r="AV63" s="4"/>
      <c r="AW63" s="4"/>
      <c r="AX63" s="49">
        <v>2</v>
      </c>
      <c r="AY63" s="50"/>
      <c r="AZ63" s="51">
        <v>0</v>
      </c>
      <c r="BA63" s="50"/>
      <c r="BB63" s="51">
        <v>0</v>
      </c>
      <c r="BC63" s="52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48</v>
      </c>
      <c r="K68" s="25"/>
      <c r="L68" s="26"/>
      <c r="M68" s="38">
        <v>323</v>
      </c>
      <c r="N68" s="39"/>
      <c r="O68" s="40"/>
      <c r="P68" s="4"/>
      <c r="Q68" s="4"/>
      <c r="R68" s="4"/>
      <c r="S68" s="4"/>
      <c r="T68" s="24" t="s">
        <v>19</v>
      </c>
      <c r="U68" s="25"/>
      <c r="V68" s="26"/>
      <c r="W68" s="38">
        <v>363</v>
      </c>
      <c r="X68" s="102"/>
      <c r="Y68" s="103"/>
      <c r="Z68" s="4"/>
      <c r="AA68" s="4"/>
      <c r="AB68" s="4"/>
      <c r="AC68" s="4"/>
      <c r="AD68" s="24" t="s">
        <v>136</v>
      </c>
      <c r="AE68" s="25"/>
      <c r="AF68" s="26"/>
      <c r="AG68" s="38" t="s">
        <v>112</v>
      </c>
      <c r="AH68" s="39"/>
      <c r="AI68" s="40"/>
      <c r="AJ68" s="4"/>
      <c r="AK68" s="4"/>
      <c r="AL68" s="4"/>
      <c r="AM68" s="4"/>
      <c r="AN68" s="24" t="s">
        <v>136</v>
      </c>
      <c r="AO68" s="25"/>
      <c r="AP68" s="26"/>
      <c r="AQ68" s="38" t="s">
        <v>112</v>
      </c>
      <c r="AR68" s="39"/>
      <c r="AS68" s="40"/>
      <c r="AT68" s="4"/>
      <c r="AU68" s="4"/>
      <c r="AV68" s="4"/>
      <c r="AW68" s="4"/>
      <c r="AX68" s="24" t="s">
        <v>19</v>
      </c>
      <c r="AY68" s="25"/>
      <c r="AZ68" s="26"/>
      <c r="BA68" s="38">
        <v>494</v>
      </c>
      <c r="BB68" s="39"/>
      <c r="BC68" s="40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870</v>
      </c>
      <c r="H69" s="2"/>
      <c r="I69" s="2"/>
      <c r="J69" s="94" t="s">
        <v>57</v>
      </c>
      <c r="K69" s="95"/>
      <c r="L69" s="95"/>
      <c r="M69" s="95"/>
      <c r="N69" s="96"/>
      <c r="O69" s="97"/>
      <c r="P69" s="4"/>
      <c r="Q69" s="4"/>
      <c r="R69" s="4"/>
      <c r="S69" s="4"/>
      <c r="T69" s="94" t="s">
        <v>72</v>
      </c>
      <c r="U69" s="95"/>
      <c r="V69" s="95"/>
      <c r="W69" s="95"/>
      <c r="X69" s="96"/>
      <c r="Y69" s="97"/>
      <c r="Z69" s="4"/>
      <c r="AA69" s="4"/>
      <c r="AB69" s="4"/>
      <c r="AC69" s="4"/>
      <c r="AD69" s="76" t="s">
        <v>139</v>
      </c>
      <c r="AE69" s="77"/>
      <c r="AF69" s="77"/>
      <c r="AG69" s="77"/>
      <c r="AH69" s="77"/>
      <c r="AI69" s="78"/>
      <c r="AJ69" s="4"/>
      <c r="AK69" s="4"/>
      <c r="AL69" s="4"/>
      <c r="AM69" s="4"/>
      <c r="AN69" s="76" t="s">
        <v>140</v>
      </c>
      <c r="AO69" s="77"/>
      <c r="AP69" s="77"/>
      <c r="AQ69" s="77"/>
      <c r="AR69" s="77"/>
      <c r="AS69" s="78"/>
      <c r="AT69" s="4"/>
      <c r="AU69" s="4"/>
      <c r="AV69" s="4"/>
      <c r="AW69" s="4"/>
      <c r="AX69" s="41" t="s">
        <v>64</v>
      </c>
      <c r="AY69" s="42"/>
      <c r="AZ69" s="42"/>
      <c r="BA69" s="42"/>
      <c r="BB69" s="43"/>
      <c r="BC69" s="4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98">
        <v>3</v>
      </c>
      <c r="K70" s="99"/>
      <c r="L70" s="100">
        <v>6</v>
      </c>
      <c r="M70" s="99"/>
      <c r="N70" s="100">
        <v>180</v>
      </c>
      <c r="O70" s="101"/>
      <c r="P70" s="4"/>
      <c r="Q70" s="4"/>
      <c r="R70" s="4"/>
      <c r="S70" s="4"/>
      <c r="T70" s="98">
        <v>3</v>
      </c>
      <c r="U70" s="99"/>
      <c r="V70" s="100">
        <v>6</v>
      </c>
      <c r="W70" s="99"/>
      <c r="X70" s="100">
        <v>180</v>
      </c>
      <c r="Y70" s="101"/>
      <c r="Z70" s="4"/>
      <c r="AA70" s="4"/>
      <c r="AB70" s="4"/>
      <c r="AC70" s="4"/>
      <c r="AD70" s="79">
        <v>3</v>
      </c>
      <c r="AE70" s="80"/>
      <c r="AF70" s="81">
        <v>7</v>
      </c>
      <c r="AG70" s="80"/>
      <c r="AH70" s="81">
        <v>195</v>
      </c>
      <c r="AI70" s="82"/>
      <c r="AJ70" s="4"/>
      <c r="AK70" s="4"/>
      <c r="AL70" s="4"/>
      <c r="AM70" s="4"/>
      <c r="AN70" s="79">
        <v>3</v>
      </c>
      <c r="AO70" s="80"/>
      <c r="AP70" s="81">
        <v>7</v>
      </c>
      <c r="AQ70" s="80"/>
      <c r="AR70" s="81">
        <v>195</v>
      </c>
      <c r="AS70" s="82"/>
      <c r="AT70" s="4"/>
      <c r="AU70" s="4"/>
      <c r="AV70" s="4"/>
      <c r="AW70" s="4"/>
      <c r="AX70" s="45">
        <v>3</v>
      </c>
      <c r="AY70" s="46"/>
      <c r="AZ70" s="47">
        <v>2</v>
      </c>
      <c r="BA70" s="46"/>
      <c r="BB70" s="47">
        <v>120</v>
      </c>
      <c r="BC70" s="48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SUM(J70,T70,AD70,AN70,AX70)</f>
        <v>15</v>
      </c>
      <c r="F71" s="11">
        <f>L70+V70+AF70+AP70+AZ70</f>
        <v>28</v>
      </c>
      <c r="G71" s="105"/>
      <c r="H71" s="2"/>
      <c r="I71" s="2"/>
      <c r="J71" s="72">
        <v>3</v>
      </c>
      <c r="K71" s="73"/>
      <c r="L71" s="68">
        <v>3</v>
      </c>
      <c r="M71" s="73"/>
      <c r="N71" s="68">
        <v>0</v>
      </c>
      <c r="O71" s="69"/>
      <c r="P71" s="4"/>
      <c r="Q71" s="4"/>
      <c r="R71" s="4"/>
      <c r="S71" s="4"/>
      <c r="T71" s="72">
        <v>3</v>
      </c>
      <c r="U71" s="73"/>
      <c r="V71" s="68">
        <v>3</v>
      </c>
      <c r="W71" s="73"/>
      <c r="X71" s="68">
        <v>0</v>
      </c>
      <c r="Y71" s="69"/>
      <c r="Z71" s="4"/>
      <c r="AA71" s="4"/>
      <c r="AB71" s="4"/>
      <c r="AC71" s="4"/>
      <c r="AD71" s="83">
        <v>3</v>
      </c>
      <c r="AE71" s="84"/>
      <c r="AF71" s="85">
        <v>2</v>
      </c>
      <c r="AG71" s="84"/>
      <c r="AH71" s="85">
        <v>2</v>
      </c>
      <c r="AI71" s="86"/>
      <c r="AJ71" s="4"/>
      <c r="AK71" s="4"/>
      <c r="AL71" s="4"/>
      <c r="AM71" s="4"/>
      <c r="AN71" s="83">
        <v>3</v>
      </c>
      <c r="AO71" s="84"/>
      <c r="AP71" s="85">
        <v>2</v>
      </c>
      <c r="AQ71" s="84"/>
      <c r="AR71" s="85">
        <v>2</v>
      </c>
      <c r="AS71" s="86"/>
      <c r="AT71" s="4"/>
      <c r="AU71" s="4"/>
      <c r="AV71" s="4"/>
      <c r="AW71" s="4"/>
      <c r="AX71" s="49">
        <v>2</v>
      </c>
      <c r="AY71" s="50"/>
      <c r="AZ71" s="51">
        <v>0</v>
      </c>
      <c r="BA71" s="50"/>
      <c r="BB71" s="51">
        <v>0</v>
      </c>
      <c r="BC71" s="52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thickBot="1" x14ac:dyDescent="0.35"/>
    <row r="77" spans="2:135" ht="10.050000000000001" customHeight="1" thickTop="1" thickBot="1" x14ac:dyDescent="0.35">
      <c r="BI77" s="63" t="s">
        <v>15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6"/>
    </row>
    <row r="78" spans="2:135" ht="15" customHeight="1" x14ac:dyDescent="0.3">
      <c r="BI78" s="64"/>
      <c r="BJ78" s="137" t="s">
        <v>65</v>
      </c>
      <c r="BK78" s="17"/>
      <c r="BL78" s="16"/>
      <c r="BR78" s="123" t="s">
        <v>7</v>
      </c>
      <c r="BS78" s="124"/>
      <c r="BT78" s="124"/>
      <c r="BU78" s="124"/>
      <c r="BV78" s="125"/>
      <c r="BW78" s="126"/>
      <c r="CA78" s="8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I79" s="64"/>
      <c r="BJ79" s="137"/>
      <c r="BK79" s="17"/>
      <c r="BL79" s="16"/>
      <c r="BR79" s="127" t="s">
        <v>8</v>
      </c>
      <c r="BS79" s="128"/>
      <c r="BT79" s="128"/>
      <c r="BU79" s="128"/>
      <c r="BV79" s="129"/>
      <c r="BW79" s="130"/>
      <c r="CA79" s="8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I80" s="64"/>
      <c r="BJ80" s="137"/>
      <c r="BK80" s="17"/>
      <c r="BL80" s="16"/>
      <c r="BR80" s="66" t="s">
        <v>9</v>
      </c>
      <c r="BS80" s="67"/>
      <c r="BT80" s="131" t="s">
        <v>18</v>
      </c>
      <c r="BU80" s="67"/>
      <c r="BV80" s="131" t="s">
        <v>10</v>
      </c>
      <c r="BW80" s="132"/>
      <c r="CA80" s="8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61:135" ht="15" thickBot="1" x14ac:dyDescent="0.35">
      <c r="BI81" s="64"/>
      <c r="BJ81" s="137"/>
      <c r="BK81" s="17"/>
      <c r="BL81" s="16"/>
      <c r="BR81" s="133" t="s">
        <v>11</v>
      </c>
      <c r="BS81" s="134"/>
      <c r="BT81" s="135" t="s">
        <v>12</v>
      </c>
      <c r="BU81" s="134"/>
      <c r="BV81" s="135" t="s">
        <v>13</v>
      </c>
      <c r="BW81" s="136"/>
      <c r="CA81" s="8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61:135" ht="10.050000000000001" customHeight="1" x14ac:dyDescent="0.3">
      <c r="BI82" s="64"/>
      <c r="BL82" s="16"/>
      <c r="CA82" s="8"/>
    </row>
    <row r="83" spans="61:135" ht="10.050000000000001" customHeight="1" x14ac:dyDescent="0.3">
      <c r="BI83" s="64"/>
      <c r="BL83" s="16"/>
      <c r="CA83" s="8"/>
    </row>
    <row r="84" spans="61:135" ht="10.050000000000001" customHeight="1" x14ac:dyDescent="0.3">
      <c r="BI84" s="64"/>
      <c r="BJ84" s="90"/>
      <c r="BL84" s="15"/>
      <c r="BN84" s="18"/>
      <c r="BO84" s="18"/>
      <c r="BP84" s="18"/>
      <c r="BQ84" s="18"/>
      <c r="BS84" s="60"/>
      <c r="BU84" s="75" t="s">
        <v>30</v>
      </c>
      <c r="BW84" s="61"/>
      <c r="CA84" s="8"/>
    </row>
    <row r="85" spans="61:135" ht="10.050000000000001" customHeight="1" thickBot="1" x14ac:dyDescent="0.35">
      <c r="BI85" s="64"/>
      <c r="BJ85" s="90"/>
      <c r="BL85" s="74" t="s">
        <v>22</v>
      </c>
      <c r="BN85" s="18"/>
      <c r="BO85" s="18"/>
      <c r="BP85" s="18"/>
      <c r="BQ85" s="18"/>
      <c r="BS85" s="60"/>
      <c r="BU85" s="75"/>
      <c r="BW85" s="61"/>
      <c r="CA85" s="8"/>
    </row>
    <row r="86" spans="61:135" ht="15" customHeight="1" x14ac:dyDescent="0.3">
      <c r="BI86" s="64"/>
      <c r="BJ86" s="90" t="s">
        <v>31</v>
      </c>
      <c r="BK86" s="7"/>
      <c r="BL86" s="74"/>
      <c r="BM86" s="7"/>
      <c r="BN86" s="62" t="s">
        <v>14</v>
      </c>
      <c r="BO86" s="62"/>
      <c r="BP86" s="62"/>
      <c r="BQ86" s="62"/>
      <c r="BR86" s="7"/>
      <c r="BS86" s="60" t="s">
        <v>46</v>
      </c>
      <c r="BT86" s="7"/>
      <c r="BU86" s="75"/>
      <c r="BV86" s="7"/>
      <c r="BW86" s="61" t="s">
        <v>62</v>
      </c>
      <c r="CA86" s="8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61:135" ht="48.75" customHeight="1" x14ac:dyDescent="0.3">
      <c r="BI87" s="64"/>
      <c r="BJ87" s="90"/>
      <c r="BK87" s="7"/>
      <c r="BL87" s="74"/>
      <c r="BM87" s="7"/>
      <c r="BN87" s="62"/>
      <c r="BO87" s="62"/>
      <c r="BP87" s="62"/>
      <c r="BQ87" s="62"/>
      <c r="BR87" s="7"/>
      <c r="BS87" s="60"/>
      <c r="BT87" s="7"/>
      <c r="BU87" s="75"/>
      <c r="BV87" s="7"/>
      <c r="BW87" s="61"/>
      <c r="CA87" s="8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61:135" x14ac:dyDescent="0.3">
      <c r="BI88" s="64"/>
      <c r="BJ88" s="90"/>
      <c r="BK88" s="7"/>
      <c r="BL88" s="74"/>
      <c r="BM88" s="7"/>
      <c r="BN88" s="62"/>
      <c r="BO88" s="62"/>
      <c r="BP88" s="62"/>
      <c r="BQ88" s="62"/>
      <c r="BR88" s="7"/>
      <c r="BS88" s="60"/>
      <c r="BT88" s="7"/>
      <c r="BU88" s="75"/>
      <c r="BV88" s="7"/>
      <c r="BW88" s="61"/>
      <c r="CA88" s="8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61:135" ht="15" thickBot="1" x14ac:dyDescent="0.35">
      <c r="BI89" s="64"/>
      <c r="BJ89" s="90"/>
      <c r="BK89" s="7"/>
      <c r="BL89" s="74"/>
      <c r="BM89" s="7"/>
      <c r="BN89" s="62"/>
      <c r="BO89" s="62"/>
      <c r="BP89" s="62"/>
      <c r="BQ89" s="62"/>
      <c r="BR89" s="7"/>
      <c r="BS89" s="60"/>
      <c r="BT89" s="7"/>
      <c r="BU89" s="75"/>
      <c r="BV89" s="7"/>
      <c r="BW89" s="61"/>
      <c r="CA89" s="8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61:135" ht="10.050000000000001" customHeight="1" thickBot="1" x14ac:dyDescent="0.35">
      <c r="BI90" s="65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10"/>
    </row>
    <row r="91" spans="61:135" ht="10.050000000000001" customHeight="1" thickTop="1" x14ac:dyDescent="0.3"/>
    <row r="92" spans="61:135" ht="10.050000000000001" customHeight="1" x14ac:dyDescent="0.3"/>
    <row r="93" spans="61:135" ht="10.050000000000001" customHeight="1" x14ac:dyDescent="0.3"/>
    <row r="100" ht="48.75" customHeight="1" x14ac:dyDescent="0.3"/>
  </sheetData>
  <mergeCells count="638"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N8:O8"/>
    <mergeCell ref="AN8:AO8"/>
    <mergeCell ref="AP8:AQ8"/>
    <mergeCell ref="AR8:AS8"/>
    <mergeCell ref="AX8:AY8"/>
    <mergeCell ref="AZ8:BA8"/>
    <mergeCell ref="BB8:BC8"/>
    <mergeCell ref="T8:U8"/>
    <mergeCell ref="V8:W8"/>
    <mergeCell ref="X8:Y8"/>
    <mergeCell ref="AD8:AE8"/>
    <mergeCell ref="AF8:AG8"/>
    <mergeCell ref="AH8:AI8"/>
    <mergeCell ref="AN9:AO9"/>
    <mergeCell ref="ED8:EE8"/>
    <mergeCell ref="DP6:DU6"/>
    <mergeCell ref="DZ6:EE6"/>
    <mergeCell ref="E7:E8"/>
    <mergeCell ref="F7:F8"/>
    <mergeCell ref="J7:O7"/>
    <mergeCell ref="T7:Y7"/>
    <mergeCell ref="AD7:AI7"/>
    <mergeCell ref="AN7:AS7"/>
    <mergeCell ref="AX7:BC7"/>
    <mergeCell ref="AQ6:AS6"/>
    <mergeCell ref="AX6:AZ6"/>
    <mergeCell ref="BA6:BC6"/>
    <mergeCell ref="DP7:DU7"/>
    <mergeCell ref="DZ7:EE7"/>
    <mergeCell ref="G8:G9"/>
    <mergeCell ref="H8:I8"/>
    <mergeCell ref="J8:K8"/>
    <mergeCell ref="L8:M8"/>
    <mergeCell ref="N9:O9"/>
    <mergeCell ref="T9:U9"/>
    <mergeCell ref="V9:W9"/>
    <mergeCell ref="X9:Y9"/>
    <mergeCell ref="DP8:DQ8"/>
    <mergeCell ref="DR8:DS8"/>
    <mergeCell ref="DT8:DU8"/>
    <mergeCell ref="DZ8:EA8"/>
    <mergeCell ref="EB8:EC8"/>
    <mergeCell ref="DZ9:EA9"/>
    <mergeCell ref="EB9:EC9"/>
    <mergeCell ref="ED9:EE9"/>
    <mergeCell ref="D14:D17"/>
    <mergeCell ref="J14:L14"/>
    <mergeCell ref="M14:O14"/>
    <mergeCell ref="T14:V14"/>
    <mergeCell ref="W14:Y14"/>
    <mergeCell ref="AD14:AF14"/>
    <mergeCell ref="AG14:AI14"/>
    <mergeCell ref="DP9:DQ9"/>
    <mergeCell ref="DR9:DS9"/>
    <mergeCell ref="DT9:DU9"/>
    <mergeCell ref="AX9:AY9"/>
    <mergeCell ref="AZ9:BA9"/>
    <mergeCell ref="BB9:BC9"/>
    <mergeCell ref="AD9:AE9"/>
    <mergeCell ref="AF9:AG9"/>
    <mergeCell ref="AH9:AI9"/>
    <mergeCell ref="AP9:AQ9"/>
    <mergeCell ref="AR9:AS9"/>
    <mergeCell ref="J9:K9"/>
    <mergeCell ref="L9:M9"/>
    <mergeCell ref="E15:E16"/>
    <mergeCell ref="F15:F16"/>
    <mergeCell ref="J15:O15"/>
    <mergeCell ref="T15:Y15"/>
    <mergeCell ref="AD15:AI15"/>
    <mergeCell ref="AN15:AS15"/>
    <mergeCell ref="AN14:AP14"/>
    <mergeCell ref="AQ14:AS14"/>
    <mergeCell ref="AX14:AZ14"/>
    <mergeCell ref="DP15:DU15"/>
    <mergeCell ref="DZ15:EE15"/>
    <mergeCell ref="G16:G17"/>
    <mergeCell ref="H16:I16"/>
    <mergeCell ref="J16:K16"/>
    <mergeCell ref="L16:M16"/>
    <mergeCell ref="DP14:DU14"/>
    <mergeCell ref="DZ14:EE14"/>
    <mergeCell ref="BA14:BC14"/>
    <mergeCell ref="N16:O16"/>
    <mergeCell ref="T16:U16"/>
    <mergeCell ref="V16:W16"/>
    <mergeCell ref="X16:Y16"/>
    <mergeCell ref="AD16:AE16"/>
    <mergeCell ref="AF16:AG16"/>
    <mergeCell ref="AX15:BC15"/>
    <mergeCell ref="ED16:EE16"/>
    <mergeCell ref="J17:K17"/>
    <mergeCell ref="L17:M17"/>
    <mergeCell ref="N17:O17"/>
    <mergeCell ref="T17:U17"/>
    <mergeCell ref="V17:W17"/>
    <mergeCell ref="X17:Y17"/>
    <mergeCell ref="AF17:AG17"/>
    <mergeCell ref="AH17:AI17"/>
    <mergeCell ref="DP16:DQ16"/>
    <mergeCell ref="DR16:DS16"/>
    <mergeCell ref="DT16:DU16"/>
    <mergeCell ref="DZ16:EA16"/>
    <mergeCell ref="EB16:EC16"/>
    <mergeCell ref="BB16:BC16"/>
    <mergeCell ref="AH16:AI16"/>
    <mergeCell ref="AN16:AO16"/>
    <mergeCell ref="AP16:AQ16"/>
    <mergeCell ref="AR16:AS16"/>
    <mergeCell ref="AX16:AY16"/>
    <mergeCell ref="AZ16:BA16"/>
    <mergeCell ref="DP17:DQ17"/>
    <mergeCell ref="DR17:DS17"/>
    <mergeCell ref="DT17:DU17"/>
    <mergeCell ref="DZ17:EA17"/>
    <mergeCell ref="EB17:EC17"/>
    <mergeCell ref="B23:B36"/>
    <mergeCell ref="D24:D27"/>
    <mergeCell ref="J24:L24"/>
    <mergeCell ref="M24:O24"/>
    <mergeCell ref="T24:V24"/>
    <mergeCell ref="W24:Y24"/>
    <mergeCell ref="E25:E26"/>
    <mergeCell ref="F25:F26"/>
    <mergeCell ref="J25:O25"/>
    <mergeCell ref="T25:Y25"/>
    <mergeCell ref="G26:G27"/>
    <mergeCell ref="H26:I26"/>
    <mergeCell ref="J26:K26"/>
    <mergeCell ref="L26:M26"/>
    <mergeCell ref="N26:O26"/>
    <mergeCell ref="T26:U26"/>
    <mergeCell ref="J27:K27"/>
    <mergeCell ref="L27:M27"/>
    <mergeCell ref="N27:O27"/>
    <mergeCell ref="T27:U27"/>
    <mergeCell ref="V27:W27"/>
    <mergeCell ref="X27:Y27"/>
    <mergeCell ref="V26:W26"/>
    <mergeCell ref="D32:D35"/>
    <mergeCell ref="ED17:EE17"/>
    <mergeCell ref="AN17:AO17"/>
    <mergeCell ref="AP17:AQ17"/>
    <mergeCell ref="AR17:AS17"/>
    <mergeCell ref="AX17:AY17"/>
    <mergeCell ref="AZ17:BA17"/>
    <mergeCell ref="BB17:BC17"/>
    <mergeCell ref="DZ25:EE25"/>
    <mergeCell ref="AD25:AI25"/>
    <mergeCell ref="AN25:AS25"/>
    <mergeCell ref="AX25:BC25"/>
    <mergeCell ref="BH25:BM25"/>
    <mergeCell ref="DP25:DU25"/>
    <mergeCell ref="DZ24:EE24"/>
    <mergeCell ref="AD24:AF24"/>
    <mergeCell ref="AG24:AI24"/>
    <mergeCell ref="AN24:AP24"/>
    <mergeCell ref="AQ24:AS24"/>
    <mergeCell ref="AX24:AZ24"/>
    <mergeCell ref="BA24:BC24"/>
    <mergeCell ref="BH24:BJ24"/>
    <mergeCell ref="BK24:BM24"/>
    <mergeCell ref="DP24:DU24"/>
    <mergeCell ref="AD17:AE17"/>
    <mergeCell ref="BH27:BI27"/>
    <mergeCell ref="BJ27:BK27"/>
    <mergeCell ref="BL27:BM27"/>
    <mergeCell ref="DP26:DQ26"/>
    <mergeCell ref="DR26:DS26"/>
    <mergeCell ref="AX26:AY26"/>
    <mergeCell ref="AZ26:BA26"/>
    <mergeCell ref="BB26:BC26"/>
    <mergeCell ref="BH26:BI26"/>
    <mergeCell ref="BJ26:BK26"/>
    <mergeCell ref="BL26:BM26"/>
    <mergeCell ref="AX27:AY27"/>
    <mergeCell ref="DP27:DQ27"/>
    <mergeCell ref="AZ27:BA27"/>
    <mergeCell ref="BB27:BC27"/>
    <mergeCell ref="DZ26:EA26"/>
    <mergeCell ref="EB26:EC26"/>
    <mergeCell ref="ED26:EE26"/>
    <mergeCell ref="DT26:DU26"/>
    <mergeCell ref="EB27:EC27"/>
    <mergeCell ref="ED27:EE27"/>
    <mergeCell ref="DT27:DU27"/>
    <mergeCell ref="DZ27:EA27"/>
    <mergeCell ref="DR27:DS27"/>
    <mergeCell ref="AD26:AE26"/>
    <mergeCell ref="AF26:AG26"/>
    <mergeCell ref="AH26:AI26"/>
    <mergeCell ref="AN26:AO26"/>
    <mergeCell ref="X26:Y26"/>
    <mergeCell ref="AP26:AQ26"/>
    <mergeCell ref="AR26:AS26"/>
    <mergeCell ref="AR27:AS27"/>
    <mergeCell ref="AD27:AE27"/>
    <mergeCell ref="AF27:AG27"/>
    <mergeCell ref="AH27:AI27"/>
    <mergeCell ref="AN27:AO27"/>
    <mergeCell ref="AP27:AQ27"/>
    <mergeCell ref="BK32:BM32"/>
    <mergeCell ref="BH33:BM33"/>
    <mergeCell ref="DP33:DU33"/>
    <mergeCell ref="AD34:AE34"/>
    <mergeCell ref="AF34:AG34"/>
    <mergeCell ref="AH34:AI34"/>
    <mergeCell ref="DP34:DQ34"/>
    <mergeCell ref="DR34:DS34"/>
    <mergeCell ref="DT34:DU34"/>
    <mergeCell ref="AD32:AF32"/>
    <mergeCell ref="AG32:AI32"/>
    <mergeCell ref="AN32:AP32"/>
    <mergeCell ref="AD33:AI33"/>
    <mergeCell ref="AN33:AS33"/>
    <mergeCell ref="E33:E34"/>
    <mergeCell ref="F33:F34"/>
    <mergeCell ref="J33:O33"/>
    <mergeCell ref="T33:Y33"/>
    <mergeCell ref="AX33:BC33"/>
    <mergeCell ref="AQ32:AS32"/>
    <mergeCell ref="AX32:AZ32"/>
    <mergeCell ref="BA32:BC32"/>
    <mergeCell ref="BH32:BJ32"/>
    <mergeCell ref="J32:L32"/>
    <mergeCell ref="M32:O32"/>
    <mergeCell ref="T32:V32"/>
    <mergeCell ref="W32:Y32"/>
    <mergeCell ref="DZ33:EE33"/>
    <mergeCell ref="DZ32:EE32"/>
    <mergeCell ref="G34:G35"/>
    <mergeCell ref="H34:I34"/>
    <mergeCell ref="J34:K34"/>
    <mergeCell ref="AN34:AO34"/>
    <mergeCell ref="AP34:AQ34"/>
    <mergeCell ref="AR34:AS34"/>
    <mergeCell ref="AX34:AY34"/>
    <mergeCell ref="AZ34:BA34"/>
    <mergeCell ref="AD35:AE35"/>
    <mergeCell ref="AF35:AG35"/>
    <mergeCell ref="AH35:AI35"/>
    <mergeCell ref="AN35:AO35"/>
    <mergeCell ref="AP35:AQ35"/>
    <mergeCell ref="AR35:AS35"/>
    <mergeCell ref="J35:K35"/>
    <mergeCell ref="L34:M34"/>
    <mergeCell ref="N34:O34"/>
    <mergeCell ref="BB34:BC34"/>
    <mergeCell ref="T34:U34"/>
    <mergeCell ref="V34:W34"/>
    <mergeCell ref="X34:Y34"/>
    <mergeCell ref="DP32:DU32"/>
    <mergeCell ref="DZ34:EA34"/>
    <mergeCell ref="EB34:EC34"/>
    <mergeCell ref="ED34:EE34"/>
    <mergeCell ref="BH34:BI34"/>
    <mergeCell ref="BJ34:BK34"/>
    <mergeCell ref="BL34:BM34"/>
    <mergeCell ref="ED35:EE35"/>
    <mergeCell ref="B41:B54"/>
    <mergeCell ref="D42:D45"/>
    <mergeCell ref="J42:L42"/>
    <mergeCell ref="M42:O42"/>
    <mergeCell ref="T42:V42"/>
    <mergeCell ref="W42:Y42"/>
    <mergeCell ref="AD42:AF42"/>
    <mergeCell ref="DP35:DQ35"/>
    <mergeCell ref="DR35:DS35"/>
    <mergeCell ref="DT35:DU35"/>
    <mergeCell ref="AX35:AY35"/>
    <mergeCell ref="AZ35:BA35"/>
    <mergeCell ref="BB35:BC35"/>
    <mergeCell ref="BH35:BI35"/>
    <mergeCell ref="BJ35:BK35"/>
    <mergeCell ref="BL35:BM35"/>
    <mergeCell ref="N44:O44"/>
    <mergeCell ref="L45:M45"/>
    <mergeCell ref="N45:O45"/>
    <mergeCell ref="AN44:AO44"/>
    <mergeCell ref="AP44:AQ44"/>
    <mergeCell ref="AR44:AS44"/>
    <mergeCell ref="DZ35:EA35"/>
    <mergeCell ref="EB35:EC35"/>
    <mergeCell ref="L35:M35"/>
    <mergeCell ref="N35:O35"/>
    <mergeCell ref="T35:U35"/>
    <mergeCell ref="V35:W35"/>
    <mergeCell ref="X35:Y35"/>
    <mergeCell ref="BH43:BM43"/>
    <mergeCell ref="DP43:DU43"/>
    <mergeCell ref="DZ43:EE43"/>
    <mergeCell ref="BK42:BM42"/>
    <mergeCell ref="DP42:DU42"/>
    <mergeCell ref="DZ42:EE42"/>
    <mergeCell ref="BH42:BJ42"/>
    <mergeCell ref="AF44:AG44"/>
    <mergeCell ref="AH44:AI44"/>
    <mergeCell ref="DP44:DQ44"/>
    <mergeCell ref="DR44:DS44"/>
    <mergeCell ref="DT44:DU44"/>
    <mergeCell ref="E43:E44"/>
    <mergeCell ref="F43:F44"/>
    <mergeCell ref="J43:O43"/>
    <mergeCell ref="T43:Y43"/>
    <mergeCell ref="AD43:AI43"/>
    <mergeCell ref="AG42:AI42"/>
    <mergeCell ref="AN42:AP42"/>
    <mergeCell ref="AQ42:AS42"/>
    <mergeCell ref="AX42:AZ42"/>
    <mergeCell ref="AN43:AS43"/>
    <mergeCell ref="AX43:BC43"/>
    <mergeCell ref="BA42:BC42"/>
    <mergeCell ref="G44:G45"/>
    <mergeCell ref="H44:I44"/>
    <mergeCell ref="J44:K44"/>
    <mergeCell ref="L44:M44"/>
    <mergeCell ref="AX44:AY44"/>
    <mergeCell ref="AZ44:BA44"/>
    <mergeCell ref="BB44:BC44"/>
    <mergeCell ref="T44:U44"/>
    <mergeCell ref="V44:W44"/>
    <mergeCell ref="X44:Y44"/>
    <mergeCell ref="AD44:AE44"/>
    <mergeCell ref="J45:K45"/>
    <mergeCell ref="DZ44:EA44"/>
    <mergeCell ref="EB44:EC44"/>
    <mergeCell ref="ED44:EE44"/>
    <mergeCell ref="BH44:BI44"/>
    <mergeCell ref="BJ44:BK44"/>
    <mergeCell ref="BL44:BM44"/>
    <mergeCell ref="AN45:AO45"/>
    <mergeCell ref="AP45:AQ45"/>
    <mergeCell ref="AR45:AS45"/>
    <mergeCell ref="AX45:AY45"/>
    <mergeCell ref="AZ45:BA45"/>
    <mergeCell ref="BB45:BC45"/>
    <mergeCell ref="DZ45:EA45"/>
    <mergeCell ref="EB45:EC45"/>
    <mergeCell ref="ED45:EE45"/>
    <mergeCell ref="T45:U45"/>
    <mergeCell ref="V45:W45"/>
    <mergeCell ref="X45:Y45"/>
    <mergeCell ref="AD45:AE45"/>
    <mergeCell ref="AF45:AG45"/>
    <mergeCell ref="AH45:AI45"/>
    <mergeCell ref="DP45:DQ45"/>
    <mergeCell ref="DR45:DS45"/>
    <mergeCell ref="DT45:DU45"/>
    <mergeCell ref="BH45:BI45"/>
    <mergeCell ref="BJ45:BK45"/>
    <mergeCell ref="BL45:BM45"/>
    <mergeCell ref="D50:D53"/>
    <mergeCell ref="J50:L50"/>
    <mergeCell ref="M50:O50"/>
    <mergeCell ref="T50:V50"/>
    <mergeCell ref="W50:Y50"/>
    <mergeCell ref="AD50:AF50"/>
    <mergeCell ref="E51:E52"/>
    <mergeCell ref="F51:F52"/>
    <mergeCell ref="J51:O51"/>
    <mergeCell ref="T51:Y51"/>
    <mergeCell ref="T52:U52"/>
    <mergeCell ref="V52:W52"/>
    <mergeCell ref="X52:Y52"/>
    <mergeCell ref="AD52:AE52"/>
    <mergeCell ref="AF52:AG52"/>
    <mergeCell ref="G52:G53"/>
    <mergeCell ref="H52:I52"/>
    <mergeCell ref="J52:K52"/>
    <mergeCell ref="L52:M52"/>
    <mergeCell ref="N52:O52"/>
    <mergeCell ref="J53:K53"/>
    <mergeCell ref="L53:M53"/>
    <mergeCell ref="N53:O53"/>
    <mergeCell ref="T53:U53"/>
    <mergeCell ref="DZ50:EE50"/>
    <mergeCell ref="DZ51:EE51"/>
    <mergeCell ref="DP52:DQ52"/>
    <mergeCell ref="DR52:DS52"/>
    <mergeCell ref="DT52:DU52"/>
    <mergeCell ref="AG50:AI50"/>
    <mergeCell ref="AN50:AP50"/>
    <mergeCell ref="AQ50:AS50"/>
    <mergeCell ref="AX50:AZ50"/>
    <mergeCell ref="BA50:BC50"/>
    <mergeCell ref="BH50:BJ50"/>
    <mergeCell ref="AD51:AI51"/>
    <mergeCell ref="AN51:AS51"/>
    <mergeCell ref="AX51:BC51"/>
    <mergeCell ref="BH51:BM51"/>
    <mergeCell ref="DP51:DU51"/>
    <mergeCell ref="DZ52:EA52"/>
    <mergeCell ref="EB52:EC52"/>
    <mergeCell ref="ED52:EE52"/>
    <mergeCell ref="BL52:BM52"/>
    <mergeCell ref="BK50:BM50"/>
    <mergeCell ref="DP50:DU50"/>
    <mergeCell ref="AZ52:BA52"/>
    <mergeCell ref="BB52:BC52"/>
    <mergeCell ref="V53:W53"/>
    <mergeCell ref="X53:Y53"/>
    <mergeCell ref="AD53:AE53"/>
    <mergeCell ref="BH52:BI52"/>
    <mergeCell ref="BJ52:BK52"/>
    <mergeCell ref="AN52:AO52"/>
    <mergeCell ref="AP52:AQ52"/>
    <mergeCell ref="AR52:AS52"/>
    <mergeCell ref="AX52:AY52"/>
    <mergeCell ref="AN53:AO53"/>
    <mergeCell ref="AP53:AQ53"/>
    <mergeCell ref="AR53:AS53"/>
    <mergeCell ref="AX53:AY53"/>
    <mergeCell ref="EB53:EC53"/>
    <mergeCell ref="ED53:EE53"/>
    <mergeCell ref="AH52:AI52"/>
    <mergeCell ref="AF53:AG53"/>
    <mergeCell ref="AH53:AI53"/>
    <mergeCell ref="DP53:DQ53"/>
    <mergeCell ref="DR53:DS53"/>
    <mergeCell ref="DT53:DU53"/>
    <mergeCell ref="DZ53:EA53"/>
    <mergeCell ref="AZ53:BA53"/>
    <mergeCell ref="BB53:BC53"/>
    <mergeCell ref="BH53:BI53"/>
    <mergeCell ref="BJ53:BK53"/>
    <mergeCell ref="BL53:BM53"/>
    <mergeCell ref="T62:U62"/>
    <mergeCell ref="V62:W62"/>
    <mergeCell ref="L70:M70"/>
    <mergeCell ref="N70:O70"/>
    <mergeCell ref="T70:U70"/>
    <mergeCell ref="V70:W70"/>
    <mergeCell ref="J63:K63"/>
    <mergeCell ref="L63:M63"/>
    <mergeCell ref="N63:O63"/>
    <mergeCell ref="T63:U63"/>
    <mergeCell ref="V63:W63"/>
    <mergeCell ref="DZ60:EE60"/>
    <mergeCell ref="E61:E62"/>
    <mergeCell ref="F61:F62"/>
    <mergeCell ref="J61:O61"/>
    <mergeCell ref="T61:Y61"/>
    <mergeCell ref="AD61:AI61"/>
    <mergeCell ref="AN61:AS61"/>
    <mergeCell ref="AX61:BC61"/>
    <mergeCell ref="AN60:AP60"/>
    <mergeCell ref="AQ60:AS60"/>
    <mergeCell ref="AX60:AZ60"/>
    <mergeCell ref="BA60:BC60"/>
    <mergeCell ref="AF62:AG62"/>
    <mergeCell ref="AH62:AI62"/>
    <mergeCell ref="AN62:AO62"/>
    <mergeCell ref="AP62:AQ62"/>
    <mergeCell ref="DP61:DU61"/>
    <mergeCell ref="DZ61:EE61"/>
    <mergeCell ref="J60:L60"/>
    <mergeCell ref="M60:O60"/>
    <mergeCell ref="T60:V60"/>
    <mergeCell ref="ED62:EE62"/>
    <mergeCell ref="H62:I62"/>
    <mergeCell ref="J62:K62"/>
    <mergeCell ref="DZ68:EE68"/>
    <mergeCell ref="X63:Y63"/>
    <mergeCell ref="AD63:AE63"/>
    <mergeCell ref="AF63:AG63"/>
    <mergeCell ref="AH63:AI63"/>
    <mergeCell ref="DP62:DQ62"/>
    <mergeCell ref="DR62:DS62"/>
    <mergeCell ref="DT62:DU62"/>
    <mergeCell ref="DZ62:EA62"/>
    <mergeCell ref="EB62:EC62"/>
    <mergeCell ref="AR62:AS62"/>
    <mergeCell ref="AX62:AY62"/>
    <mergeCell ref="AZ62:BA62"/>
    <mergeCell ref="BB62:BC62"/>
    <mergeCell ref="AD62:AE62"/>
    <mergeCell ref="DZ63:EA63"/>
    <mergeCell ref="EB63:EC63"/>
    <mergeCell ref="X62:Y62"/>
    <mergeCell ref="ED63:EE63"/>
    <mergeCell ref="DT63:DU63"/>
    <mergeCell ref="D68:D71"/>
    <mergeCell ref="J68:L68"/>
    <mergeCell ref="M68:O68"/>
    <mergeCell ref="T68:V68"/>
    <mergeCell ref="W68:Y68"/>
    <mergeCell ref="AD68:AF68"/>
    <mergeCell ref="AG68:AI68"/>
    <mergeCell ref="DP63:DQ63"/>
    <mergeCell ref="DR63:DS63"/>
    <mergeCell ref="AN63:AO63"/>
    <mergeCell ref="AP63:AQ63"/>
    <mergeCell ref="AR63:AS63"/>
    <mergeCell ref="AX63:AY63"/>
    <mergeCell ref="AZ63:BA63"/>
    <mergeCell ref="BB63:BC63"/>
    <mergeCell ref="DP68:DU68"/>
    <mergeCell ref="D60:D63"/>
    <mergeCell ref="W60:Y60"/>
    <mergeCell ref="G62:G63"/>
    <mergeCell ref="AD60:AF60"/>
    <mergeCell ref="AG60:AI60"/>
    <mergeCell ref="DP60:DU60"/>
    <mergeCell ref="L62:M62"/>
    <mergeCell ref="N62:O62"/>
    <mergeCell ref="E69:E70"/>
    <mergeCell ref="F69:F70"/>
    <mergeCell ref="J69:O69"/>
    <mergeCell ref="T69:Y69"/>
    <mergeCell ref="AD69:AI69"/>
    <mergeCell ref="AN69:AS69"/>
    <mergeCell ref="AX69:BC69"/>
    <mergeCell ref="AN68:AP68"/>
    <mergeCell ref="AQ68:AS68"/>
    <mergeCell ref="AX68:AZ68"/>
    <mergeCell ref="BA68:BC68"/>
    <mergeCell ref="AR70:AS70"/>
    <mergeCell ref="AX70:AY70"/>
    <mergeCell ref="AZ70:BA70"/>
    <mergeCell ref="G70:G71"/>
    <mergeCell ref="H70:I70"/>
    <mergeCell ref="J70:K70"/>
    <mergeCell ref="AR71:AS71"/>
    <mergeCell ref="AX71:AY71"/>
    <mergeCell ref="AZ71:BA71"/>
    <mergeCell ref="J71:K71"/>
    <mergeCell ref="L71:M71"/>
    <mergeCell ref="N71:O71"/>
    <mergeCell ref="T71:U71"/>
    <mergeCell ref="V71:W71"/>
    <mergeCell ref="X71:Y71"/>
    <mergeCell ref="BB70:BC70"/>
    <mergeCell ref="AD71:AE71"/>
    <mergeCell ref="AF71:AG71"/>
    <mergeCell ref="AH71:AI71"/>
    <mergeCell ref="AN71:AO71"/>
    <mergeCell ref="AP71:AQ71"/>
    <mergeCell ref="BB71:BC71"/>
    <mergeCell ref="X70:Y70"/>
    <mergeCell ref="AD70:AE70"/>
    <mergeCell ref="AF70:AG70"/>
    <mergeCell ref="AH70:AI70"/>
    <mergeCell ref="AN70:AO70"/>
    <mergeCell ref="DT81:DU81"/>
    <mergeCell ref="DP69:DU69"/>
    <mergeCell ref="DZ69:EE69"/>
    <mergeCell ref="ED88:EE88"/>
    <mergeCell ref="EB70:EC70"/>
    <mergeCell ref="DP71:DQ71"/>
    <mergeCell ref="DR71:DS71"/>
    <mergeCell ref="DT71:DU71"/>
    <mergeCell ref="DZ71:EA71"/>
    <mergeCell ref="EB71:EC71"/>
    <mergeCell ref="DZ80:EA80"/>
    <mergeCell ref="DZ81:EA81"/>
    <mergeCell ref="EB81:EC81"/>
    <mergeCell ref="ED81:EE81"/>
    <mergeCell ref="DP70:DQ70"/>
    <mergeCell ref="DR70:DS70"/>
    <mergeCell ref="ED71:EE71"/>
    <mergeCell ref="ED70:EE70"/>
    <mergeCell ref="DZ70:EA70"/>
    <mergeCell ref="B59:B72"/>
    <mergeCell ref="BT80:BU80"/>
    <mergeCell ref="BR81:BS81"/>
    <mergeCell ref="DZ78:EE78"/>
    <mergeCell ref="BR79:BW79"/>
    <mergeCell ref="DP79:DU79"/>
    <mergeCell ref="BJ78:BJ81"/>
    <mergeCell ref="BR78:BW78"/>
    <mergeCell ref="DP78:DU78"/>
    <mergeCell ref="BR80:BS80"/>
    <mergeCell ref="DZ79:EE79"/>
    <mergeCell ref="DP81:DQ81"/>
    <mergeCell ref="DR81:DS81"/>
    <mergeCell ref="AP70:AQ70"/>
    <mergeCell ref="BI77:BI90"/>
    <mergeCell ref="BT81:BU81"/>
    <mergeCell ref="BV81:BW81"/>
    <mergeCell ref="DT70:DU70"/>
    <mergeCell ref="EB80:EC80"/>
    <mergeCell ref="ED80:EE80"/>
    <mergeCell ref="BV80:BW80"/>
    <mergeCell ref="DP80:DQ80"/>
    <mergeCell ref="DR80:DS80"/>
    <mergeCell ref="DT80:DU80"/>
    <mergeCell ref="BJ84:BJ85"/>
    <mergeCell ref="BS84:BS85"/>
    <mergeCell ref="BW84:BW85"/>
    <mergeCell ref="BU84:BU89"/>
    <mergeCell ref="DZ86:EE86"/>
    <mergeCell ref="DP88:DQ88"/>
    <mergeCell ref="DR88:DS88"/>
    <mergeCell ref="ED89:EE89"/>
    <mergeCell ref="DT88:DU88"/>
    <mergeCell ref="DZ88:EA88"/>
    <mergeCell ref="EB88:EC88"/>
    <mergeCell ref="DZ89:EA89"/>
    <mergeCell ref="EB89:EC89"/>
    <mergeCell ref="DP89:DQ89"/>
    <mergeCell ref="DR89:DS89"/>
    <mergeCell ref="DT89:DU89"/>
    <mergeCell ref="BJ86:BJ89"/>
    <mergeCell ref="BL85:BL89"/>
    <mergeCell ref="BN86:BQ89"/>
    <mergeCell ref="BS86:BS89"/>
    <mergeCell ref="BW86:BW89"/>
    <mergeCell ref="DP86:DU86"/>
    <mergeCell ref="DP87:DU87"/>
    <mergeCell ref="DZ87:EE87"/>
    <mergeCell ref="BR24:BT24"/>
    <mergeCell ref="BU24:BW24"/>
    <mergeCell ref="BR25:BW25"/>
    <mergeCell ref="BR26:BS26"/>
    <mergeCell ref="BT26:BU26"/>
    <mergeCell ref="BV26:BW26"/>
    <mergeCell ref="BR27:BS27"/>
    <mergeCell ref="BT27:BU27"/>
    <mergeCell ref="BV27:BW27"/>
    <mergeCell ref="BR50:BT50"/>
    <mergeCell ref="BU50:BW50"/>
    <mergeCell ref="BR51:BW51"/>
    <mergeCell ref="BR52:BS52"/>
    <mergeCell ref="BT52:BU52"/>
    <mergeCell ref="BV52:BW52"/>
    <mergeCell ref="BR53:BS53"/>
    <mergeCell ref="BT53:BU53"/>
    <mergeCell ref="BV53:BW53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B2:EE100"/>
  <sheetViews>
    <sheetView zoomScale="80" zoomScaleNormal="80" workbookViewId="0">
      <selection activeCell="CC41" sqref="CC41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239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5" spans="2:135" ht="10.050000000000001" customHeight="1" thickBot="1" x14ac:dyDescent="0.35">
      <c r="B5" s="118" t="s">
        <v>4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19</v>
      </c>
      <c r="K6" s="25"/>
      <c r="L6" s="26"/>
      <c r="M6" s="27" t="s">
        <v>33</v>
      </c>
      <c r="N6" s="28"/>
      <c r="O6" s="29"/>
      <c r="P6" s="4"/>
      <c r="Q6" s="4"/>
      <c r="R6" s="4"/>
      <c r="S6" s="4"/>
      <c r="T6" s="24" t="s">
        <v>90</v>
      </c>
      <c r="U6" s="25"/>
      <c r="V6" s="26"/>
      <c r="W6" s="27" t="s">
        <v>164</v>
      </c>
      <c r="X6" s="28"/>
      <c r="Y6" s="29"/>
      <c r="Z6" s="4"/>
      <c r="AA6" s="4"/>
      <c r="AB6" s="4"/>
      <c r="AC6" s="4"/>
      <c r="AD6" s="24" t="s">
        <v>181</v>
      </c>
      <c r="AE6" s="25"/>
      <c r="AF6" s="26"/>
      <c r="AG6" s="38">
        <v>111</v>
      </c>
      <c r="AH6" s="39"/>
      <c r="AI6" s="40"/>
      <c r="AJ6" s="4"/>
      <c r="AK6" s="4"/>
      <c r="AL6" s="4"/>
      <c r="AM6" s="4"/>
      <c r="AN6" s="24" t="s">
        <v>119</v>
      </c>
      <c r="AO6" s="25"/>
      <c r="AP6" s="26"/>
      <c r="AQ6" s="38" t="s">
        <v>109</v>
      </c>
      <c r="AR6" s="39"/>
      <c r="AS6" s="40"/>
      <c r="AT6" s="4"/>
      <c r="AU6" s="4"/>
      <c r="AV6" s="4"/>
      <c r="AW6" s="4"/>
      <c r="AX6" s="24" t="s">
        <v>122</v>
      </c>
      <c r="AY6" s="25"/>
      <c r="AZ6" s="26"/>
      <c r="BA6" s="38" t="s">
        <v>109</v>
      </c>
      <c r="BB6" s="39"/>
      <c r="BC6" s="40"/>
      <c r="BD6" s="4"/>
      <c r="BE6" s="4"/>
      <c r="BF6" s="4"/>
      <c r="BG6" s="4"/>
      <c r="BH6" s="24" t="s">
        <v>121</v>
      </c>
      <c r="BI6" s="25"/>
      <c r="BJ6" s="26"/>
      <c r="BK6" s="38" t="s">
        <v>109</v>
      </c>
      <c r="BL6" s="39"/>
      <c r="BM6" s="40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SUM(N8,X8,AH8,AR8,BB8,BL8)</f>
        <v>750</v>
      </c>
      <c r="H7" s="2"/>
      <c r="I7" s="2"/>
      <c r="J7" s="53" t="s">
        <v>32</v>
      </c>
      <c r="K7" s="54"/>
      <c r="L7" s="54"/>
      <c r="M7" s="54"/>
      <c r="N7" s="55"/>
      <c r="O7" s="56"/>
      <c r="P7" s="4"/>
      <c r="Q7" s="4"/>
      <c r="R7" s="4"/>
      <c r="S7" s="4"/>
      <c r="T7" s="30" t="s">
        <v>165</v>
      </c>
      <c r="U7" s="31"/>
      <c r="V7" s="31"/>
      <c r="W7" s="31"/>
      <c r="X7" s="32"/>
      <c r="Y7" s="33"/>
      <c r="Z7" s="4"/>
      <c r="AA7" s="4"/>
      <c r="AB7" s="4"/>
      <c r="AC7" s="4"/>
      <c r="AD7" s="30" t="s">
        <v>180</v>
      </c>
      <c r="AE7" s="31"/>
      <c r="AF7" s="31"/>
      <c r="AG7" s="31"/>
      <c r="AH7" s="32"/>
      <c r="AI7" s="33"/>
      <c r="AJ7" s="4"/>
      <c r="AK7" s="4"/>
      <c r="AL7" s="4"/>
      <c r="AM7" s="4"/>
      <c r="AN7" s="114" t="s">
        <v>120</v>
      </c>
      <c r="AO7" s="115"/>
      <c r="AP7" s="115"/>
      <c r="AQ7" s="115"/>
      <c r="AR7" s="116"/>
      <c r="AS7" s="117"/>
      <c r="AT7" s="4"/>
      <c r="AU7" s="4"/>
      <c r="AV7" s="4"/>
      <c r="AW7" s="4"/>
      <c r="AX7" s="114" t="s">
        <v>123</v>
      </c>
      <c r="AY7" s="115"/>
      <c r="AZ7" s="115"/>
      <c r="BA7" s="115"/>
      <c r="BB7" s="116"/>
      <c r="BC7" s="117"/>
      <c r="BD7" s="4"/>
      <c r="BE7" s="4"/>
      <c r="BF7" s="4"/>
      <c r="BG7" s="4"/>
      <c r="BH7" s="114" t="s">
        <v>21</v>
      </c>
      <c r="BI7" s="115"/>
      <c r="BJ7" s="115"/>
      <c r="BK7" s="115"/>
      <c r="BL7" s="116"/>
      <c r="BM7" s="117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57">
        <v>3</v>
      </c>
      <c r="K8" s="58"/>
      <c r="L8" s="59">
        <v>5</v>
      </c>
      <c r="M8" s="58"/>
      <c r="N8" s="59">
        <v>180</v>
      </c>
      <c r="O8" s="91"/>
      <c r="P8" s="4"/>
      <c r="Q8" s="4"/>
      <c r="R8" s="4"/>
      <c r="S8" s="4"/>
      <c r="T8" s="34">
        <v>3</v>
      </c>
      <c r="U8" s="35"/>
      <c r="V8" s="36">
        <v>4</v>
      </c>
      <c r="W8" s="35"/>
      <c r="X8" s="36">
        <v>150</v>
      </c>
      <c r="Y8" s="37"/>
      <c r="Z8" s="4"/>
      <c r="AA8" s="4"/>
      <c r="AB8" s="4"/>
      <c r="AC8" s="4"/>
      <c r="AD8" s="34">
        <v>3</v>
      </c>
      <c r="AE8" s="35"/>
      <c r="AF8" s="36">
        <v>4</v>
      </c>
      <c r="AG8" s="35"/>
      <c r="AH8" s="36">
        <v>150</v>
      </c>
      <c r="AI8" s="37"/>
      <c r="AJ8" s="4"/>
      <c r="AK8" s="4"/>
      <c r="AL8" s="4"/>
      <c r="AM8" s="4"/>
      <c r="AN8" s="110">
        <v>2</v>
      </c>
      <c r="AO8" s="111"/>
      <c r="AP8" s="108">
        <v>2</v>
      </c>
      <c r="AQ8" s="111"/>
      <c r="AR8" s="108">
        <v>90</v>
      </c>
      <c r="AS8" s="109"/>
      <c r="AT8" s="4"/>
      <c r="AU8" s="4"/>
      <c r="AV8" s="4"/>
      <c r="AW8" s="4"/>
      <c r="AX8" s="110">
        <v>2</v>
      </c>
      <c r="AY8" s="111"/>
      <c r="AZ8" s="108">
        <v>2</v>
      </c>
      <c r="BA8" s="111"/>
      <c r="BB8" s="108">
        <v>90</v>
      </c>
      <c r="BC8" s="109"/>
      <c r="BD8" s="4"/>
      <c r="BE8" s="4"/>
      <c r="BF8" s="4"/>
      <c r="BG8" s="4"/>
      <c r="BH8" s="110">
        <v>2</v>
      </c>
      <c r="BI8" s="111"/>
      <c r="BJ8" s="108">
        <v>2</v>
      </c>
      <c r="BK8" s="111"/>
      <c r="BL8" s="108">
        <v>90</v>
      </c>
      <c r="BM8" s="109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SUM(J8,T8,AD8,AN8,AX8,BH8)</f>
        <v>15</v>
      </c>
      <c r="F9" s="11">
        <f>SUM(L8,V8,AF8,AP8,AZ8,BJ8)</f>
        <v>19</v>
      </c>
      <c r="G9" s="105"/>
      <c r="H9" s="2"/>
      <c r="I9" s="2"/>
      <c r="J9" s="92">
        <v>2</v>
      </c>
      <c r="K9" s="93"/>
      <c r="L9" s="70">
        <v>0</v>
      </c>
      <c r="M9" s="93"/>
      <c r="N9" s="70">
        <v>3</v>
      </c>
      <c r="O9" s="71"/>
      <c r="P9" s="4"/>
      <c r="Q9" s="4"/>
      <c r="R9" s="4"/>
      <c r="S9" s="4"/>
      <c r="T9" s="20">
        <v>2</v>
      </c>
      <c r="U9" s="21"/>
      <c r="V9" s="22">
        <v>0</v>
      </c>
      <c r="W9" s="21"/>
      <c r="X9" s="22">
        <v>2</v>
      </c>
      <c r="Y9" s="23"/>
      <c r="Z9" s="4"/>
      <c r="AA9" s="4"/>
      <c r="AB9" s="4"/>
      <c r="AC9" s="4"/>
      <c r="AD9" s="20">
        <v>3</v>
      </c>
      <c r="AE9" s="21"/>
      <c r="AF9" s="22">
        <v>1</v>
      </c>
      <c r="AG9" s="21"/>
      <c r="AH9" s="22">
        <v>0</v>
      </c>
      <c r="AI9" s="23"/>
      <c r="AJ9" s="4"/>
      <c r="AK9" s="4"/>
      <c r="AL9" s="4"/>
      <c r="AM9" s="4"/>
      <c r="AN9" s="112">
        <v>2</v>
      </c>
      <c r="AO9" s="113"/>
      <c r="AP9" s="106">
        <v>0</v>
      </c>
      <c r="AQ9" s="113"/>
      <c r="AR9" s="106">
        <v>0</v>
      </c>
      <c r="AS9" s="107"/>
      <c r="AT9" s="4"/>
      <c r="AU9" s="4"/>
      <c r="AV9" s="4"/>
      <c r="AW9" s="4"/>
      <c r="AX9" s="112">
        <v>2</v>
      </c>
      <c r="AY9" s="113"/>
      <c r="AZ9" s="106">
        <v>0</v>
      </c>
      <c r="BA9" s="113"/>
      <c r="BB9" s="106">
        <v>0</v>
      </c>
      <c r="BC9" s="107"/>
      <c r="BD9" s="4"/>
      <c r="BE9" s="4"/>
      <c r="BF9" s="4"/>
      <c r="BG9" s="4"/>
      <c r="BH9" s="112">
        <v>2</v>
      </c>
      <c r="BI9" s="113"/>
      <c r="BJ9" s="106">
        <v>0</v>
      </c>
      <c r="BK9" s="113"/>
      <c r="BL9" s="106">
        <v>0</v>
      </c>
      <c r="BM9" s="107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19</v>
      </c>
      <c r="K14" s="25"/>
      <c r="L14" s="26"/>
      <c r="M14" s="27" t="s">
        <v>35</v>
      </c>
      <c r="N14" s="28"/>
      <c r="O14" s="29"/>
      <c r="P14" s="4"/>
      <c r="Q14" s="4"/>
      <c r="R14" s="4"/>
      <c r="S14" s="4"/>
      <c r="T14" s="24" t="s">
        <v>114</v>
      </c>
      <c r="U14" s="25"/>
      <c r="V14" s="26"/>
      <c r="W14" s="38">
        <v>131</v>
      </c>
      <c r="X14" s="39"/>
      <c r="Y14" s="40"/>
      <c r="Z14" s="4"/>
      <c r="AA14" s="4"/>
      <c r="AB14" s="4"/>
      <c r="AC14" s="4"/>
      <c r="AD14" s="24" t="s">
        <v>19</v>
      </c>
      <c r="AE14" s="25"/>
      <c r="AF14" s="26"/>
      <c r="AG14" s="38">
        <v>315</v>
      </c>
      <c r="AH14" s="39"/>
      <c r="AI14" s="40"/>
      <c r="AJ14" s="4"/>
      <c r="AK14" s="4"/>
      <c r="AL14" s="4"/>
      <c r="AM14" s="4"/>
      <c r="AN14" s="24" t="s">
        <v>114</v>
      </c>
      <c r="AO14" s="25"/>
      <c r="AP14" s="26"/>
      <c r="AQ14" s="38">
        <v>112</v>
      </c>
      <c r="AR14" s="39"/>
      <c r="AS14" s="40"/>
      <c r="AT14" s="4"/>
      <c r="AU14" s="4"/>
      <c r="AV14" s="4"/>
      <c r="AW14" s="4"/>
      <c r="AX14" s="24" t="s">
        <v>127</v>
      </c>
      <c r="AY14" s="25"/>
      <c r="AZ14" s="26"/>
      <c r="BA14" s="38" t="s">
        <v>110</v>
      </c>
      <c r="BB14" s="39"/>
      <c r="BC14" s="40"/>
      <c r="BD14" s="4"/>
      <c r="BE14" s="4"/>
      <c r="BF14" s="4"/>
      <c r="BG14" s="4"/>
      <c r="BH14" s="24" t="s">
        <v>131</v>
      </c>
      <c r="BI14" s="25"/>
      <c r="BJ14" s="26"/>
      <c r="BK14" s="38" t="s">
        <v>110</v>
      </c>
      <c r="BL14" s="39"/>
      <c r="BM14" s="40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855</v>
      </c>
      <c r="H15" s="2"/>
      <c r="I15" s="2"/>
      <c r="J15" s="53" t="s">
        <v>34</v>
      </c>
      <c r="K15" s="54"/>
      <c r="L15" s="54"/>
      <c r="M15" s="54"/>
      <c r="N15" s="55"/>
      <c r="O15" s="56"/>
      <c r="P15" s="4"/>
      <c r="Q15" s="4"/>
      <c r="R15" s="4"/>
      <c r="S15" s="4"/>
      <c r="T15" s="30" t="s">
        <v>189</v>
      </c>
      <c r="U15" s="31"/>
      <c r="V15" s="31"/>
      <c r="W15" s="31"/>
      <c r="X15" s="32"/>
      <c r="Y15" s="33"/>
      <c r="Z15" s="4"/>
      <c r="AA15" s="4"/>
      <c r="AB15" s="4"/>
      <c r="AC15" s="4"/>
      <c r="AD15" s="164" t="s">
        <v>26</v>
      </c>
      <c r="AE15" s="165"/>
      <c r="AF15" s="165"/>
      <c r="AG15" s="165"/>
      <c r="AH15" s="165"/>
      <c r="AI15" s="166"/>
      <c r="AJ15" s="4"/>
      <c r="AK15" s="4"/>
      <c r="AL15" s="4"/>
      <c r="AM15" s="4"/>
      <c r="AN15" s="30" t="s">
        <v>126</v>
      </c>
      <c r="AO15" s="31"/>
      <c r="AP15" s="31"/>
      <c r="AQ15" s="31"/>
      <c r="AR15" s="32"/>
      <c r="AS15" s="33"/>
      <c r="AT15" s="4"/>
      <c r="AU15" s="4"/>
      <c r="AV15" s="4"/>
      <c r="AW15" s="4"/>
      <c r="AX15" s="114" t="s">
        <v>128</v>
      </c>
      <c r="AY15" s="115"/>
      <c r="AZ15" s="115"/>
      <c r="BA15" s="115"/>
      <c r="BB15" s="116"/>
      <c r="BC15" s="117"/>
      <c r="BD15" s="4"/>
      <c r="BE15" s="4"/>
      <c r="BF15" s="4"/>
      <c r="BG15" s="4"/>
      <c r="BH15" s="114" t="s">
        <v>20</v>
      </c>
      <c r="BI15" s="115"/>
      <c r="BJ15" s="115"/>
      <c r="BK15" s="115"/>
      <c r="BL15" s="116"/>
      <c r="BM15" s="117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57">
        <v>3</v>
      </c>
      <c r="K16" s="58"/>
      <c r="L16" s="59">
        <v>5</v>
      </c>
      <c r="M16" s="58"/>
      <c r="N16" s="59">
        <v>180</v>
      </c>
      <c r="O16" s="91"/>
      <c r="P16" s="4"/>
      <c r="Q16" s="4"/>
      <c r="R16" s="4"/>
      <c r="S16" s="4"/>
      <c r="T16" s="34">
        <v>3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3</v>
      </c>
      <c r="AE16" s="35"/>
      <c r="AF16" s="36">
        <v>4</v>
      </c>
      <c r="AG16" s="35"/>
      <c r="AH16" s="36">
        <v>150</v>
      </c>
      <c r="AI16" s="37"/>
      <c r="AJ16" s="4"/>
      <c r="AK16" s="4"/>
      <c r="AL16" s="4"/>
      <c r="AM16" s="4"/>
      <c r="AN16" s="34">
        <v>3</v>
      </c>
      <c r="AO16" s="35"/>
      <c r="AP16" s="36">
        <v>4</v>
      </c>
      <c r="AQ16" s="35"/>
      <c r="AR16" s="36">
        <v>150</v>
      </c>
      <c r="AS16" s="37"/>
      <c r="AT16" s="4"/>
      <c r="AU16" s="4"/>
      <c r="AV16" s="4"/>
      <c r="AW16" s="4"/>
      <c r="AX16" s="110">
        <v>2</v>
      </c>
      <c r="AY16" s="111"/>
      <c r="AZ16" s="108">
        <v>2</v>
      </c>
      <c r="BA16" s="111"/>
      <c r="BB16" s="108">
        <v>90</v>
      </c>
      <c r="BC16" s="109"/>
      <c r="BD16" s="4"/>
      <c r="BE16" s="4"/>
      <c r="BF16" s="4"/>
      <c r="BG16" s="4"/>
      <c r="BH16" s="110">
        <v>2</v>
      </c>
      <c r="BI16" s="111"/>
      <c r="BJ16" s="108">
        <v>2</v>
      </c>
      <c r="BK16" s="111"/>
      <c r="BL16" s="108">
        <v>90</v>
      </c>
      <c r="BM16" s="109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SUM(J16,T16,AD16,AN16,AX16,BH16)</f>
        <v>16</v>
      </c>
      <c r="F17" s="11">
        <f>SUM(L16,V16,AF16,AP16,AZ16,BJ16)</f>
        <v>22</v>
      </c>
      <c r="G17" s="105"/>
      <c r="H17" s="2"/>
      <c r="I17" s="2"/>
      <c r="J17" s="92">
        <v>2</v>
      </c>
      <c r="K17" s="93"/>
      <c r="L17" s="70">
        <v>0</v>
      </c>
      <c r="M17" s="93"/>
      <c r="N17" s="70">
        <v>3</v>
      </c>
      <c r="O17" s="71"/>
      <c r="P17" s="4"/>
      <c r="Q17" s="4"/>
      <c r="R17" s="4"/>
      <c r="S17" s="4"/>
      <c r="T17" s="20">
        <v>2</v>
      </c>
      <c r="U17" s="21"/>
      <c r="V17" s="22">
        <v>2</v>
      </c>
      <c r="W17" s="21"/>
      <c r="X17" s="22">
        <v>1</v>
      </c>
      <c r="Y17" s="23"/>
      <c r="Z17" s="4"/>
      <c r="AA17" s="4"/>
      <c r="AB17" s="4"/>
      <c r="AC17" s="4"/>
      <c r="AD17" s="20">
        <v>2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20">
        <v>3</v>
      </c>
      <c r="AO17" s="21"/>
      <c r="AP17" s="22">
        <v>1</v>
      </c>
      <c r="AQ17" s="21"/>
      <c r="AR17" s="22">
        <v>0</v>
      </c>
      <c r="AS17" s="23"/>
      <c r="AT17" s="4"/>
      <c r="AU17" s="4"/>
      <c r="AV17" s="4"/>
      <c r="AW17" s="4"/>
      <c r="AX17" s="112">
        <v>2</v>
      </c>
      <c r="AY17" s="113"/>
      <c r="AZ17" s="106">
        <v>0</v>
      </c>
      <c r="BA17" s="113"/>
      <c r="BB17" s="106">
        <v>0</v>
      </c>
      <c r="BC17" s="107"/>
      <c r="BD17" s="4"/>
      <c r="BE17" s="4"/>
      <c r="BF17" s="4"/>
      <c r="BG17" s="4"/>
      <c r="BH17" s="112">
        <v>2</v>
      </c>
      <c r="BI17" s="113"/>
      <c r="BJ17" s="106">
        <v>0</v>
      </c>
      <c r="BK17" s="113"/>
      <c r="BL17" s="106">
        <v>0</v>
      </c>
      <c r="BM17" s="107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3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19</v>
      </c>
      <c r="K24" s="25"/>
      <c r="L24" s="26"/>
      <c r="M24" s="38">
        <v>111</v>
      </c>
      <c r="N24" s="102"/>
      <c r="O24" s="103"/>
      <c r="P24" s="4"/>
      <c r="Q24" s="4"/>
      <c r="R24" s="4"/>
      <c r="S24" s="4"/>
      <c r="T24" s="24" t="s">
        <v>19</v>
      </c>
      <c r="U24" s="25"/>
      <c r="V24" s="26"/>
      <c r="W24" s="38">
        <v>131</v>
      </c>
      <c r="X24" s="102"/>
      <c r="Y24" s="103"/>
      <c r="Z24" s="4"/>
      <c r="AA24" s="4"/>
      <c r="AB24" s="4"/>
      <c r="AC24" s="4"/>
      <c r="AD24" s="24" t="s">
        <v>114</v>
      </c>
      <c r="AE24" s="25"/>
      <c r="AF24" s="26"/>
      <c r="AG24" s="38">
        <v>231</v>
      </c>
      <c r="AH24" s="39"/>
      <c r="AI24" s="40"/>
      <c r="AJ24" s="4"/>
      <c r="AK24" s="4"/>
      <c r="AL24" s="4"/>
      <c r="AM24" s="4"/>
      <c r="AN24" s="24" t="s">
        <v>48</v>
      </c>
      <c r="AO24" s="25"/>
      <c r="AP24" s="26"/>
      <c r="AQ24" s="38">
        <v>111</v>
      </c>
      <c r="AR24" s="39"/>
      <c r="AS24" s="40"/>
      <c r="AT24" s="4"/>
      <c r="AU24" s="4"/>
      <c r="AV24" s="4"/>
      <c r="AW24" s="4"/>
      <c r="AX24" s="24" t="s">
        <v>114</v>
      </c>
      <c r="AY24" s="25"/>
      <c r="AZ24" s="26"/>
      <c r="BA24" s="38">
        <v>212</v>
      </c>
      <c r="BB24" s="39"/>
      <c r="BC24" s="40"/>
      <c r="BD24" s="4"/>
      <c r="BE24" s="4"/>
      <c r="BF24" s="4"/>
      <c r="BG24" s="4"/>
      <c r="BH24" s="24" t="s">
        <v>129</v>
      </c>
      <c r="BI24" s="25"/>
      <c r="BJ24" s="26"/>
      <c r="BK24" s="38" t="s">
        <v>110</v>
      </c>
      <c r="BL24" s="39"/>
      <c r="BM24" s="40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48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SUM(N26,X26,AH26,J25,AR26,BB26,BL26)</f>
        <v>990</v>
      </c>
      <c r="H25" s="2"/>
      <c r="I25" s="2"/>
      <c r="J25" s="53" t="s">
        <v>36</v>
      </c>
      <c r="K25" s="54"/>
      <c r="L25" s="54"/>
      <c r="M25" s="54"/>
      <c r="N25" s="55"/>
      <c r="O25" s="56"/>
      <c r="P25" s="4"/>
      <c r="Q25" s="4"/>
      <c r="R25" s="4"/>
      <c r="S25" s="4"/>
      <c r="T25" s="53" t="s">
        <v>37</v>
      </c>
      <c r="U25" s="54"/>
      <c r="V25" s="54"/>
      <c r="W25" s="54"/>
      <c r="X25" s="55"/>
      <c r="Y25" s="56"/>
      <c r="Z25" s="4"/>
      <c r="AA25" s="4"/>
      <c r="AB25" s="4"/>
      <c r="AC25" s="4"/>
      <c r="AD25" s="30" t="s">
        <v>190</v>
      </c>
      <c r="AE25" s="31"/>
      <c r="AF25" s="31"/>
      <c r="AG25" s="31"/>
      <c r="AH25" s="32"/>
      <c r="AI25" s="33"/>
      <c r="AJ25" s="4"/>
      <c r="AK25" s="4"/>
      <c r="AL25" s="4"/>
      <c r="AM25" s="4"/>
      <c r="AN25" s="53" t="s">
        <v>47</v>
      </c>
      <c r="AO25" s="54"/>
      <c r="AP25" s="54"/>
      <c r="AQ25" s="54"/>
      <c r="AR25" s="55"/>
      <c r="AS25" s="56"/>
      <c r="AT25" s="4"/>
      <c r="AU25" s="4"/>
      <c r="AV25" s="4"/>
      <c r="AW25" s="4"/>
      <c r="AX25" s="30" t="s">
        <v>182</v>
      </c>
      <c r="AY25" s="31"/>
      <c r="AZ25" s="31"/>
      <c r="BA25" s="31"/>
      <c r="BB25" s="32"/>
      <c r="BC25" s="33"/>
      <c r="BD25" s="4"/>
      <c r="BE25" s="4"/>
      <c r="BF25" s="4"/>
      <c r="BG25" s="4"/>
      <c r="BH25" s="114" t="s">
        <v>130</v>
      </c>
      <c r="BI25" s="115"/>
      <c r="BJ25" s="115"/>
      <c r="BK25" s="115"/>
      <c r="BL25" s="116"/>
      <c r="BM25" s="117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57">
        <v>3</v>
      </c>
      <c r="K26" s="58"/>
      <c r="L26" s="59">
        <v>5</v>
      </c>
      <c r="M26" s="58"/>
      <c r="N26" s="59">
        <v>180</v>
      </c>
      <c r="O26" s="91"/>
      <c r="P26" s="4"/>
      <c r="Q26" s="4"/>
      <c r="R26" s="4"/>
      <c r="S26" s="4"/>
      <c r="T26" s="57">
        <v>3</v>
      </c>
      <c r="U26" s="58"/>
      <c r="V26" s="59">
        <v>6</v>
      </c>
      <c r="W26" s="58"/>
      <c r="X26" s="59">
        <v>195</v>
      </c>
      <c r="Y26" s="91"/>
      <c r="Z26" s="4"/>
      <c r="AA26" s="4"/>
      <c r="AB26" s="4"/>
      <c r="AC26" s="4"/>
      <c r="AD26" s="34">
        <v>3</v>
      </c>
      <c r="AE26" s="35"/>
      <c r="AF26" s="36">
        <v>5</v>
      </c>
      <c r="AG26" s="35"/>
      <c r="AH26" s="36">
        <v>195</v>
      </c>
      <c r="AI26" s="37"/>
      <c r="AJ26" s="4"/>
      <c r="AK26" s="4"/>
      <c r="AL26" s="4"/>
      <c r="AM26" s="4"/>
      <c r="AN26" s="57">
        <v>3</v>
      </c>
      <c r="AO26" s="58"/>
      <c r="AP26" s="59">
        <v>5</v>
      </c>
      <c r="AQ26" s="58"/>
      <c r="AR26" s="59">
        <v>180</v>
      </c>
      <c r="AS26" s="91"/>
      <c r="AT26" s="4"/>
      <c r="AU26" s="4"/>
      <c r="AV26" s="4"/>
      <c r="AW26" s="4"/>
      <c r="AX26" s="34">
        <v>3</v>
      </c>
      <c r="AY26" s="35"/>
      <c r="AZ26" s="36">
        <v>4</v>
      </c>
      <c r="BA26" s="35"/>
      <c r="BB26" s="36">
        <v>150</v>
      </c>
      <c r="BC26" s="37"/>
      <c r="BD26" s="4"/>
      <c r="BE26" s="4"/>
      <c r="BF26" s="4"/>
      <c r="BG26" s="4"/>
      <c r="BH26" s="110">
        <v>2</v>
      </c>
      <c r="BI26" s="111"/>
      <c r="BJ26" s="108">
        <v>2</v>
      </c>
      <c r="BK26" s="111"/>
      <c r="BL26" s="108">
        <v>90</v>
      </c>
      <c r="BM26" s="109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customHeight="1" thickBot="1" x14ac:dyDescent="0.35">
      <c r="B27" s="118"/>
      <c r="C27" s="1"/>
      <c r="D27" s="119"/>
      <c r="E27" s="11">
        <f>SUM(J26,T26,AD26,AN26,AX26,BH26)</f>
        <v>17</v>
      </c>
      <c r="F27" s="11">
        <f>SUM(L26,V26,AF26,AP26,AZ26,BJ26)</f>
        <v>27</v>
      </c>
      <c r="G27" s="105"/>
      <c r="H27" s="2"/>
      <c r="I27" s="2"/>
      <c r="J27" s="92">
        <v>2</v>
      </c>
      <c r="K27" s="93"/>
      <c r="L27" s="70">
        <v>0</v>
      </c>
      <c r="M27" s="93"/>
      <c r="N27" s="70">
        <v>3</v>
      </c>
      <c r="O27" s="71"/>
      <c r="P27" s="4"/>
      <c r="Q27" s="4"/>
      <c r="R27" s="4"/>
      <c r="S27" s="4"/>
      <c r="T27" s="92">
        <v>2</v>
      </c>
      <c r="U27" s="93"/>
      <c r="V27" s="70">
        <v>2</v>
      </c>
      <c r="W27" s="93"/>
      <c r="X27" s="70">
        <v>2</v>
      </c>
      <c r="Y27" s="71"/>
      <c r="Z27" s="4"/>
      <c r="AA27" s="4"/>
      <c r="AB27" s="4"/>
      <c r="AC27" s="4"/>
      <c r="AD27" s="20">
        <v>2</v>
      </c>
      <c r="AE27" s="21"/>
      <c r="AF27" s="22">
        <v>1</v>
      </c>
      <c r="AG27" s="21"/>
      <c r="AH27" s="22">
        <v>2</v>
      </c>
      <c r="AI27" s="23"/>
      <c r="AJ27" s="4"/>
      <c r="AK27" s="4"/>
      <c r="AL27" s="4"/>
      <c r="AM27" s="4"/>
      <c r="AN27" s="92">
        <v>2</v>
      </c>
      <c r="AO27" s="93"/>
      <c r="AP27" s="70">
        <v>1</v>
      </c>
      <c r="AQ27" s="93"/>
      <c r="AR27" s="70">
        <v>2</v>
      </c>
      <c r="AS27" s="71"/>
      <c r="AT27" s="4"/>
      <c r="AU27" s="4"/>
      <c r="AV27" s="4"/>
      <c r="AW27" s="4"/>
      <c r="AX27" s="20">
        <v>2</v>
      </c>
      <c r="AY27" s="21"/>
      <c r="AZ27" s="22">
        <v>0</v>
      </c>
      <c r="BA27" s="21"/>
      <c r="BB27" s="22">
        <v>2</v>
      </c>
      <c r="BC27" s="23"/>
      <c r="BD27" s="4"/>
      <c r="BE27" s="4"/>
      <c r="BF27" s="4"/>
      <c r="BG27" s="4"/>
      <c r="BH27" s="112">
        <v>2</v>
      </c>
      <c r="BI27" s="113"/>
      <c r="BJ27" s="106">
        <v>0</v>
      </c>
      <c r="BK27" s="113"/>
      <c r="BL27" s="106">
        <v>0</v>
      </c>
      <c r="BM27" s="107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19</v>
      </c>
      <c r="K32" s="25"/>
      <c r="L32" s="26"/>
      <c r="M32" s="27" t="s">
        <v>164</v>
      </c>
      <c r="N32" s="28"/>
      <c r="O32" s="29"/>
      <c r="P32" s="4"/>
      <c r="Q32" s="4"/>
      <c r="R32" s="4"/>
      <c r="S32" s="4"/>
      <c r="T32" s="24" t="s">
        <v>19</v>
      </c>
      <c r="U32" s="25"/>
      <c r="V32" s="26"/>
      <c r="W32" s="38">
        <v>221</v>
      </c>
      <c r="X32" s="102"/>
      <c r="Y32" s="103"/>
      <c r="Z32" s="4"/>
      <c r="AA32" s="4"/>
      <c r="AB32" s="4"/>
      <c r="AC32" s="4"/>
      <c r="AD32" s="24" t="s">
        <v>19</v>
      </c>
      <c r="AE32" s="25"/>
      <c r="AF32" s="26"/>
      <c r="AG32" s="38">
        <v>132</v>
      </c>
      <c r="AH32" s="102"/>
      <c r="AI32" s="103"/>
      <c r="AJ32" s="4"/>
      <c r="AK32" s="4"/>
      <c r="AL32" s="4"/>
      <c r="AM32" s="4"/>
      <c r="AN32" s="24" t="s">
        <v>114</v>
      </c>
      <c r="AO32" s="25"/>
      <c r="AP32" s="26"/>
      <c r="AQ32" s="38">
        <v>312</v>
      </c>
      <c r="AR32" s="39"/>
      <c r="AS32" s="40"/>
      <c r="AT32" s="4"/>
      <c r="AU32" s="4"/>
      <c r="AV32" s="4"/>
      <c r="AW32" s="4"/>
      <c r="AX32" s="24" t="s">
        <v>19</v>
      </c>
      <c r="AY32" s="25"/>
      <c r="AZ32" s="26"/>
      <c r="BA32" s="38">
        <v>191</v>
      </c>
      <c r="BB32" s="102"/>
      <c r="BC32" s="103"/>
      <c r="BD32" s="4"/>
      <c r="BE32" s="4"/>
      <c r="BF32" s="4"/>
      <c r="BG32" s="4"/>
      <c r="BH32" s="24" t="s">
        <v>19</v>
      </c>
      <c r="BI32" s="25"/>
      <c r="BJ32" s="26"/>
      <c r="BK32" s="38">
        <v>251</v>
      </c>
      <c r="BL32" s="102"/>
      <c r="BM32" s="103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900</v>
      </c>
      <c r="H33" s="2"/>
      <c r="I33" s="2"/>
      <c r="J33" s="94" t="s">
        <v>66</v>
      </c>
      <c r="K33" s="95"/>
      <c r="L33" s="95"/>
      <c r="M33" s="95"/>
      <c r="N33" s="96"/>
      <c r="O33" s="97"/>
      <c r="P33" s="4"/>
      <c r="Q33" s="4"/>
      <c r="R33" s="4"/>
      <c r="S33" s="4"/>
      <c r="T33" s="53" t="s">
        <v>43</v>
      </c>
      <c r="U33" s="54"/>
      <c r="V33" s="54"/>
      <c r="W33" s="54"/>
      <c r="X33" s="55"/>
      <c r="Y33" s="56"/>
      <c r="Z33" s="4"/>
      <c r="AA33" s="4"/>
      <c r="AB33" s="4"/>
      <c r="AC33" s="4"/>
      <c r="AD33" s="53" t="s">
        <v>39</v>
      </c>
      <c r="AE33" s="54"/>
      <c r="AF33" s="54"/>
      <c r="AG33" s="54"/>
      <c r="AH33" s="55"/>
      <c r="AI33" s="56"/>
      <c r="AJ33" s="4"/>
      <c r="AK33" s="4"/>
      <c r="AL33" s="4"/>
      <c r="AM33" s="4"/>
      <c r="AN33" s="30" t="s">
        <v>250</v>
      </c>
      <c r="AO33" s="31"/>
      <c r="AP33" s="31"/>
      <c r="AQ33" s="31"/>
      <c r="AR33" s="32"/>
      <c r="AS33" s="33"/>
      <c r="AT33" s="4"/>
      <c r="AU33" s="4"/>
      <c r="AV33" s="4"/>
      <c r="AW33" s="4"/>
      <c r="AX33" s="41" t="s">
        <v>183</v>
      </c>
      <c r="AY33" s="42"/>
      <c r="AZ33" s="42"/>
      <c r="BA33" s="42"/>
      <c r="BB33" s="43"/>
      <c r="BC33" s="44"/>
      <c r="BD33" s="4"/>
      <c r="BE33" s="4"/>
      <c r="BF33" s="4"/>
      <c r="BG33" s="4"/>
      <c r="BH33" s="53" t="s">
        <v>67</v>
      </c>
      <c r="BI33" s="54"/>
      <c r="BJ33" s="54"/>
      <c r="BK33" s="54"/>
      <c r="BL33" s="55"/>
      <c r="BM33" s="56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98">
        <v>3</v>
      </c>
      <c r="K34" s="99"/>
      <c r="L34" s="100">
        <v>5</v>
      </c>
      <c r="M34" s="99"/>
      <c r="N34" s="100">
        <v>165</v>
      </c>
      <c r="O34" s="101"/>
      <c r="P34" s="4"/>
      <c r="Q34" s="4"/>
      <c r="R34" s="4"/>
      <c r="S34" s="4"/>
      <c r="T34" s="57">
        <v>3</v>
      </c>
      <c r="U34" s="58"/>
      <c r="V34" s="59">
        <v>5</v>
      </c>
      <c r="W34" s="58"/>
      <c r="X34" s="59">
        <v>180</v>
      </c>
      <c r="Y34" s="91"/>
      <c r="Z34" s="4"/>
      <c r="AA34" s="4"/>
      <c r="AB34" s="4"/>
      <c r="AC34" s="4"/>
      <c r="AD34" s="57">
        <v>3</v>
      </c>
      <c r="AE34" s="58"/>
      <c r="AF34" s="59">
        <v>5</v>
      </c>
      <c r="AG34" s="58"/>
      <c r="AH34" s="59">
        <v>165</v>
      </c>
      <c r="AI34" s="91"/>
      <c r="AJ34" s="4"/>
      <c r="AK34" s="4"/>
      <c r="AL34" s="4"/>
      <c r="AM34" s="4"/>
      <c r="AN34" s="34">
        <v>3</v>
      </c>
      <c r="AO34" s="35"/>
      <c r="AP34" s="36">
        <v>4</v>
      </c>
      <c r="AQ34" s="35"/>
      <c r="AR34" s="36">
        <v>150</v>
      </c>
      <c r="AS34" s="37"/>
      <c r="AT34" s="4"/>
      <c r="AU34" s="4"/>
      <c r="AV34" s="4"/>
      <c r="AW34" s="4"/>
      <c r="AX34" s="45">
        <v>2</v>
      </c>
      <c r="AY34" s="46"/>
      <c r="AZ34" s="47">
        <v>2</v>
      </c>
      <c r="BA34" s="46"/>
      <c r="BB34" s="47">
        <v>60</v>
      </c>
      <c r="BC34" s="48"/>
      <c r="BD34" s="4"/>
      <c r="BE34" s="4"/>
      <c r="BF34" s="4"/>
      <c r="BG34" s="4"/>
      <c r="BH34" s="57">
        <v>3</v>
      </c>
      <c r="BI34" s="58"/>
      <c r="BJ34" s="59">
        <v>5</v>
      </c>
      <c r="BK34" s="58"/>
      <c r="BL34" s="59">
        <v>180</v>
      </c>
      <c r="BM34" s="91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SUM(J34,T34,AD34,AN34,AX34,BH34)</f>
        <v>17</v>
      </c>
      <c r="F35" s="11">
        <f>L34+V34+AF34+AP34+AZ34+BJ34</f>
        <v>26</v>
      </c>
      <c r="G35" s="105"/>
      <c r="H35" s="2"/>
      <c r="I35" s="2"/>
      <c r="J35" s="72">
        <v>2</v>
      </c>
      <c r="K35" s="73"/>
      <c r="L35" s="68">
        <v>1</v>
      </c>
      <c r="M35" s="73"/>
      <c r="N35" s="68">
        <v>2</v>
      </c>
      <c r="O35" s="69"/>
      <c r="P35" s="4"/>
      <c r="Q35" s="4"/>
      <c r="R35" s="4"/>
      <c r="S35" s="4"/>
      <c r="T35" s="92">
        <v>2</v>
      </c>
      <c r="U35" s="93"/>
      <c r="V35" s="70">
        <v>1</v>
      </c>
      <c r="W35" s="93"/>
      <c r="X35" s="70">
        <v>2</v>
      </c>
      <c r="Y35" s="71"/>
      <c r="Z35" s="4"/>
      <c r="AA35" s="4"/>
      <c r="AB35" s="4"/>
      <c r="AC35" s="4"/>
      <c r="AD35" s="92">
        <v>2</v>
      </c>
      <c r="AE35" s="93"/>
      <c r="AF35" s="70">
        <v>1</v>
      </c>
      <c r="AG35" s="93"/>
      <c r="AH35" s="70">
        <v>2</v>
      </c>
      <c r="AI35" s="71"/>
      <c r="AJ35" s="4"/>
      <c r="AK35" s="4"/>
      <c r="AL35" s="4"/>
      <c r="AM35" s="4"/>
      <c r="AN35" s="20">
        <v>2</v>
      </c>
      <c r="AO35" s="21"/>
      <c r="AP35" s="22">
        <v>2</v>
      </c>
      <c r="AQ35" s="21"/>
      <c r="AR35" s="22">
        <v>0</v>
      </c>
      <c r="AS35" s="23"/>
      <c r="AT35" s="4"/>
      <c r="AU35" s="4"/>
      <c r="AV35" s="4"/>
      <c r="AW35" s="4"/>
      <c r="AX35" s="49">
        <v>2</v>
      </c>
      <c r="AY35" s="50"/>
      <c r="AZ35" s="51">
        <v>0</v>
      </c>
      <c r="BA35" s="50"/>
      <c r="BB35" s="51">
        <v>0</v>
      </c>
      <c r="BC35" s="52"/>
      <c r="BD35" s="4"/>
      <c r="BE35" s="4"/>
      <c r="BF35" s="4"/>
      <c r="BG35" s="4"/>
      <c r="BH35" s="92">
        <v>2</v>
      </c>
      <c r="BI35" s="93"/>
      <c r="BJ35" s="70">
        <v>1</v>
      </c>
      <c r="BK35" s="93"/>
      <c r="BL35" s="70">
        <v>2</v>
      </c>
      <c r="BM35" s="71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2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19</v>
      </c>
      <c r="K42" s="25"/>
      <c r="L42" s="26"/>
      <c r="M42" s="38">
        <v>261</v>
      </c>
      <c r="N42" s="102"/>
      <c r="O42" s="103"/>
      <c r="P42" s="4"/>
      <c r="Q42" s="4"/>
      <c r="R42" s="4"/>
      <c r="S42" s="4"/>
      <c r="T42" s="24" t="s">
        <v>136</v>
      </c>
      <c r="U42" s="25"/>
      <c r="V42" s="26"/>
      <c r="W42" s="38" t="s">
        <v>111</v>
      </c>
      <c r="X42" s="39"/>
      <c r="Y42" s="40"/>
      <c r="Z42" s="4"/>
      <c r="AA42" s="4"/>
      <c r="AB42" s="4"/>
      <c r="AC42" s="4"/>
      <c r="AD42" s="24" t="s">
        <v>48</v>
      </c>
      <c r="AE42" s="25"/>
      <c r="AF42" s="26"/>
      <c r="AG42" s="38">
        <v>121</v>
      </c>
      <c r="AH42" s="39"/>
      <c r="AI42" s="40"/>
      <c r="AJ42" s="4"/>
      <c r="AK42" s="4"/>
      <c r="AL42" s="4"/>
      <c r="AM42" s="4"/>
      <c r="AN42" s="24" t="s">
        <v>19</v>
      </c>
      <c r="AO42" s="25"/>
      <c r="AP42" s="26"/>
      <c r="AQ42" s="38">
        <v>251</v>
      </c>
      <c r="AR42" s="102"/>
      <c r="AS42" s="103"/>
      <c r="AT42" s="4"/>
      <c r="AU42" s="4"/>
      <c r="AV42" s="4"/>
      <c r="AW42" s="4"/>
      <c r="AX42" s="24" t="s">
        <v>19</v>
      </c>
      <c r="AY42" s="25"/>
      <c r="AZ42" s="26"/>
      <c r="BA42" s="38">
        <v>233</v>
      </c>
      <c r="BB42" s="102"/>
      <c r="BC42" s="103"/>
      <c r="BD42" s="4"/>
      <c r="BE42" s="4"/>
      <c r="BF42" s="4"/>
      <c r="BG42" s="4"/>
      <c r="BH42" s="24" t="s">
        <v>133</v>
      </c>
      <c r="BI42" s="25"/>
      <c r="BJ42" s="26"/>
      <c r="BK42" s="38" t="s">
        <v>110</v>
      </c>
      <c r="BL42" s="39"/>
      <c r="BM42" s="40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945</v>
      </c>
      <c r="H43" s="2"/>
      <c r="I43" s="2"/>
      <c r="J43" s="53" t="s">
        <v>41</v>
      </c>
      <c r="K43" s="54"/>
      <c r="L43" s="54"/>
      <c r="M43" s="54"/>
      <c r="N43" s="55"/>
      <c r="O43" s="56"/>
      <c r="P43" s="4"/>
      <c r="Q43" s="4"/>
      <c r="R43" s="4"/>
      <c r="S43" s="4"/>
      <c r="T43" s="76" t="s">
        <v>138</v>
      </c>
      <c r="U43" s="77"/>
      <c r="V43" s="77"/>
      <c r="W43" s="77"/>
      <c r="X43" s="77"/>
      <c r="Y43" s="78"/>
      <c r="Z43" s="4"/>
      <c r="AA43" s="4"/>
      <c r="AB43" s="4"/>
      <c r="AC43" s="4"/>
      <c r="AD43" s="53" t="s">
        <v>49</v>
      </c>
      <c r="AE43" s="54"/>
      <c r="AF43" s="54"/>
      <c r="AG43" s="54"/>
      <c r="AH43" s="55"/>
      <c r="AI43" s="56"/>
      <c r="AJ43" s="4"/>
      <c r="AK43" s="4"/>
      <c r="AL43" s="4"/>
      <c r="AM43" s="4"/>
      <c r="AN43" s="94" t="s">
        <v>187</v>
      </c>
      <c r="AO43" s="95"/>
      <c r="AP43" s="95"/>
      <c r="AQ43" s="95"/>
      <c r="AR43" s="96"/>
      <c r="AS43" s="97"/>
      <c r="AT43" s="4"/>
      <c r="AU43" s="4"/>
      <c r="AV43" s="4"/>
      <c r="AW43" s="4"/>
      <c r="AX43" s="53" t="s">
        <v>40</v>
      </c>
      <c r="AY43" s="54"/>
      <c r="AZ43" s="54"/>
      <c r="BA43" s="54"/>
      <c r="BB43" s="55"/>
      <c r="BC43" s="56"/>
      <c r="BD43" s="4"/>
      <c r="BE43" s="4"/>
      <c r="BF43" s="4"/>
      <c r="BG43" s="4"/>
      <c r="BH43" s="114" t="s">
        <v>132</v>
      </c>
      <c r="BI43" s="115"/>
      <c r="BJ43" s="115"/>
      <c r="BK43" s="115"/>
      <c r="BL43" s="116"/>
      <c r="BM43" s="117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57">
        <v>3</v>
      </c>
      <c r="K44" s="58"/>
      <c r="L44" s="59">
        <v>5</v>
      </c>
      <c r="M44" s="58"/>
      <c r="N44" s="59">
        <v>165</v>
      </c>
      <c r="O44" s="91"/>
      <c r="P44" s="4"/>
      <c r="Q44" s="4"/>
      <c r="R44" s="4"/>
      <c r="S44" s="4"/>
      <c r="T44" s="79">
        <v>3</v>
      </c>
      <c r="U44" s="80"/>
      <c r="V44" s="81">
        <v>5</v>
      </c>
      <c r="W44" s="80"/>
      <c r="X44" s="81">
        <v>180</v>
      </c>
      <c r="Y44" s="82"/>
      <c r="Z44" s="4"/>
      <c r="AA44" s="4"/>
      <c r="AB44" s="4"/>
      <c r="AC44" s="4"/>
      <c r="AD44" s="57">
        <v>3</v>
      </c>
      <c r="AE44" s="58"/>
      <c r="AF44" s="59">
        <v>5</v>
      </c>
      <c r="AG44" s="58"/>
      <c r="AH44" s="59">
        <v>180</v>
      </c>
      <c r="AI44" s="91"/>
      <c r="AJ44" s="4"/>
      <c r="AK44" s="4"/>
      <c r="AL44" s="4"/>
      <c r="AM44" s="4"/>
      <c r="AN44" s="98">
        <v>3</v>
      </c>
      <c r="AO44" s="99"/>
      <c r="AP44" s="100">
        <v>5</v>
      </c>
      <c r="AQ44" s="99"/>
      <c r="AR44" s="100">
        <v>165</v>
      </c>
      <c r="AS44" s="101"/>
      <c r="AT44" s="4"/>
      <c r="AU44" s="4"/>
      <c r="AV44" s="4"/>
      <c r="AW44" s="4"/>
      <c r="AX44" s="57">
        <v>3</v>
      </c>
      <c r="AY44" s="58"/>
      <c r="AZ44" s="59">
        <v>5</v>
      </c>
      <c r="BA44" s="58"/>
      <c r="BB44" s="59">
        <v>165</v>
      </c>
      <c r="BC44" s="91"/>
      <c r="BD44" s="4"/>
      <c r="BE44" s="4"/>
      <c r="BF44" s="4"/>
      <c r="BG44" s="4"/>
      <c r="BH44" s="110">
        <v>2</v>
      </c>
      <c r="BI44" s="111"/>
      <c r="BJ44" s="108">
        <v>2</v>
      </c>
      <c r="BK44" s="111"/>
      <c r="BL44" s="108">
        <v>90</v>
      </c>
      <c r="BM44" s="109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17</v>
      </c>
      <c r="F45" s="11">
        <f>SUM(L44,V44,AF44,AP44,AZ44,BJ44)</f>
        <v>27</v>
      </c>
      <c r="G45" s="105"/>
      <c r="H45" s="2"/>
      <c r="I45" s="2"/>
      <c r="J45" s="92">
        <v>2</v>
      </c>
      <c r="K45" s="93"/>
      <c r="L45" s="70">
        <v>1</v>
      </c>
      <c r="M45" s="93"/>
      <c r="N45" s="70">
        <v>2</v>
      </c>
      <c r="O45" s="71"/>
      <c r="P45" s="4"/>
      <c r="Q45" s="4"/>
      <c r="R45" s="4"/>
      <c r="S45" s="4"/>
      <c r="T45" s="83">
        <v>2</v>
      </c>
      <c r="U45" s="84"/>
      <c r="V45" s="85">
        <v>1</v>
      </c>
      <c r="W45" s="84"/>
      <c r="X45" s="85">
        <v>2</v>
      </c>
      <c r="Y45" s="86"/>
      <c r="Z45" s="4"/>
      <c r="AA45" s="4"/>
      <c r="AB45" s="4"/>
      <c r="AC45" s="4"/>
      <c r="AD45" s="92">
        <v>2</v>
      </c>
      <c r="AE45" s="93"/>
      <c r="AF45" s="70">
        <v>1</v>
      </c>
      <c r="AG45" s="93"/>
      <c r="AH45" s="70">
        <v>2</v>
      </c>
      <c r="AI45" s="71"/>
      <c r="AJ45" s="4"/>
      <c r="AK45" s="4"/>
      <c r="AL45" s="4"/>
      <c r="AM45" s="4"/>
      <c r="AN45" s="72">
        <v>2</v>
      </c>
      <c r="AO45" s="73"/>
      <c r="AP45" s="68">
        <v>1</v>
      </c>
      <c r="AQ45" s="73"/>
      <c r="AR45" s="68">
        <v>2</v>
      </c>
      <c r="AS45" s="69"/>
      <c r="AT45" s="4"/>
      <c r="AU45" s="4"/>
      <c r="AV45" s="4"/>
      <c r="AW45" s="4"/>
      <c r="AX45" s="92">
        <v>2</v>
      </c>
      <c r="AY45" s="93"/>
      <c r="AZ45" s="70">
        <v>1</v>
      </c>
      <c r="BA45" s="93"/>
      <c r="BB45" s="70">
        <v>2</v>
      </c>
      <c r="BC45" s="71"/>
      <c r="BD45" s="4"/>
      <c r="BE45" s="4"/>
      <c r="BF45" s="4"/>
      <c r="BG45" s="4"/>
      <c r="BH45" s="112">
        <v>2</v>
      </c>
      <c r="BI45" s="113"/>
      <c r="BJ45" s="106">
        <v>0</v>
      </c>
      <c r="BK45" s="113"/>
      <c r="BL45" s="106">
        <v>0</v>
      </c>
      <c r="BM45" s="107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19</v>
      </c>
      <c r="K50" s="25"/>
      <c r="L50" s="26"/>
      <c r="M50" s="38">
        <v>112</v>
      </c>
      <c r="N50" s="102"/>
      <c r="O50" s="103"/>
      <c r="P50" s="4"/>
      <c r="Q50" s="4"/>
      <c r="R50" s="4"/>
      <c r="S50" s="4"/>
      <c r="T50" s="24" t="s">
        <v>19</v>
      </c>
      <c r="U50" s="25"/>
      <c r="V50" s="26"/>
      <c r="W50" s="38">
        <v>292</v>
      </c>
      <c r="X50" s="39"/>
      <c r="Y50" s="40"/>
      <c r="Z50" s="4"/>
      <c r="AA50" s="4"/>
      <c r="AB50" s="4"/>
      <c r="AC50" s="4"/>
      <c r="AD50" s="24" t="s">
        <v>19</v>
      </c>
      <c r="AE50" s="25"/>
      <c r="AF50" s="26"/>
      <c r="AG50" s="38">
        <v>241</v>
      </c>
      <c r="AH50" s="39"/>
      <c r="AI50" s="40"/>
      <c r="AJ50" s="4"/>
      <c r="AK50" s="4"/>
      <c r="AL50" s="4"/>
      <c r="AM50" s="4"/>
      <c r="AN50" s="24" t="s">
        <v>137</v>
      </c>
      <c r="AO50" s="25"/>
      <c r="AP50" s="26"/>
      <c r="AQ50" s="38" t="s">
        <v>112</v>
      </c>
      <c r="AR50" s="39"/>
      <c r="AS50" s="40"/>
      <c r="AT50" s="4"/>
      <c r="AU50" s="4"/>
      <c r="AV50" s="4"/>
      <c r="AW50" s="4"/>
      <c r="AX50" s="24" t="s">
        <v>19</v>
      </c>
      <c r="AY50" s="25"/>
      <c r="AZ50" s="26"/>
      <c r="BA50" s="38">
        <v>323</v>
      </c>
      <c r="BB50" s="39"/>
      <c r="BC50" s="40"/>
      <c r="BD50" s="4"/>
      <c r="BE50" s="4"/>
      <c r="BF50" s="4"/>
      <c r="BG50" s="4"/>
      <c r="BH50" s="24" t="s">
        <v>135</v>
      </c>
      <c r="BI50" s="25"/>
      <c r="BJ50" s="26"/>
      <c r="BK50" s="38" t="s">
        <v>111</v>
      </c>
      <c r="BL50" s="39"/>
      <c r="BM50" s="40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SUM(N52,X52,AH52,AR52,BB52,BL52)</f>
        <v>885</v>
      </c>
      <c r="H51" s="2"/>
      <c r="I51" s="2"/>
      <c r="J51" s="53" t="s">
        <v>38</v>
      </c>
      <c r="K51" s="54"/>
      <c r="L51" s="54"/>
      <c r="M51" s="54"/>
      <c r="N51" s="55"/>
      <c r="O51" s="56"/>
      <c r="P51" s="4"/>
      <c r="Q51" s="4"/>
      <c r="R51" s="4"/>
      <c r="S51" s="4"/>
      <c r="T51" s="41" t="s">
        <v>185</v>
      </c>
      <c r="U51" s="42"/>
      <c r="V51" s="42"/>
      <c r="W51" s="42"/>
      <c r="X51" s="43"/>
      <c r="Y51" s="44"/>
      <c r="Z51" s="4"/>
      <c r="AA51" s="4"/>
      <c r="AB51" s="4"/>
      <c r="AC51" s="4"/>
      <c r="AD51" s="94" t="s">
        <v>78</v>
      </c>
      <c r="AE51" s="95"/>
      <c r="AF51" s="95"/>
      <c r="AG51" s="95"/>
      <c r="AH51" s="96"/>
      <c r="AI51" s="97"/>
      <c r="AJ51" s="4"/>
      <c r="AK51" s="4"/>
      <c r="AL51" s="4"/>
      <c r="AM51" s="4"/>
      <c r="AN51" s="76" t="s">
        <v>139</v>
      </c>
      <c r="AO51" s="77"/>
      <c r="AP51" s="77"/>
      <c r="AQ51" s="77"/>
      <c r="AR51" s="77"/>
      <c r="AS51" s="78"/>
      <c r="AT51" s="4"/>
      <c r="AU51" s="4"/>
      <c r="AV51" s="4"/>
      <c r="AW51" s="4"/>
      <c r="AX51" s="94" t="s">
        <v>251</v>
      </c>
      <c r="AY51" s="95"/>
      <c r="AZ51" s="95"/>
      <c r="BA51" s="95"/>
      <c r="BB51" s="96"/>
      <c r="BC51" s="97"/>
      <c r="BD51" s="4"/>
      <c r="BE51" s="4"/>
      <c r="BF51" s="4"/>
      <c r="BG51" s="4"/>
      <c r="BH51" s="114" t="s">
        <v>134</v>
      </c>
      <c r="BI51" s="115"/>
      <c r="BJ51" s="115"/>
      <c r="BK51" s="115"/>
      <c r="BL51" s="116"/>
      <c r="BM51" s="117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57">
        <v>4</v>
      </c>
      <c r="K52" s="58"/>
      <c r="L52" s="59">
        <v>6</v>
      </c>
      <c r="M52" s="58"/>
      <c r="N52" s="59">
        <v>195</v>
      </c>
      <c r="O52" s="91"/>
      <c r="P52" s="4"/>
      <c r="Q52" s="4"/>
      <c r="R52" s="4"/>
      <c r="S52" s="4"/>
      <c r="T52" s="45">
        <v>2</v>
      </c>
      <c r="U52" s="46"/>
      <c r="V52" s="47">
        <v>2</v>
      </c>
      <c r="W52" s="46"/>
      <c r="X52" s="47">
        <v>60</v>
      </c>
      <c r="Y52" s="48"/>
      <c r="Z52" s="4"/>
      <c r="AA52" s="4"/>
      <c r="AB52" s="4"/>
      <c r="AC52" s="4"/>
      <c r="AD52" s="98">
        <v>3</v>
      </c>
      <c r="AE52" s="99"/>
      <c r="AF52" s="100">
        <v>5</v>
      </c>
      <c r="AG52" s="99"/>
      <c r="AH52" s="100">
        <v>180</v>
      </c>
      <c r="AI52" s="101"/>
      <c r="AJ52" s="4"/>
      <c r="AK52" s="4"/>
      <c r="AL52" s="4"/>
      <c r="AM52" s="4"/>
      <c r="AN52" s="79">
        <v>3</v>
      </c>
      <c r="AO52" s="80"/>
      <c r="AP52" s="81">
        <v>5</v>
      </c>
      <c r="AQ52" s="80"/>
      <c r="AR52" s="81">
        <v>180</v>
      </c>
      <c r="AS52" s="82"/>
      <c r="AT52" s="4"/>
      <c r="AU52" s="4"/>
      <c r="AV52" s="4"/>
      <c r="AW52" s="4"/>
      <c r="AX52" s="98">
        <v>3</v>
      </c>
      <c r="AY52" s="99"/>
      <c r="AZ52" s="100">
        <v>5</v>
      </c>
      <c r="BA52" s="99"/>
      <c r="BB52" s="100">
        <v>180</v>
      </c>
      <c r="BC52" s="101"/>
      <c r="BD52" s="4"/>
      <c r="BE52" s="4"/>
      <c r="BF52" s="4"/>
      <c r="BG52" s="4"/>
      <c r="BH52" s="110">
        <v>2</v>
      </c>
      <c r="BI52" s="111"/>
      <c r="BJ52" s="108">
        <v>2</v>
      </c>
      <c r="BK52" s="111"/>
      <c r="BL52" s="108">
        <v>90</v>
      </c>
      <c r="BM52" s="109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J52+T52+AD52+AN52+AX52+BH52</f>
        <v>17</v>
      </c>
      <c r="F53" s="11">
        <f>L52+V52+AF52+AP52+AZ52+BJ52</f>
        <v>25</v>
      </c>
      <c r="G53" s="105"/>
      <c r="H53" s="2"/>
      <c r="I53" s="2"/>
      <c r="J53" s="92">
        <v>3</v>
      </c>
      <c r="K53" s="93"/>
      <c r="L53" s="70">
        <v>3</v>
      </c>
      <c r="M53" s="93"/>
      <c r="N53" s="70">
        <v>0</v>
      </c>
      <c r="O53" s="71"/>
      <c r="P53" s="4"/>
      <c r="Q53" s="4"/>
      <c r="R53" s="4"/>
      <c r="S53" s="4"/>
      <c r="T53" s="49">
        <v>2</v>
      </c>
      <c r="U53" s="50"/>
      <c r="V53" s="51">
        <v>0</v>
      </c>
      <c r="W53" s="50"/>
      <c r="X53" s="51">
        <v>0</v>
      </c>
      <c r="Y53" s="52"/>
      <c r="Z53" s="4"/>
      <c r="AA53" s="4"/>
      <c r="AB53" s="4"/>
      <c r="AC53" s="4"/>
      <c r="AD53" s="72">
        <v>2</v>
      </c>
      <c r="AE53" s="73"/>
      <c r="AF53" s="68">
        <v>1</v>
      </c>
      <c r="AG53" s="73"/>
      <c r="AH53" s="68">
        <v>2</v>
      </c>
      <c r="AI53" s="69"/>
      <c r="AJ53" s="4"/>
      <c r="AK53" s="4"/>
      <c r="AL53" s="4"/>
      <c r="AM53" s="4"/>
      <c r="AN53" s="83">
        <v>2</v>
      </c>
      <c r="AO53" s="84"/>
      <c r="AP53" s="85">
        <v>1</v>
      </c>
      <c r="AQ53" s="84"/>
      <c r="AR53" s="85">
        <v>2</v>
      </c>
      <c r="AS53" s="86"/>
      <c r="AT53" s="4"/>
      <c r="AU53" s="4"/>
      <c r="AV53" s="4"/>
      <c r="AW53" s="4"/>
      <c r="AX53" s="72">
        <v>2</v>
      </c>
      <c r="AY53" s="73"/>
      <c r="AZ53" s="68">
        <v>1</v>
      </c>
      <c r="BA53" s="73"/>
      <c r="BB53" s="68">
        <v>2</v>
      </c>
      <c r="BC53" s="69"/>
      <c r="BD53" s="4"/>
      <c r="BE53" s="4"/>
      <c r="BF53" s="4"/>
      <c r="BG53" s="4"/>
      <c r="BH53" s="112">
        <v>2</v>
      </c>
      <c r="BI53" s="113"/>
      <c r="BJ53" s="106">
        <v>0</v>
      </c>
      <c r="BK53" s="113"/>
      <c r="BL53" s="106">
        <v>0</v>
      </c>
      <c r="BM53" s="107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1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19</v>
      </c>
      <c r="K60" s="25"/>
      <c r="L60" s="26"/>
      <c r="M60" s="38">
        <v>363</v>
      </c>
      <c r="N60" s="39"/>
      <c r="O60" s="40"/>
      <c r="P60" s="14"/>
      <c r="Q60" s="14"/>
      <c r="R60" s="14"/>
      <c r="S60" s="14"/>
      <c r="T60" s="24" t="s">
        <v>19</v>
      </c>
      <c r="U60" s="25"/>
      <c r="V60" s="26"/>
      <c r="W60" s="38">
        <v>454</v>
      </c>
      <c r="X60" s="39"/>
      <c r="Y60" s="40"/>
      <c r="Z60" s="14"/>
      <c r="AA60" s="14"/>
      <c r="AB60" s="14"/>
      <c r="AC60" s="14"/>
      <c r="AD60" s="24" t="s">
        <v>19</v>
      </c>
      <c r="AE60" s="25"/>
      <c r="AF60" s="26"/>
      <c r="AG60" s="38">
        <v>493</v>
      </c>
      <c r="AH60" s="39"/>
      <c r="AI60" s="40"/>
      <c r="AJ60" s="14"/>
      <c r="AK60" s="14"/>
      <c r="AL60" s="14"/>
      <c r="AM60" s="14"/>
      <c r="AN60" s="24" t="s">
        <v>48</v>
      </c>
      <c r="AO60" s="25"/>
      <c r="AP60" s="26"/>
      <c r="AQ60" s="38">
        <v>323</v>
      </c>
      <c r="AR60" s="39"/>
      <c r="AS60" s="40"/>
      <c r="AT60" s="14"/>
      <c r="AU60" s="14"/>
      <c r="AV60" s="14"/>
      <c r="AW60" s="14"/>
      <c r="AX60" s="24" t="s">
        <v>141</v>
      </c>
      <c r="AY60" s="25"/>
      <c r="AZ60" s="26"/>
      <c r="BA60" s="38" t="s">
        <v>111</v>
      </c>
      <c r="BB60" s="39"/>
      <c r="BC60" s="40"/>
      <c r="BD60" s="14"/>
      <c r="BE60" s="14"/>
      <c r="BF60" s="14"/>
      <c r="BG60" s="14"/>
      <c r="BH60" s="24" t="s">
        <v>252</v>
      </c>
      <c r="BI60" s="25"/>
      <c r="BJ60" s="26"/>
      <c r="BK60" s="38" t="s">
        <v>112</v>
      </c>
      <c r="BL60" s="39"/>
      <c r="BM60" s="40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990</v>
      </c>
      <c r="H61" s="2"/>
      <c r="I61" s="2"/>
      <c r="J61" s="94" t="s">
        <v>72</v>
      </c>
      <c r="K61" s="95"/>
      <c r="L61" s="95"/>
      <c r="M61" s="95"/>
      <c r="N61" s="96"/>
      <c r="O61" s="97"/>
      <c r="P61" s="4"/>
      <c r="Q61" s="4"/>
      <c r="R61" s="4"/>
      <c r="S61" s="4"/>
      <c r="T61" s="94" t="s">
        <v>191</v>
      </c>
      <c r="U61" s="95"/>
      <c r="V61" s="95"/>
      <c r="W61" s="95"/>
      <c r="X61" s="96"/>
      <c r="Y61" s="97"/>
      <c r="Z61" s="4"/>
      <c r="AA61" s="4"/>
      <c r="AB61" s="4"/>
      <c r="AC61" s="4"/>
      <c r="AD61" s="41" t="s">
        <v>63</v>
      </c>
      <c r="AE61" s="42"/>
      <c r="AF61" s="42"/>
      <c r="AG61" s="42"/>
      <c r="AH61" s="43"/>
      <c r="AI61" s="44"/>
      <c r="AJ61" s="4"/>
      <c r="AK61" s="4"/>
      <c r="AL61" s="4"/>
      <c r="AM61" s="4"/>
      <c r="AN61" s="94" t="s">
        <v>57</v>
      </c>
      <c r="AO61" s="95"/>
      <c r="AP61" s="95"/>
      <c r="AQ61" s="95"/>
      <c r="AR61" s="96"/>
      <c r="AS61" s="97"/>
      <c r="AT61" s="4"/>
      <c r="AU61" s="4"/>
      <c r="AV61" s="4"/>
      <c r="AW61" s="4"/>
      <c r="AX61" s="114" t="s">
        <v>142</v>
      </c>
      <c r="AY61" s="115"/>
      <c r="AZ61" s="115"/>
      <c r="BA61" s="115"/>
      <c r="BB61" s="116"/>
      <c r="BC61" s="117"/>
      <c r="BD61" s="4"/>
      <c r="BE61" s="4"/>
      <c r="BF61" s="4"/>
      <c r="BG61" s="4"/>
      <c r="BH61" s="76" t="s">
        <v>140</v>
      </c>
      <c r="BI61" s="77"/>
      <c r="BJ61" s="77"/>
      <c r="BK61" s="77"/>
      <c r="BL61" s="77"/>
      <c r="BM61" s="78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98">
        <v>3</v>
      </c>
      <c r="K62" s="99"/>
      <c r="L62" s="100">
        <v>5</v>
      </c>
      <c r="M62" s="99"/>
      <c r="N62" s="100">
        <v>180</v>
      </c>
      <c r="O62" s="101"/>
      <c r="P62" s="4"/>
      <c r="Q62" s="4"/>
      <c r="R62" s="4"/>
      <c r="S62" s="4"/>
      <c r="T62" s="98">
        <v>3</v>
      </c>
      <c r="U62" s="99"/>
      <c r="V62" s="100">
        <v>5</v>
      </c>
      <c r="W62" s="99"/>
      <c r="X62" s="100">
        <v>180</v>
      </c>
      <c r="Y62" s="101"/>
      <c r="Z62" s="4"/>
      <c r="AA62" s="4"/>
      <c r="AB62" s="4"/>
      <c r="AC62" s="4"/>
      <c r="AD62" s="45">
        <v>3</v>
      </c>
      <c r="AE62" s="46"/>
      <c r="AF62" s="47">
        <v>5</v>
      </c>
      <c r="AG62" s="46"/>
      <c r="AH62" s="47">
        <v>180</v>
      </c>
      <c r="AI62" s="48"/>
      <c r="AJ62" s="4"/>
      <c r="AK62" s="4"/>
      <c r="AL62" s="4"/>
      <c r="AM62" s="4"/>
      <c r="AN62" s="98">
        <v>3</v>
      </c>
      <c r="AO62" s="99"/>
      <c r="AP62" s="100">
        <v>5</v>
      </c>
      <c r="AQ62" s="99"/>
      <c r="AR62" s="100">
        <v>180</v>
      </c>
      <c r="AS62" s="101"/>
      <c r="AT62" s="4"/>
      <c r="AU62" s="4"/>
      <c r="AV62" s="4"/>
      <c r="AW62" s="4"/>
      <c r="AX62" s="110">
        <v>2</v>
      </c>
      <c r="AY62" s="111"/>
      <c r="AZ62" s="108">
        <v>2</v>
      </c>
      <c r="BA62" s="111"/>
      <c r="BB62" s="108">
        <v>90</v>
      </c>
      <c r="BC62" s="109"/>
      <c r="BD62" s="4"/>
      <c r="BE62" s="4"/>
      <c r="BF62" s="4"/>
      <c r="BG62" s="4"/>
      <c r="BH62" s="79">
        <v>3</v>
      </c>
      <c r="BI62" s="80"/>
      <c r="BJ62" s="81">
        <v>5</v>
      </c>
      <c r="BK62" s="80"/>
      <c r="BL62" s="81">
        <v>180</v>
      </c>
      <c r="BM62" s="82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17</v>
      </c>
      <c r="F63" s="11">
        <f>SUM(L62,V62,AF62,AP62,AZ62,BJ62)</f>
        <v>27</v>
      </c>
      <c r="G63" s="105"/>
      <c r="H63" s="2"/>
      <c r="I63" s="2"/>
      <c r="J63" s="72">
        <v>2</v>
      </c>
      <c r="K63" s="73"/>
      <c r="L63" s="68">
        <v>1</v>
      </c>
      <c r="M63" s="73"/>
      <c r="N63" s="68">
        <v>2</v>
      </c>
      <c r="O63" s="69"/>
      <c r="P63" s="4"/>
      <c r="Q63" s="4"/>
      <c r="R63" s="4"/>
      <c r="S63" s="4"/>
      <c r="T63" s="72">
        <v>2</v>
      </c>
      <c r="U63" s="73"/>
      <c r="V63" s="68">
        <v>1</v>
      </c>
      <c r="W63" s="73"/>
      <c r="X63" s="68">
        <v>2</v>
      </c>
      <c r="Y63" s="69"/>
      <c r="Z63" s="4"/>
      <c r="AA63" s="4"/>
      <c r="AB63" s="4"/>
      <c r="AC63" s="4"/>
      <c r="AD63" s="49">
        <v>2</v>
      </c>
      <c r="AE63" s="50"/>
      <c r="AF63" s="51">
        <v>0</v>
      </c>
      <c r="AG63" s="50"/>
      <c r="AH63" s="51">
        <v>3</v>
      </c>
      <c r="AI63" s="52"/>
      <c r="AJ63" s="4"/>
      <c r="AK63" s="4"/>
      <c r="AL63" s="4"/>
      <c r="AM63" s="4"/>
      <c r="AN63" s="72">
        <v>2</v>
      </c>
      <c r="AO63" s="73"/>
      <c r="AP63" s="68">
        <v>1</v>
      </c>
      <c r="AQ63" s="73"/>
      <c r="AR63" s="68">
        <v>2</v>
      </c>
      <c r="AS63" s="69"/>
      <c r="AT63" s="4"/>
      <c r="AU63" s="4"/>
      <c r="AV63" s="4"/>
      <c r="AW63" s="4"/>
      <c r="AX63" s="112">
        <v>2</v>
      </c>
      <c r="AY63" s="113"/>
      <c r="AZ63" s="106">
        <v>0</v>
      </c>
      <c r="BA63" s="113"/>
      <c r="BB63" s="106">
        <v>0</v>
      </c>
      <c r="BC63" s="107"/>
      <c r="BD63" s="4"/>
      <c r="BE63" s="4"/>
      <c r="BF63" s="4"/>
      <c r="BG63" s="4"/>
      <c r="BH63" s="83">
        <v>2</v>
      </c>
      <c r="BI63" s="84"/>
      <c r="BJ63" s="85">
        <v>1</v>
      </c>
      <c r="BK63" s="84"/>
      <c r="BL63" s="85">
        <v>2</v>
      </c>
      <c r="BM63" s="86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19</v>
      </c>
      <c r="K68" s="25"/>
      <c r="L68" s="26"/>
      <c r="M68" s="38">
        <v>474</v>
      </c>
      <c r="N68" s="39"/>
      <c r="O68" s="40"/>
      <c r="P68" s="14"/>
      <c r="Q68" s="14"/>
      <c r="R68" s="14"/>
      <c r="S68" s="14"/>
      <c r="T68" s="24" t="s">
        <v>19</v>
      </c>
      <c r="U68" s="25"/>
      <c r="V68" s="26"/>
      <c r="W68" s="38">
        <v>494</v>
      </c>
      <c r="X68" s="102"/>
      <c r="Y68" s="103"/>
      <c r="Z68" s="14"/>
      <c r="AA68" s="14"/>
      <c r="AB68" s="14"/>
      <c r="AC68" s="14"/>
      <c r="AD68" s="24" t="s">
        <v>19</v>
      </c>
      <c r="AE68" s="25"/>
      <c r="AF68" s="26"/>
      <c r="AG68" s="38">
        <v>411</v>
      </c>
      <c r="AH68" s="39"/>
      <c r="AI68" s="40"/>
      <c r="AJ68" s="14"/>
      <c r="AK68" s="14"/>
      <c r="AL68" s="14"/>
      <c r="AM68" s="14"/>
      <c r="AN68" s="24" t="s">
        <v>254</v>
      </c>
      <c r="AO68" s="25"/>
      <c r="AP68" s="26"/>
      <c r="AQ68" s="38" t="s">
        <v>112</v>
      </c>
      <c r="AR68" s="39"/>
      <c r="AS68" s="40"/>
      <c r="AT68" s="14"/>
      <c r="AU68" s="14"/>
      <c r="AV68" s="14"/>
      <c r="AW68" s="14"/>
      <c r="AX68" s="24" t="s">
        <v>255</v>
      </c>
      <c r="AY68" s="25"/>
      <c r="AZ68" s="26"/>
      <c r="BA68" s="38" t="s">
        <v>112</v>
      </c>
      <c r="BB68" s="39"/>
      <c r="BC68" s="40"/>
      <c r="BD68" s="4"/>
      <c r="BE68" s="4"/>
      <c r="BF68" s="4"/>
      <c r="BG68" s="4"/>
      <c r="BH68" s="24" t="s">
        <v>144</v>
      </c>
      <c r="BI68" s="25"/>
      <c r="BJ68" s="26"/>
      <c r="BK68" s="38" t="s">
        <v>111</v>
      </c>
      <c r="BL68" s="39"/>
      <c r="BM68" s="40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990</v>
      </c>
      <c r="H69" s="2"/>
      <c r="I69" s="2"/>
      <c r="J69" s="94" t="s">
        <v>192</v>
      </c>
      <c r="K69" s="95"/>
      <c r="L69" s="95"/>
      <c r="M69" s="95"/>
      <c r="N69" s="96"/>
      <c r="O69" s="97"/>
      <c r="P69" s="4"/>
      <c r="Q69" s="4"/>
      <c r="R69" s="4"/>
      <c r="S69" s="4"/>
      <c r="T69" s="41" t="s">
        <v>64</v>
      </c>
      <c r="U69" s="42"/>
      <c r="V69" s="42"/>
      <c r="W69" s="42"/>
      <c r="X69" s="43"/>
      <c r="Y69" s="44"/>
      <c r="Z69" s="4"/>
      <c r="AA69" s="4"/>
      <c r="AB69" s="4"/>
      <c r="AC69" s="4"/>
      <c r="AD69" s="94" t="s">
        <v>188</v>
      </c>
      <c r="AE69" s="95"/>
      <c r="AF69" s="95"/>
      <c r="AG69" s="95"/>
      <c r="AH69" s="96"/>
      <c r="AI69" s="97"/>
      <c r="AJ69" s="4"/>
      <c r="AK69" s="4"/>
      <c r="AL69" s="4"/>
      <c r="AM69" s="4"/>
      <c r="AN69" s="76" t="s">
        <v>143</v>
      </c>
      <c r="AO69" s="77"/>
      <c r="AP69" s="77"/>
      <c r="AQ69" s="77"/>
      <c r="AR69" s="77"/>
      <c r="AS69" s="78"/>
      <c r="AT69" s="4"/>
      <c r="AU69" s="4"/>
      <c r="AV69" s="4"/>
      <c r="AW69" s="4"/>
      <c r="AX69" s="76" t="s">
        <v>145</v>
      </c>
      <c r="AY69" s="77"/>
      <c r="AZ69" s="77"/>
      <c r="BA69" s="77"/>
      <c r="BB69" s="77"/>
      <c r="BC69" s="78"/>
      <c r="BD69" s="4"/>
      <c r="BE69" s="4"/>
      <c r="BF69" s="4"/>
      <c r="BG69" s="4"/>
      <c r="BH69" s="114" t="s">
        <v>106</v>
      </c>
      <c r="BI69" s="115"/>
      <c r="BJ69" s="115"/>
      <c r="BK69" s="115"/>
      <c r="BL69" s="116"/>
      <c r="BM69" s="117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98">
        <v>3</v>
      </c>
      <c r="K70" s="99"/>
      <c r="L70" s="100">
        <v>5</v>
      </c>
      <c r="M70" s="99"/>
      <c r="N70" s="100">
        <v>180</v>
      </c>
      <c r="O70" s="101"/>
      <c r="P70" s="4"/>
      <c r="Q70" s="4"/>
      <c r="R70" s="4"/>
      <c r="S70" s="4"/>
      <c r="T70" s="45">
        <v>3</v>
      </c>
      <c r="U70" s="46"/>
      <c r="V70" s="47">
        <v>5</v>
      </c>
      <c r="W70" s="46"/>
      <c r="X70" s="47">
        <v>180</v>
      </c>
      <c r="Y70" s="48"/>
      <c r="Z70" s="4"/>
      <c r="AA70" s="4"/>
      <c r="AB70" s="4"/>
      <c r="AC70" s="4"/>
      <c r="AD70" s="98">
        <v>3</v>
      </c>
      <c r="AE70" s="99"/>
      <c r="AF70" s="100">
        <v>5</v>
      </c>
      <c r="AG70" s="99"/>
      <c r="AH70" s="100">
        <v>180</v>
      </c>
      <c r="AI70" s="101"/>
      <c r="AJ70" s="4"/>
      <c r="AK70" s="4"/>
      <c r="AL70" s="4"/>
      <c r="AM70" s="4"/>
      <c r="AN70" s="79">
        <v>3</v>
      </c>
      <c r="AO70" s="80"/>
      <c r="AP70" s="81">
        <v>5</v>
      </c>
      <c r="AQ70" s="80"/>
      <c r="AR70" s="81">
        <v>180</v>
      </c>
      <c r="AS70" s="82"/>
      <c r="AT70" s="4"/>
      <c r="AU70" s="4"/>
      <c r="AV70" s="4"/>
      <c r="AW70" s="4"/>
      <c r="AX70" s="79">
        <v>3</v>
      </c>
      <c r="AY70" s="80"/>
      <c r="AZ70" s="81">
        <v>5</v>
      </c>
      <c r="BA70" s="80"/>
      <c r="BB70" s="81">
        <v>180</v>
      </c>
      <c r="BC70" s="82"/>
      <c r="BD70" s="4"/>
      <c r="BE70" s="4"/>
      <c r="BF70" s="4"/>
      <c r="BG70" s="4"/>
      <c r="BH70" s="110">
        <v>2</v>
      </c>
      <c r="BI70" s="111"/>
      <c r="BJ70" s="108">
        <v>2</v>
      </c>
      <c r="BK70" s="111"/>
      <c r="BL70" s="108">
        <v>90</v>
      </c>
      <c r="BM70" s="109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SUM(J70,T70,AD70,AN70,AX70,BH70)</f>
        <v>17</v>
      </c>
      <c r="F71" s="11">
        <f>L70+V70+AF70+AP70+AZ70+BJ70</f>
        <v>27</v>
      </c>
      <c r="G71" s="105"/>
      <c r="H71" s="2"/>
      <c r="I71" s="2"/>
      <c r="J71" s="72">
        <v>2</v>
      </c>
      <c r="K71" s="73"/>
      <c r="L71" s="68">
        <v>1</v>
      </c>
      <c r="M71" s="73"/>
      <c r="N71" s="68">
        <v>2</v>
      </c>
      <c r="O71" s="69"/>
      <c r="P71" s="4"/>
      <c r="Q71" s="4"/>
      <c r="R71" s="4"/>
      <c r="S71" s="4"/>
      <c r="T71" s="49">
        <v>2</v>
      </c>
      <c r="U71" s="50"/>
      <c r="V71" s="51">
        <v>0</v>
      </c>
      <c r="W71" s="50"/>
      <c r="X71" s="51">
        <v>3</v>
      </c>
      <c r="Y71" s="52"/>
      <c r="Z71" s="4"/>
      <c r="AA71" s="4"/>
      <c r="AB71" s="4"/>
      <c r="AC71" s="4"/>
      <c r="AD71" s="72">
        <v>2</v>
      </c>
      <c r="AE71" s="73"/>
      <c r="AF71" s="68">
        <v>1</v>
      </c>
      <c r="AG71" s="73"/>
      <c r="AH71" s="68">
        <v>2</v>
      </c>
      <c r="AI71" s="69"/>
      <c r="AJ71" s="4"/>
      <c r="AK71" s="4"/>
      <c r="AL71" s="4"/>
      <c r="AM71" s="4"/>
      <c r="AN71" s="83">
        <v>2</v>
      </c>
      <c r="AO71" s="84"/>
      <c r="AP71" s="85">
        <v>1</v>
      </c>
      <c r="AQ71" s="84"/>
      <c r="AR71" s="85">
        <v>2</v>
      </c>
      <c r="AS71" s="86"/>
      <c r="AT71" s="4"/>
      <c r="AU71" s="4"/>
      <c r="AV71" s="4"/>
      <c r="AW71" s="4"/>
      <c r="AX71" s="83">
        <v>2</v>
      </c>
      <c r="AY71" s="84"/>
      <c r="AZ71" s="85">
        <v>1</v>
      </c>
      <c r="BA71" s="84"/>
      <c r="BB71" s="85">
        <v>2</v>
      </c>
      <c r="BC71" s="86"/>
      <c r="BD71" s="4"/>
      <c r="BE71" s="4"/>
      <c r="BF71" s="4"/>
      <c r="BG71" s="4"/>
      <c r="BH71" s="112">
        <v>2</v>
      </c>
      <c r="BI71" s="113"/>
      <c r="BJ71" s="106">
        <v>0</v>
      </c>
      <c r="BK71" s="113"/>
      <c r="BL71" s="106">
        <v>0</v>
      </c>
      <c r="BM71" s="107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thickBot="1" x14ac:dyDescent="0.35"/>
    <row r="77" spans="2:135" ht="10.050000000000001" customHeight="1" thickTop="1" thickBot="1" x14ac:dyDescent="0.35">
      <c r="BI77" s="63" t="s">
        <v>15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6"/>
    </row>
    <row r="78" spans="2:135" ht="15" customHeight="1" x14ac:dyDescent="0.3">
      <c r="BI78" s="64"/>
      <c r="BJ78" s="16"/>
      <c r="BK78" s="17"/>
      <c r="BL78" s="16"/>
      <c r="BR78" s="123" t="s">
        <v>7</v>
      </c>
      <c r="BS78" s="124"/>
      <c r="BT78" s="124"/>
      <c r="BU78" s="124"/>
      <c r="BV78" s="125"/>
      <c r="BW78" s="126"/>
      <c r="CA78" s="8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I79" s="64"/>
      <c r="BJ79" s="16"/>
      <c r="BK79" s="17"/>
      <c r="BL79" s="16"/>
      <c r="BR79" s="127" t="s">
        <v>8</v>
      </c>
      <c r="BS79" s="128"/>
      <c r="BT79" s="128"/>
      <c r="BU79" s="128"/>
      <c r="BV79" s="129"/>
      <c r="BW79" s="130"/>
      <c r="CA79" s="8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I80" s="64"/>
      <c r="BJ80" s="16"/>
      <c r="BK80" s="17"/>
      <c r="BL80" s="16"/>
      <c r="BR80" s="66" t="s">
        <v>9</v>
      </c>
      <c r="BS80" s="67"/>
      <c r="BT80" s="131" t="s">
        <v>18</v>
      </c>
      <c r="BU80" s="67"/>
      <c r="BV80" s="131" t="s">
        <v>10</v>
      </c>
      <c r="BW80" s="132"/>
      <c r="CA80" s="8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61:135" ht="15" thickBot="1" x14ac:dyDescent="0.35">
      <c r="BI81" s="64"/>
      <c r="BJ81" s="16"/>
      <c r="BK81" s="17"/>
      <c r="BL81" s="16"/>
      <c r="BR81" s="133" t="s">
        <v>11</v>
      </c>
      <c r="BS81" s="134"/>
      <c r="BT81" s="135" t="s">
        <v>12</v>
      </c>
      <c r="BU81" s="134"/>
      <c r="BV81" s="135" t="s">
        <v>13</v>
      </c>
      <c r="BW81" s="136"/>
      <c r="CA81" s="8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61:135" ht="10.050000000000001" customHeight="1" x14ac:dyDescent="0.3">
      <c r="BI82" s="64"/>
      <c r="BL82" s="16"/>
      <c r="CA82" s="8"/>
    </row>
    <row r="83" spans="61:135" ht="10.050000000000001" customHeight="1" x14ac:dyDescent="0.3">
      <c r="BI83" s="64"/>
      <c r="BL83" s="16"/>
      <c r="CA83" s="8"/>
    </row>
    <row r="84" spans="61:135" ht="10.050000000000001" customHeight="1" x14ac:dyDescent="0.3">
      <c r="BI84" s="64"/>
      <c r="BJ84" s="90"/>
      <c r="BL84" s="15"/>
      <c r="BN84" s="18"/>
      <c r="BO84" s="18"/>
      <c r="BP84" s="18"/>
      <c r="BQ84" s="18"/>
      <c r="BS84" s="60"/>
      <c r="BU84" s="75" t="s">
        <v>30</v>
      </c>
      <c r="BW84" s="61"/>
      <c r="CA84" s="8"/>
    </row>
    <row r="85" spans="61:135" ht="10.050000000000001" customHeight="1" thickBot="1" x14ac:dyDescent="0.35">
      <c r="BI85" s="64"/>
      <c r="BJ85" s="90"/>
      <c r="BL85" s="74" t="s">
        <v>22</v>
      </c>
      <c r="BN85" s="18"/>
      <c r="BO85" s="18"/>
      <c r="BP85" s="18"/>
      <c r="BQ85" s="18"/>
      <c r="BS85" s="60"/>
      <c r="BU85" s="75"/>
      <c r="BW85" s="61"/>
      <c r="CA85" s="8"/>
    </row>
    <row r="86" spans="61:135" ht="15" customHeight="1" x14ac:dyDescent="0.3">
      <c r="BI86" s="64"/>
      <c r="BJ86" s="90" t="s">
        <v>31</v>
      </c>
      <c r="BK86" s="7"/>
      <c r="BL86" s="74"/>
      <c r="BM86" s="7"/>
      <c r="BN86" s="62" t="s">
        <v>14</v>
      </c>
      <c r="BO86" s="62"/>
      <c r="BP86" s="62"/>
      <c r="BQ86" s="62"/>
      <c r="BR86" s="7"/>
      <c r="BS86" s="60" t="s">
        <v>46</v>
      </c>
      <c r="BT86" s="7"/>
      <c r="BU86" s="75"/>
      <c r="BV86" s="7"/>
      <c r="BW86" s="61" t="s">
        <v>62</v>
      </c>
      <c r="CA86" s="8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61:135" ht="48.75" customHeight="1" x14ac:dyDescent="0.3">
      <c r="BI87" s="64"/>
      <c r="BJ87" s="90"/>
      <c r="BK87" s="7"/>
      <c r="BL87" s="74"/>
      <c r="BM87" s="7"/>
      <c r="BN87" s="62"/>
      <c r="BO87" s="62"/>
      <c r="BP87" s="62"/>
      <c r="BQ87" s="62"/>
      <c r="BR87" s="7"/>
      <c r="BS87" s="60"/>
      <c r="BT87" s="7"/>
      <c r="BU87" s="75"/>
      <c r="BV87" s="7"/>
      <c r="BW87" s="61"/>
      <c r="CA87" s="8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61:135" x14ac:dyDescent="0.3">
      <c r="BI88" s="64"/>
      <c r="BJ88" s="90"/>
      <c r="BK88" s="7"/>
      <c r="BL88" s="74"/>
      <c r="BM88" s="7"/>
      <c r="BN88" s="62"/>
      <c r="BO88" s="62"/>
      <c r="BP88" s="62"/>
      <c r="BQ88" s="62"/>
      <c r="BR88" s="7"/>
      <c r="BS88" s="60"/>
      <c r="BT88" s="7"/>
      <c r="BU88" s="75"/>
      <c r="BV88" s="7"/>
      <c r="BW88" s="61"/>
      <c r="CA88" s="8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61:135" ht="15" thickBot="1" x14ac:dyDescent="0.35">
      <c r="BI89" s="64"/>
      <c r="BJ89" s="90"/>
      <c r="BK89" s="7"/>
      <c r="BL89" s="74"/>
      <c r="BM89" s="7"/>
      <c r="BN89" s="62"/>
      <c r="BO89" s="62"/>
      <c r="BP89" s="62"/>
      <c r="BQ89" s="62"/>
      <c r="BR89" s="7"/>
      <c r="BS89" s="60"/>
      <c r="BT89" s="7"/>
      <c r="BU89" s="75"/>
      <c r="BV89" s="7"/>
      <c r="BW89" s="61"/>
      <c r="CA89" s="8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61:135" ht="10.050000000000001" customHeight="1" thickBot="1" x14ac:dyDescent="0.35">
      <c r="BI90" s="65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10"/>
    </row>
    <row r="91" spans="61:135" ht="10.050000000000001" customHeight="1" thickTop="1" x14ac:dyDescent="0.3"/>
    <row r="92" spans="61:135" ht="10.050000000000001" customHeight="1" x14ac:dyDescent="0.3"/>
    <row r="93" spans="61:135" ht="10.050000000000001" customHeight="1" x14ac:dyDescent="0.3"/>
    <row r="100" ht="48.75" customHeight="1" x14ac:dyDescent="0.3"/>
  </sheetData>
  <mergeCells count="655"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X8:Y8"/>
    <mergeCell ref="AD8:AE8"/>
    <mergeCell ref="BH9:BI9"/>
    <mergeCell ref="BJ9:BK9"/>
    <mergeCell ref="X9:Y9"/>
    <mergeCell ref="AD9:AE9"/>
    <mergeCell ref="AF9:AG9"/>
    <mergeCell ref="AH9:AI9"/>
    <mergeCell ref="AN9:AO9"/>
    <mergeCell ref="AP9:AQ9"/>
    <mergeCell ref="AX14:AZ14"/>
    <mergeCell ref="BA14:BC14"/>
    <mergeCell ref="BH14:BJ14"/>
    <mergeCell ref="BK14:BM14"/>
    <mergeCell ref="DZ6:EE6"/>
    <mergeCell ref="E7:E8"/>
    <mergeCell ref="F7:F8"/>
    <mergeCell ref="J7:O7"/>
    <mergeCell ref="T7:Y7"/>
    <mergeCell ref="AD7:AI7"/>
    <mergeCell ref="AN7:AS7"/>
    <mergeCell ref="AX7:BC7"/>
    <mergeCell ref="BH7:BM7"/>
    <mergeCell ref="DP7:DU7"/>
    <mergeCell ref="AQ6:AS6"/>
    <mergeCell ref="AX6:AZ6"/>
    <mergeCell ref="BA6:BC6"/>
    <mergeCell ref="BH6:BJ6"/>
    <mergeCell ref="BK6:BM6"/>
    <mergeCell ref="DP6:DU6"/>
    <mergeCell ref="DZ7:EE7"/>
    <mergeCell ref="G8:G9"/>
    <mergeCell ref="H8:I8"/>
    <mergeCell ref="J8:K8"/>
    <mergeCell ref="L8:M8"/>
    <mergeCell ref="N8:O8"/>
    <mergeCell ref="T8:U8"/>
    <mergeCell ref="V8:W8"/>
    <mergeCell ref="DR8:DS8"/>
    <mergeCell ref="DT8:DU8"/>
    <mergeCell ref="DZ8:EA8"/>
    <mergeCell ref="EB8:EC8"/>
    <mergeCell ref="ED8:EE8"/>
    <mergeCell ref="J9:K9"/>
    <mergeCell ref="L9:M9"/>
    <mergeCell ref="N9:O9"/>
    <mergeCell ref="T9:U9"/>
    <mergeCell ref="V9:W9"/>
    <mergeCell ref="AZ8:BA8"/>
    <mergeCell ref="BB8:BC8"/>
    <mergeCell ref="BH8:BI8"/>
    <mergeCell ref="BJ8:BK8"/>
    <mergeCell ref="BL8:BM8"/>
    <mergeCell ref="DP8:DQ8"/>
    <mergeCell ref="AF8:AG8"/>
    <mergeCell ref="AH8:AI8"/>
    <mergeCell ref="AN8:AO8"/>
    <mergeCell ref="AP8:AQ8"/>
    <mergeCell ref="AR8:AS8"/>
    <mergeCell ref="AX8:AY8"/>
    <mergeCell ref="AZ9:BA9"/>
    <mergeCell ref="BB9:BC9"/>
    <mergeCell ref="DP14:DU14"/>
    <mergeCell ref="DZ14:EE14"/>
    <mergeCell ref="ED9:EE9"/>
    <mergeCell ref="D14:D17"/>
    <mergeCell ref="J14:L14"/>
    <mergeCell ref="M14:O14"/>
    <mergeCell ref="T14:V14"/>
    <mergeCell ref="W14:Y14"/>
    <mergeCell ref="AD14:AF14"/>
    <mergeCell ref="AG14:AI14"/>
    <mergeCell ref="AN14:AP14"/>
    <mergeCell ref="AQ14:AS14"/>
    <mergeCell ref="BL9:BM9"/>
    <mergeCell ref="DP9:DQ9"/>
    <mergeCell ref="DR9:DS9"/>
    <mergeCell ref="DT9:DU9"/>
    <mergeCell ref="DZ9:EA9"/>
    <mergeCell ref="EB9:EC9"/>
    <mergeCell ref="AR9:AS9"/>
    <mergeCell ref="AX9:AY9"/>
    <mergeCell ref="E15:E16"/>
    <mergeCell ref="F15:F16"/>
    <mergeCell ref="J15:O15"/>
    <mergeCell ref="T15:Y15"/>
    <mergeCell ref="AD15:AI15"/>
    <mergeCell ref="AN15:AS15"/>
    <mergeCell ref="V16:W16"/>
    <mergeCell ref="X16:Y16"/>
    <mergeCell ref="AD16:AE16"/>
    <mergeCell ref="AF16:AG16"/>
    <mergeCell ref="AX15:BC15"/>
    <mergeCell ref="BH15:BM15"/>
    <mergeCell ref="DP15:DU15"/>
    <mergeCell ref="AX16:AY16"/>
    <mergeCell ref="AZ16:BA16"/>
    <mergeCell ref="DZ15:EE15"/>
    <mergeCell ref="G16:G17"/>
    <mergeCell ref="H16:I16"/>
    <mergeCell ref="J16:K16"/>
    <mergeCell ref="L16:M16"/>
    <mergeCell ref="N16:O16"/>
    <mergeCell ref="T16:U16"/>
    <mergeCell ref="ED16:EE16"/>
    <mergeCell ref="J17:K17"/>
    <mergeCell ref="L17:M17"/>
    <mergeCell ref="N17:O17"/>
    <mergeCell ref="T17:U17"/>
    <mergeCell ref="V17:W17"/>
    <mergeCell ref="X17:Y17"/>
    <mergeCell ref="BB16:BC16"/>
    <mergeCell ref="BH16:BI16"/>
    <mergeCell ref="BJ16:BK16"/>
    <mergeCell ref="BL16:BM16"/>
    <mergeCell ref="DP16:DQ16"/>
    <mergeCell ref="DR16:DS16"/>
    <mergeCell ref="AH16:AI16"/>
    <mergeCell ref="AN16:AO16"/>
    <mergeCell ref="AP16:AQ16"/>
    <mergeCell ref="AR16:AS16"/>
    <mergeCell ref="AD17:AE17"/>
    <mergeCell ref="AF17:AG17"/>
    <mergeCell ref="AH17:AI17"/>
    <mergeCell ref="AN17:AO17"/>
    <mergeCell ref="AP17:AQ17"/>
    <mergeCell ref="AR17:AS17"/>
    <mergeCell ref="DT16:DU16"/>
    <mergeCell ref="DZ16:EA16"/>
    <mergeCell ref="EB16:EC16"/>
    <mergeCell ref="DP17:DQ17"/>
    <mergeCell ref="DR17:DS17"/>
    <mergeCell ref="DT17:DU17"/>
    <mergeCell ref="DZ17:EA17"/>
    <mergeCell ref="EB17:EC17"/>
    <mergeCell ref="ED17:EE17"/>
    <mergeCell ref="AX17:AY17"/>
    <mergeCell ref="AZ17:BA17"/>
    <mergeCell ref="BB17:BC17"/>
    <mergeCell ref="BH17:BI17"/>
    <mergeCell ref="BJ17:BK17"/>
    <mergeCell ref="BL17:BM17"/>
    <mergeCell ref="B23:B36"/>
    <mergeCell ref="D24:D27"/>
    <mergeCell ref="J24:L24"/>
    <mergeCell ref="M24:O24"/>
    <mergeCell ref="T24:V24"/>
    <mergeCell ref="W24:Y24"/>
    <mergeCell ref="V26:W26"/>
    <mergeCell ref="X26:Y26"/>
    <mergeCell ref="J27:K27"/>
    <mergeCell ref="L27:M27"/>
    <mergeCell ref="BH24:BJ24"/>
    <mergeCell ref="BK24:BM24"/>
    <mergeCell ref="DP24:DU24"/>
    <mergeCell ref="DZ24:EE24"/>
    <mergeCell ref="E25:E26"/>
    <mergeCell ref="F25:F26"/>
    <mergeCell ref="J25:O25"/>
    <mergeCell ref="T25:Y25"/>
    <mergeCell ref="AD25:AI25"/>
    <mergeCell ref="AN25:AS25"/>
    <mergeCell ref="AD24:AF24"/>
    <mergeCell ref="AG24:AI24"/>
    <mergeCell ref="AN24:AP24"/>
    <mergeCell ref="AQ24:AS24"/>
    <mergeCell ref="AX24:AZ24"/>
    <mergeCell ref="BA24:BC24"/>
    <mergeCell ref="AX25:BC25"/>
    <mergeCell ref="BH25:BM25"/>
    <mergeCell ref="DP25:DU25"/>
    <mergeCell ref="DZ25:EE25"/>
    <mergeCell ref="G26:G27"/>
    <mergeCell ref="H26:I26"/>
    <mergeCell ref="J26:K26"/>
    <mergeCell ref="L26:M26"/>
    <mergeCell ref="N26:O26"/>
    <mergeCell ref="T26:U26"/>
    <mergeCell ref="ED26:EE26"/>
    <mergeCell ref="AX26:AY26"/>
    <mergeCell ref="AZ26:BA26"/>
    <mergeCell ref="BB26:BC26"/>
    <mergeCell ref="BH26:BI26"/>
    <mergeCell ref="BJ26:BK26"/>
    <mergeCell ref="BL26:BM26"/>
    <mergeCell ref="AD26:AE26"/>
    <mergeCell ref="AF26:AG26"/>
    <mergeCell ref="AH26:AI26"/>
    <mergeCell ref="AN26:AO26"/>
    <mergeCell ref="AP26:AQ26"/>
    <mergeCell ref="AR26:AS26"/>
    <mergeCell ref="V27:W27"/>
    <mergeCell ref="X27:Y27"/>
    <mergeCell ref="AD27:AE27"/>
    <mergeCell ref="AF27:AG27"/>
    <mergeCell ref="DP26:DQ26"/>
    <mergeCell ref="DR26:DS26"/>
    <mergeCell ref="DT26:DU26"/>
    <mergeCell ref="DZ26:EA26"/>
    <mergeCell ref="EB26:EC26"/>
    <mergeCell ref="DT27:DU27"/>
    <mergeCell ref="DZ27:EA27"/>
    <mergeCell ref="EB27:EC27"/>
    <mergeCell ref="ED27:EE27"/>
    <mergeCell ref="D32:D35"/>
    <mergeCell ref="J32:L32"/>
    <mergeCell ref="M32:O32"/>
    <mergeCell ref="T32:V32"/>
    <mergeCell ref="W32:Y32"/>
    <mergeCell ref="AD32:AF32"/>
    <mergeCell ref="BB27:BC27"/>
    <mergeCell ref="BH27:BI27"/>
    <mergeCell ref="BJ27:BK27"/>
    <mergeCell ref="BL27:BM27"/>
    <mergeCell ref="DP27:DQ27"/>
    <mergeCell ref="DR27:DS27"/>
    <mergeCell ref="AH27:AI27"/>
    <mergeCell ref="AN27:AO27"/>
    <mergeCell ref="AP27:AQ27"/>
    <mergeCell ref="AR27:AS27"/>
    <mergeCell ref="AX27:AY27"/>
    <mergeCell ref="AZ27:BA27"/>
    <mergeCell ref="N27:O27"/>
    <mergeCell ref="T27:U27"/>
    <mergeCell ref="N34:O34"/>
    <mergeCell ref="T34:U34"/>
    <mergeCell ref="DZ32:EE32"/>
    <mergeCell ref="E33:E34"/>
    <mergeCell ref="F33:F34"/>
    <mergeCell ref="J33:O33"/>
    <mergeCell ref="T33:Y33"/>
    <mergeCell ref="AD33:AI33"/>
    <mergeCell ref="AN33:AS33"/>
    <mergeCell ref="AX33:BC33"/>
    <mergeCell ref="DP33:DU33"/>
    <mergeCell ref="DZ33:EE33"/>
    <mergeCell ref="EB34:EC34"/>
    <mergeCell ref="ED34:EE34"/>
    <mergeCell ref="AG32:AI32"/>
    <mergeCell ref="AN32:AP32"/>
    <mergeCell ref="AQ32:AS32"/>
    <mergeCell ref="AX32:AZ32"/>
    <mergeCell ref="BA32:BC32"/>
    <mergeCell ref="DP32:DU32"/>
    <mergeCell ref="DR34:DS34"/>
    <mergeCell ref="DT34:DU34"/>
    <mergeCell ref="DZ34:EA34"/>
    <mergeCell ref="BB34:BC34"/>
    <mergeCell ref="DP34:DQ34"/>
    <mergeCell ref="BH32:BJ32"/>
    <mergeCell ref="BK32:BM32"/>
    <mergeCell ref="BH33:BM33"/>
    <mergeCell ref="BH34:BI34"/>
    <mergeCell ref="BJ34:BK34"/>
    <mergeCell ref="BL34:BM34"/>
    <mergeCell ref="J35:K35"/>
    <mergeCell ref="L35:M35"/>
    <mergeCell ref="N35:O35"/>
    <mergeCell ref="T35:U35"/>
    <mergeCell ref="V35:W35"/>
    <mergeCell ref="AP34:AQ34"/>
    <mergeCell ref="AR34:AS34"/>
    <mergeCell ref="AX34:AY34"/>
    <mergeCell ref="AZ34:BA34"/>
    <mergeCell ref="V34:W34"/>
    <mergeCell ref="X34:Y34"/>
    <mergeCell ref="AD34:AE34"/>
    <mergeCell ref="AF34:AG34"/>
    <mergeCell ref="AH34:AI34"/>
    <mergeCell ref="AN34:AO34"/>
    <mergeCell ref="J34:K34"/>
    <mergeCell ref="L34:M34"/>
    <mergeCell ref="DT35:DU35"/>
    <mergeCell ref="DZ35:EA35"/>
    <mergeCell ref="EB35:EC35"/>
    <mergeCell ref="ED35:EE35"/>
    <mergeCell ref="B41:B54"/>
    <mergeCell ref="D42:D45"/>
    <mergeCell ref="J42:L42"/>
    <mergeCell ref="M42:O42"/>
    <mergeCell ref="T42:V42"/>
    <mergeCell ref="W42:Y42"/>
    <mergeCell ref="AR35:AS35"/>
    <mergeCell ref="AX35:AY35"/>
    <mergeCell ref="AZ35:BA35"/>
    <mergeCell ref="BB35:BC35"/>
    <mergeCell ref="DP35:DQ35"/>
    <mergeCell ref="DR35:DS35"/>
    <mergeCell ref="X35:Y35"/>
    <mergeCell ref="AD35:AE35"/>
    <mergeCell ref="AF35:AG35"/>
    <mergeCell ref="AH35:AI35"/>
    <mergeCell ref="AN35:AO35"/>
    <mergeCell ref="AP35:AQ35"/>
    <mergeCell ref="G34:G35"/>
    <mergeCell ref="H34:I34"/>
    <mergeCell ref="DP42:DU42"/>
    <mergeCell ref="DZ42:EE42"/>
    <mergeCell ref="E43:E44"/>
    <mergeCell ref="F43:F44"/>
    <mergeCell ref="J43:O43"/>
    <mergeCell ref="T43:Y43"/>
    <mergeCell ref="AD43:AI43"/>
    <mergeCell ref="AN43:AS43"/>
    <mergeCell ref="AD42:AF42"/>
    <mergeCell ref="AG42:AI42"/>
    <mergeCell ref="AN42:AP42"/>
    <mergeCell ref="AQ42:AS42"/>
    <mergeCell ref="AX42:AZ42"/>
    <mergeCell ref="BA42:BC42"/>
    <mergeCell ref="AD44:AE44"/>
    <mergeCell ref="AF44:AG44"/>
    <mergeCell ref="AH44:AI44"/>
    <mergeCell ref="AN44:AO44"/>
    <mergeCell ref="AX43:BC43"/>
    <mergeCell ref="BH43:BM43"/>
    <mergeCell ref="DP43:DU43"/>
    <mergeCell ref="DZ43:EE43"/>
    <mergeCell ref="G44:G45"/>
    <mergeCell ref="H44:I44"/>
    <mergeCell ref="J44:K44"/>
    <mergeCell ref="L44:M44"/>
    <mergeCell ref="N44:O44"/>
    <mergeCell ref="T44:U44"/>
    <mergeCell ref="EB44:EC44"/>
    <mergeCell ref="ED44:EE44"/>
    <mergeCell ref="J45:K45"/>
    <mergeCell ref="L45:M45"/>
    <mergeCell ref="N45:O45"/>
    <mergeCell ref="T45:U45"/>
    <mergeCell ref="V45:W45"/>
    <mergeCell ref="X45:Y45"/>
    <mergeCell ref="AD45:AE45"/>
    <mergeCell ref="AF45:AG45"/>
    <mergeCell ref="BJ44:BK44"/>
    <mergeCell ref="BL44:BM44"/>
    <mergeCell ref="DP44:DQ44"/>
    <mergeCell ref="DR44:DS44"/>
    <mergeCell ref="DT44:DU44"/>
    <mergeCell ref="DZ44:EA44"/>
    <mergeCell ref="AP44:AQ44"/>
    <mergeCell ref="AR44:AS44"/>
    <mergeCell ref="AX44:AY44"/>
    <mergeCell ref="AZ44:BA44"/>
    <mergeCell ref="BB44:BC44"/>
    <mergeCell ref="BH44:BI44"/>
    <mergeCell ref="V44:W44"/>
    <mergeCell ref="X44:Y44"/>
    <mergeCell ref="DT45:DU45"/>
    <mergeCell ref="DZ45:EA45"/>
    <mergeCell ref="EB45:EC45"/>
    <mergeCell ref="ED45:EE45"/>
    <mergeCell ref="D50:D53"/>
    <mergeCell ref="J50:L50"/>
    <mergeCell ref="M50:O50"/>
    <mergeCell ref="T50:V50"/>
    <mergeCell ref="W50:Y50"/>
    <mergeCell ref="AD50:AF50"/>
    <mergeCell ref="BB45:BC45"/>
    <mergeCell ref="BH45:BI45"/>
    <mergeCell ref="BJ45:BK45"/>
    <mergeCell ref="BL45:BM45"/>
    <mergeCell ref="DP45:DQ45"/>
    <mergeCell ref="DR45:DS45"/>
    <mergeCell ref="AH45:AI45"/>
    <mergeCell ref="AN45:AO45"/>
    <mergeCell ref="AP45:AQ45"/>
    <mergeCell ref="AR45:AS45"/>
    <mergeCell ref="AX45:AY45"/>
    <mergeCell ref="AZ45:BA45"/>
    <mergeCell ref="BK50:BM50"/>
    <mergeCell ref="DP50:DU50"/>
    <mergeCell ref="DZ50:EE50"/>
    <mergeCell ref="E51:E52"/>
    <mergeCell ref="F51:F52"/>
    <mergeCell ref="T51:Y51"/>
    <mergeCell ref="AD51:AI51"/>
    <mergeCell ref="AN51:AS51"/>
    <mergeCell ref="AX51:BC51"/>
    <mergeCell ref="AG50:AI50"/>
    <mergeCell ref="AN50:AP50"/>
    <mergeCell ref="AQ50:AS50"/>
    <mergeCell ref="AX50:AZ50"/>
    <mergeCell ref="BA50:BC50"/>
    <mergeCell ref="AF52:AG52"/>
    <mergeCell ref="AH52:AI52"/>
    <mergeCell ref="AN52:AO52"/>
    <mergeCell ref="AP52:AQ52"/>
    <mergeCell ref="BH51:BM51"/>
    <mergeCell ref="DP51:DU51"/>
    <mergeCell ref="DZ51:EE51"/>
    <mergeCell ref="G52:G53"/>
    <mergeCell ref="H52:I52"/>
    <mergeCell ref="J52:K52"/>
    <mergeCell ref="L52:M52"/>
    <mergeCell ref="N52:O52"/>
    <mergeCell ref="T52:U52"/>
    <mergeCell ref="V52:W52"/>
    <mergeCell ref="ED52:EE52"/>
    <mergeCell ref="J53:K53"/>
    <mergeCell ref="L53:M53"/>
    <mergeCell ref="N53:O53"/>
    <mergeCell ref="T53:U53"/>
    <mergeCell ref="V53:W53"/>
    <mergeCell ref="X53:Y53"/>
    <mergeCell ref="AD53:AE53"/>
    <mergeCell ref="AF53:AG53"/>
    <mergeCell ref="J51:O51"/>
    <mergeCell ref="AH53:AI53"/>
    <mergeCell ref="BL52:BM52"/>
    <mergeCell ref="DP52:DQ52"/>
    <mergeCell ref="DR52:DS52"/>
    <mergeCell ref="DT52:DU52"/>
    <mergeCell ref="DZ52:EA52"/>
    <mergeCell ref="EB52:EC52"/>
    <mergeCell ref="AR52:AS52"/>
    <mergeCell ref="AX52:AY52"/>
    <mergeCell ref="AZ52:BA52"/>
    <mergeCell ref="BB52:BC52"/>
    <mergeCell ref="BH52:BI52"/>
    <mergeCell ref="BJ52:BK52"/>
    <mergeCell ref="X52:Y52"/>
    <mergeCell ref="AD52:AE52"/>
    <mergeCell ref="DZ53:EA53"/>
    <mergeCell ref="EB53:EC53"/>
    <mergeCell ref="ED53:EE53"/>
    <mergeCell ref="B59:B72"/>
    <mergeCell ref="D60:D63"/>
    <mergeCell ref="J60:L60"/>
    <mergeCell ref="M60:O60"/>
    <mergeCell ref="T60:V60"/>
    <mergeCell ref="W60:Y60"/>
    <mergeCell ref="AD60:AF60"/>
    <mergeCell ref="BH53:BI53"/>
    <mergeCell ref="BJ53:BK53"/>
    <mergeCell ref="BL53:BM53"/>
    <mergeCell ref="DP53:DQ53"/>
    <mergeCell ref="DR53:DS53"/>
    <mergeCell ref="DT53:DU53"/>
    <mergeCell ref="AN53:AO53"/>
    <mergeCell ref="AP53:AQ53"/>
    <mergeCell ref="AR53:AS53"/>
    <mergeCell ref="AX53:AY53"/>
    <mergeCell ref="AZ53:BA53"/>
    <mergeCell ref="BB53:BC53"/>
    <mergeCell ref="DP60:DU60"/>
    <mergeCell ref="DZ60:EE60"/>
    <mergeCell ref="E61:E62"/>
    <mergeCell ref="F61:F62"/>
    <mergeCell ref="J61:O61"/>
    <mergeCell ref="T61:Y61"/>
    <mergeCell ref="AD61:AI61"/>
    <mergeCell ref="AN61:AS61"/>
    <mergeCell ref="AX61:BC61"/>
    <mergeCell ref="AG60:AI60"/>
    <mergeCell ref="AN60:AP60"/>
    <mergeCell ref="AQ60:AS60"/>
    <mergeCell ref="AX60:AZ60"/>
    <mergeCell ref="BA60:BC60"/>
    <mergeCell ref="BH60:BJ60"/>
    <mergeCell ref="AF62:AG62"/>
    <mergeCell ref="AH62:AI62"/>
    <mergeCell ref="AN62:AO62"/>
    <mergeCell ref="AP62:AQ62"/>
    <mergeCell ref="BH61:BM61"/>
    <mergeCell ref="DP61:DU61"/>
    <mergeCell ref="DZ61:EE61"/>
    <mergeCell ref="G62:G63"/>
    <mergeCell ref="H62:I62"/>
    <mergeCell ref="J62:K62"/>
    <mergeCell ref="L62:M62"/>
    <mergeCell ref="N62:O62"/>
    <mergeCell ref="T62:U62"/>
    <mergeCell ref="V62:W62"/>
    <mergeCell ref="ED62:EE62"/>
    <mergeCell ref="J63:K63"/>
    <mergeCell ref="L63:M63"/>
    <mergeCell ref="N63:O63"/>
    <mergeCell ref="T63:U63"/>
    <mergeCell ref="V63:W63"/>
    <mergeCell ref="X63:Y63"/>
    <mergeCell ref="AD63:AE63"/>
    <mergeCell ref="AF63:AG63"/>
    <mergeCell ref="AH63:AI63"/>
    <mergeCell ref="BL62:BM62"/>
    <mergeCell ref="DP62:DQ62"/>
    <mergeCell ref="DR62:DS62"/>
    <mergeCell ref="DT62:DU62"/>
    <mergeCell ref="DZ62:EA62"/>
    <mergeCell ref="EB62:EC62"/>
    <mergeCell ref="AR62:AS62"/>
    <mergeCell ref="AX62:AY62"/>
    <mergeCell ref="AZ62:BA62"/>
    <mergeCell ref="BB62:BC62"/>
    <mergeCell ref="BH62:BI62"/>
    <mergeCell ref="BJ62:BK62"/>
    <mergeCell ref="X62:Y62"/>
    <mergeCell ref="AD62:AE62"/>
    <mergeCell ref="D68:D71"/>
    <mergeCell ref="J68:L68"/>
    <mergeCell ref="M68:O68"/>
    <mergeCell ref="T68:V68"/>
    <mergeCell ref="W68:Y68"/>
    <mergeCell ref="AD68:AF68"/>
    <mergeCell ref="AG68:AI68"/>
    <mergeCell ref="BH63:BI63"/>
    <mergeCell ref="BJ63:BK63"/>
    <mergeCell ref="AN63:AO63"/>
    <mergeCell ref="AP63:AQ63"/>
    <mergeCell ref="AR63:AS63"/>
    <mergeCell ref="AX63:AY63"/>
    <mergeCell ref="AZ63:BA63"/>
    <mergeCell ref="BB63:BC63"/>
    <mergeCell ref="AN68:AP68"/>
    <mergeCell ref="AQ68:AS68"/>
    <mergeCell ref="AX68:AZ68"/>
    <mergeCell ref="BA68:BC68"/>
    <mergeCell ref="DP68:DU68"/>
    <mergeCell ref="DZ68:EE68"/>
    <mergeCell ref="DZ63:EA63"/>
    <mergeCell ref="EB63:EC63"/>
    <mergeCell ref="ED63:EE63"/>
    <mergeCell ref="BL63:BM63"/>
    <mergeCell ref="DP63:DQ63"/>
    <mergeCell ref="DR63:DS63"/>
    <mergeCell ref="DT63:DU63"/>
    <mergeCell ref="E69:E70"/>
    <mergeCell ref="F69:F70"/>
    <mergeCell ref="J69:O69"/>
    <mergeCell ref="T69:Y69"/>
    <mergeCell ref="AD69:AI69"/>
    <mergeCell ref="AN69:AS69"/>
    <mergeCell ref="X70:Y70"/>
    <mergeCell ref="AD70:AE70"/>
    <mergeCell ref="AF70:AG70"/>
    <mergeCell ref="AH70:AI70"/>
    <mergeCell ref="AX69:BC69"/>
    <mergeCell ref="DP69:DU69"/>
    <mergeCell ref="DZ69:EE69"/>
    <mergeCell ref="G70:G71"/>
    <mergeCell ref="H70:I70"/>
    <mergeCell ref="J70:K70"/>
    <mergeCell ref="L70:M70"/>
    <mergeCell ref="N70:O70"/>
    <mergeCell ref="T70:U70"/>
    <mergeCell ref="V70:W70"/>
    <mergeCell ref="DZ70:EA70"/>
    <mergeCell ref="EB70:EC70"/>
    <mergeCell ref="ED70:EE70"/>
    <mergeCell ref="AN70:AO70"/>
    <mergeCell ref="AP70:AQ70"/>
    <mergeCell ref="AR70:AS70"/>
    <mergeCell ref="AX70:AY70"/>
    <mergeCell ref="AZ70:BA70"/>
    <mergeCell ref="BB70:BC70"/>
    <mergeCell ref="J71:K71"/>
    <mergeCell ref="L71:M71"/>
    <mergeCell ref="N71:O71"/>
    <mergeCell ref="T71:U71"/>
    <mergeCell ref="V71:W71"/>
    <mergeCell ref="DZ81:EA81"/>
    <mergeCell ref="BR80:BS80"/>
    <mergeCell ref="BT80:BU80"/>
    <mergeCell ref="BV80:BW80"/>
    <mergeCell ref="DP80:DQ80"/>
    <mergeCell ref="X71:Y71"/>
    <mergeCell ref="DP70:DQ70"/>
    <mergeCell ref="DR70:DS70"/>
    <mergeCell ref="DT70:DU70"/>
    <mergeCell ref="AX71:AY71"/>
    <mergeCell ref="AZ71:BA71"/>
    <mergeCell ref="BB71:BC71"/>
    <mergeCell ref="DP71:DQ71"/>
    <mergeCell ref="DR71:DS71"/>
    <mergeCell ref="DT71:DU71"/>
    <mergeCell ref="AD71:AE71"/>
    <mergeCell ref="AF71:AG71"/>
    <mergeCell ref="AH71:AI71"/>
    <mergeCell ref="AN71:AO71"/>
    <mergeCell ref="AP71:AQ71"/>
    <mergeCell ref="AR71:AS71"/>
    <mergeCell ref="BH71:BI71"/>
    <mergeCell ref="BJ71:BK71"/>
    <mergeCell ref="BL71:BM71"/>
    <mergeCell ref="DZ87:EE87"/>
    <mergeCell ref="DP88:DQ88"/>
    <mergeCell ref="DR88:DS88"/>
    <mergeCell ref="DT88:DU88"/>
    <mergeCell ref="DZ88:EA88"/>
    <mergeCell ref="DZ71:EA71"/>
    <mergeCell ref="EB71:EC71"/>
    <mergeCell ref="ED71:EE71"/>
    <mergeCell ref="BI77:BI90"/>
    <mergeCell ref="BR78:BW78"/>
    <mergeCell ref="DP78:DU78"/>
    <mergeCell ref="DZ78:EE78"/>
    <mergeCell ref="BR79:BW79"/>
    <mergeCell ref="DP79:DU79"/>
    <mergeCell ref="DZ79:EE79"/>
    <mergeCell ref="DZ80:EA80"/>
    <mergeCell ref="EB80:EC80"/>
    <mergeCell ref="ED80:EE80"/>
    <mergeCell ref="BR81:BS81"/>
    <mergeCell ref="BT81:BU81"/>
    <mergeCell ref="BV81:BW81"/>
    <mergeCell ref="DP81:DQ81"/>
    <mergeCell ref="DR81:DS81"/>
    <mergeCell ref="DT81:DU81"/>
    <mergeCell ref="EB88:EC88"/>
    <mergeCell ref="DR80:DS80"/>
    <mergeCell ref="DT80:DU80"/>
    <mergeCell ref="EB81:EC81"/>
    <mergeCell ref="ED81:EE81"/>
    <mergeCell ref="BJ84:BJ85"/>
    <mergeCell ref="BS84:BS85"/>
    <mergeCell ref="BU84:BU89"/>
    <mergeCell ref="BW84:BW85"/>
    <mergeCell ref="BL85:BL89"/>
    <mergeCell ref="BJ86:BJ89"/>
    <mergeCell ref="BN86:BQ89"/>
    <mergeCell ref="BS86:BS89"/>
    <mergeCell ref="ED88:EE88"/>
    <mergeCell ref="DP89:DQ89"/>
    <mergeCell ref="DR89:DS89"/>
    <mergeCell ref="DT89:DU89"/>
    <mergeCell ref="DZ89:EA89"/>
    <mergeCell ref="EB89:EC89"/>
    <mergeCell ref="ED89:EE89"/>
    <mergeCell ref="BW86:BW89"/>
    <mergeCell ref="DP86:DU86"/>
    <mergeCell ref="DZ86:EE86"/>
    <mergeCell ref="DP87:DU87"/>
    <mergeCell ref="BH35:BI35"/>
    <mergeCell ref="BJ35:BK35"/>
    <mergeCell ref="BL35:BM35"/>
    <mergeCell ref="BH68:BJ68"/>
    <mergeCell ref="BK68:BM68"/>
    <mergeCell ref="BH69:BM69"/>
    <mergeCell ref="BH70:BI70"/>
    <mergeCell ref="BJ70:BK70"/>
    <mergeCell ref="BL70:BM70"/>
    <mergeCell ref="BK60:BM60"/>
    <mergeCell ref="BH50:BJ50"/>
    <mergeCell ref="BH42:BJ42"/>
    <mergeCell ref="BK42:BM42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B2:EE100"/>
  <sheetViews>
    <sheetView topLeftCell="A13" zoomScale="80" zoomScaleNormal="80" workbookViewId="0">
      <selection activeCell="AD33" sqref="AD33:AI33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241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5" spans="2:135" ht="10.050000000000001" customHeight="1" thickBot="1" x14ac:dyDescent="0.35">
      <c r="B5" s="118" t="s">
        <v>4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19</v>
      </c>
      <c r="K6" s="25"/>
      <c r="L6" s="26"/>
      <c r="M6" s="27" t="s">
        <v>33</v>
      </c>
      <c r="N6" s="28"/>
      <c r="O6" s="29"/>
      <c r="P6" s="4"/>
      <c r="Q6" s="4"/>
      <c r="R6" s="4"/>
      <c r="S6" s="4"/>
      <c r="T6" s="24" t="s">
        <v>90</v>
      </c>
      <c r="U6" s="25"/>
      <c r="V6" s="26"/>
      <c r="W6" s="27" t="s">
        <v>164</v>
      </c>
      <c r="X6" s="28"/>
      <c r="Y6" s="29"/>
      <c r="Z6" s="4"/>
      <c r="AA6" s="4"/>
      <c r="AB6" s="4"/>
      <c r="AC6" s="4"/>
      <c r="AD6" s="24" t="s">
        <v>181</v>
      </c>
      <c r="AE6" s="25"/>
      <c r="AF6" s="26"/>
      <c r="AG6" s="38">
        <v>111</v>
      </c>
      <c r="AH6" s="39"/>
      <c r="AI6" s="40"/>
      <c r="AJ6" s="4"/>
      <c r="AK6" s="4"/>
      <c r="AL6" s="4"/>
      <c r="AM6" s="4"/>
      <c r="AN6" s="24" t="s">
        <v>119</v>
      </c>
      <c r="AO6" s="25"/>
      <c r="AP6" s="26"/>
      <c r="AQ6" s="38" t="s">
        <v>109</v>
      </c>
      <c r="AR6" s="39"/>
      <c r="AS6" s="40"/>
      <c r="AT6" s="4"/>
      <c r="AU6" s="4"/>
      <c r="AV6" s="4"/>
      <c r="AW6" s="4"/>
      <c r="AX6" s="24" t="s">
        <v>122</v>
      </c>
      <c r="AY6" s="25"/>
      <c r="AZ6" s="26"/>
      <c r="BA6" s="38" t="s">
        <v>109</v>
      </c>
      <c r="BB6" s="39"/>
      <c r="BC6" s="40"/>
      <c r="BD6" s="4"/>
      <c r="BE6" s="4"/>
      <c r="BF6" s="4"/>
      <c r="BG6" s="4"/>
      <c r="BH6" s="24" t="s">
        <v>121</v>
      </c>
      <c r="BI6" s="25"/>
      <c r="BJ6" s="26"/>
      <c r="BK6" s="38" t="s">
        <v>109</v>
      </c>
      <c r="BL6" s="39"/>
      <c r="BM6" s="40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SUM(N8,X8,AH8,AR8,BB8,BL8)</f>
        <v>750</v>
      </c>
      <c r="H7" s="2"/>
      <c r="I7" s="2"/>
      <c r="J7" s="53" t="s">
        <v>32</v>
      </c>
      <c r="K7" s="54"/>
      <c r="L7" s="54"/>
      <c r="M7" s="54"/>
      <c r="N7" s="55"/>
      <c r="O7" s="56"/>
      <c r="P7" s="4"/>
      <c r="Q7" s="4"/>
      <c r="R7" s="4"/>
      <c r="S7" s="4"/>
      <c r="T7" s="30" t="s">
        <v>165</v>
      </c>
      <c r="U7" s="31"/>
      <c r="V7" s="31"/>
      <c r="W7" s="31"/>
      <c r="X7" s="32"/>
      <c r="Y7" s="33"/>
      <c r="Z7" s="4"/>
      <c r="AA7" s="4"/>
      <c r="AB7" s="4"/>
      <c r="AC7" s="4"/>
      <c r="AD7" s="30" t="s">
        <v>180</v>
      </c>
      <c r="AE7" s="31"/>
      <c r="AF7" s="31"/>
      <c r="AG7" s="31"/>
      <c r="AH7" s="32"/>
      <c r="AI7" s="33"/>
      <c r="AJ7" s="4"/>
      <c r="AK7" s="4"/>
      <c r="AL7" s="4"/>
      <c r="AM7" s="4"/>
      <c r="AN7" s="114" t="s">
        <v>120</v>
      </c>
      <c r="AO7" s="115"/>
      <c r="AP7" s="115"/>
      <c r="AQ7" s="115"/>
      <c r="AR7" s="116"/>
      <c r="AS7" s="117"/>
      <c r="AT7" s="4"/>
      <c r="AU7" s="4"/>
      <c r="AV7" s="4"/>
      <c r="AW7" s="4"/>
      <c r="AX7" s="114" t="s">
        <v>123</v>
      </c>
      <c r="AY7" s="115"/>
      <c r="AZ7" s="115"/>
      <c r="BA7" s="115"/>
      <c r="BB7" s="116"/>
      <c r="BC7" s="117"/>
      <c r="BD7" s="4"/>
      <c r="BE7" s="4"/>
      <c r="BF7" s="4"/>
      <c r="BG7" s="4"/>
      <c r="BH7" s="114" t="s">
        <v>21</v>
      </c>
      <c r="BI7" s="115"/>
      <c r="BJ7" s="115"/>
      <c r="BK7" s="115"/>
      <c r="BL7" s="116"/>
      <c r="BM7" s="117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57">
        <v>3</v>
      </c>
      <c r="K8" s="58"/>
      <c r="L8" s="59">
        <v>5</v>
      </c>
      <c r="M8" s="58"/>
      <c r="N8" s="59">
        <v>180</v>
      </c>
      <c r="O8" s="91"/>
      <c r="P8" s="4"/>
      <c r="Q8" s="4"/>
      <c r="R8" s="4"/>
      <c r="S8" s="4"/>
      <c r="T8" s="34">
        <v>3</v>
      </c>
      <c r="U8" s="35"/>
      <c r="V8" s="36">
        <v>4</v>
      </c>
      <c r="W8" s="35"/>
      <c r="X8" s="36">
        <v>150</v>
      </c>
      <c r="Y8" s="37"/>
      <c r="Z8" s="4"/>
      <c r="AA8" s="4"/>
      <c r="AB8" s="4"/>
      <c r="AC8" s="4"/>
      <c r="AD8" s="34">
        <v>3</v>
      </c>
      <c r="AE8" s="35"/>
      <c r="AF8" s="36">
        <v>4</v>
      </c>
      <c r="AG8" s="35"/>
      <c r="AH8" s="36">
        <v>150</v>
      </c>
      <c r="AI8" s="37"/>
      <c r="AJ8" s="4"/>
      <c r="AK8" s="4"/>
      <c r="AL8" s="4"/>
      <c r="AM8" s="4"/>
      <c r="AN8" s="110">
        <v>2</v>
      </c>
      <c r="AO8" s="111"/>
      <c r="AP8" s="108">
        <v>2</v>
      </c>
      <c r="AQ8" s="111"/>
      <c r="AR8" s="108">
        <v>90</v>
      </c>
      <c r="AS8" s="109"/>
      <c r="AT8" s="4"/>
      <c r="AU8" s="4"/>
      <c r="AV8" s="4"/>
      <c r="AW8" s="4"/>
      <c r="AX8" s="110">
        <v>2</v>
      </c>
      <c r="AY8" s="111"/>
      <c r="AZ8" s="108">
        <v>2</v>
      </c>
      <c r="BA8" s="111"/>
      <c r="BB8" s="108">
        <v>90</v>
      </c>
      <c r="BC8" s="109"/>
      <c r="BD8" s="4"/>
      <c r="BE8" s="4"/>
      <c r="BF8" s="4"/>
      <c r="BG8" s="4"/>
      <c r="BH8" s="110">
        <v>2</v>
      </c>
      <c r="BI8" s="111"/>
      <c r="BJ8" s="108">
        <v>2</v>
      </c>
      <c r="BK8" s="111"/>
      <c r="BL8" s="108">
        <v>90</v>
      </c>
      <c r="BM8" s="109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SUM(J8,T8,AD8,AN8,AX8,BH8)</f>
        <v>15</v>
      </c>
      <c r="F9" s="11">
        <f>SUM(L8,V8,AF8,AP8,AZ8,BJ8)</f>
        <v>19</v>
      </c>
      <c r="G9" s="105"/>
      <c r="H9" s="2"/>
      <c r="I9" s="2"/>
      <c r="J9" s="92">
        <v>2</v>
      </c>
      <c r="K9" s="93"/>
      <c r="L9" s="70">
        <v>0</v>
      </c>
      <c r="M9" s="93"/>
      <c r="N9" s="70">
        <v>3</v>
      </c>
      <c r="O9" s="71"/>
      <c r="P9" s="4"/>
      <c r="Q9" s="4"/>
      <c r="R9" s="4"/>
      <c r="S9" s="4"/>
      <c r="T9" s="20">
        <v>2</v>
      </c>
      <c r="U9" s="21"/>
      <c r="V9" s="22">
        <v>0</v>
      </c>
      <c r="W9" s="21"/>
      <c r="X9" s="22">
        <v>2</v>
      </c>
      <c r="Y9" s="23"/>
      <c r="Z9" s="4"/>
      <c r="AA9" s="4"/>
      <c r="AB9" s="4"/>
      <c r="AC9" s="4"/>
      <c r="AD9" s="20">
        <v>3</v>
      </c>
      <c r="AE9" s="21"/>
      <c r="AF9" s="22">
        <v>1</v>
      </c>
      <c r="AG9" s="21"/>
      <c r="AH9" s="22">
        <v>0</v>
      </c>
      <c r="AI9" s="23"/>
      <c r="AJ9" s="4"/>
      <c r="AK9" s="4"/>
      <c r="AL9" s="4"/>
      <c r="AM9" s="4"/>
      <c r="AN9" s="112">
        <v>2</v>
      </c>
      <c r="AO9" s="113"/>
      <c r="AP9" s="106">
        <v>0</v>
      </c>
      <c r="AQ9" s="113"/>
      <c r="AR9" s="106">
        <v>0</v>
      </c>
      <c r="AS9" s="107"/>
      <c r="AT9" s="4"/>
      <c r="AU9" s="4"/>
      <c r="AV9" s="4"/>
      <c r="AW9" s="4"/>
      <c r="AX9" s="112">
        <v>2</v>
      </c>
      <c r="AY9" s="113"/>
      <c r="AZ9" s="106">
        <v>0</v>
      </c>
      <c r="BA9" s="113"/>
      <c r="BB9" s="106">
        <v>0</v>
      </c>
      <c r="BC9" s="107"/>
      <c r="BD9" s="4"/>
      <c r="BE9" s="4"/>
      <c r="BF9" s="4"/>
      <c r="BG9" s="4"/>
      <c r="BH9" s="112">
        <v>2</v>
      </c>
      <c r="BI9" s="113"/>
      <c r="BJ9" s="106">
        <v>0</v>
      </c>
      <c r="BK9" s="113"/>
      <c r="BL9" s="106">
        <v>0</v>
      </c>
      <c r="BM9" s="107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19</v>
      </c>
      <c r="K14" s="25"/>
      <c r="L14" s="26"/>
      <c r="M14" s="27" t="s">
        <v>35</v>
      </c>
      <c r="N14" s="28"/>
      <c r="O14" s="29"/>
      <c r="P14" s="4"/>
      <c r="Q14" s="4"/>
      <c r="R14" s="4"/>
      <c r="S14" s="4"/>
      <c r="T14" s="24" t="s">
        <v>114</v>
      </c>
      <c r="U14" s="25"/>
      <c r="V14" s="26"/>
      <c r="W14" s="38">
        <v>131</v>
      </c>
      <c r="X14" s="39"/>
      <c r="Y14" s="40"/>
      <c r="Z14" s="4"/>
      <c r="AA14" s="4"/>
      <c r="AB14" s="4"/>
      <c r="AC14" s="4"/>
      <c r="AD14" s="24" t="s">
        <v>19</v>
      </c>
      <c r="AE14" s="25"/>
      <c r="AF14" s="26"/>
      <c r="AG14" s="38">
        <v>315</v>
      </c>
      <c r="AH14" s="39"/>
      <c r="AI14" s="40"/>
      <c r="AJ14" s="4"/>
      <c r="AK14" s="4"/>
      <c r="AL14" s="4"/>
      <c r="AM14" s="4"/>
      <c r="AN14" s="24" t="s">
        <v>114</v>
      </c>
      <c r="AO14" s="25"/>
      <c r="AP14" s="26"/>
      <c r="AQ14" s="38">
        <v>112</v>
      </c>
      <c r="AR14" s="39"/>
      <c r="AS14" s="40"/>
      <c r="AT14" s="4"/>
      <c r="AU14" s="4"/>
      <c r="AV14" s="4"/>
      <c r="AW14" s="4"/>
      <c r="AX14" s="24" t="s">
        <v>127</v>
      </c>
      <c r="AY14" s="25"/>
      <c r="AZ14" s="26"/>
      <c r="BA14" s="38" t="s">
        <v>110</v>
      </c>
      <c r="BB14" s="39"/>
      <c r="BC14" s="40"/>
      <c r="BD14" s="4"/>
      <c r="BE14" s="4"/>
      <c r="BF14" s="4"/>
      <c r="BG14" s="4"/>
      <c r="BH14" s="24" t="s">
        <v>131</v>
      </c>
      <c r="BI14" s="25"/>
      <c r="BJ14" s="26"/>
      <c r="BK14" s="38" t="s">
        <v>110</v>
      </c>
      <c r="BL14" s="39"/>
      <c r="BM14" s="40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855</v>
      </c>
      <c r="H15" s="2"/>
      <c r="I15" s="2"/>
      <c r="J15" s="53" t="s">
        <v>34</v>
      </c>
      <c r="K15" s="54"/>
      <c r="L15" s="54"/>
      <c r="M15" s="54"/>
      <c r="N15" s="55"/>
      <c r="O15" s="56"/>
      <c r="P15" s="4"/>
      <c r="Q15" s="4"/>
      <c r="R15" s="4"/>
      <c r="S15" s="4"/>
      <c r="T15" s="30" t="s">
        <v>189</v>
      </c>
      <c r="U15" s="31"/>
      <c r="V15" s="31"/>
      <c r="W15" s="31"/>
      <c r="X15" s="32"/>
      <c r="Y15" s="33"/>
      <c r="Z15" s="4"/>
      <c r="AA15" s="4"/>
      <c r="AB15" s="4"/>
      <c r="AC15" s="4"/>
      <c r="AD15" s="164" t="s">
        <v>26</v>
      </c>
      <c r="AE15" s="165"/>
      <c r="AF15" s="165"/>
      <c r="AG15" s="165"/>
      <c r="AH15" s="165"/>
      <c r="AI15" s="166"/>
      <c r="AJ15" s="4"/>
      <c r="AK15" s="4"/>
      <c r="AL15" s="4"/>
      <c r="AM15" s="4"/>
      <c r="AN15" s="30" t="s">
        <v>126</v>
      </c>
      <c r="AO15" s="31"/>
      <c r="AP15" s="31"/>
      <c r="AQ15" s="31"/>
      <c r="AR15" s="32"/>
      <c r="AS15" s="33"/>
      <c r="AT15" s="4"/>
      <c r="AU15" s="4"/>
      <c r="AV15" s="4"/>
      <c r="AW15" s="4"/>
      <c r="AX15" s="114" t="s">
        <v>128</v>
      </c>
      <c r="AY15" s="115"/>
      <c r="AZ15" s="115"/>
      <c r="BA15" s="115"/>
      <c r="BB15" s="116"/>
      <c r="BC15" s="117"/>
      <c r="BD15" s="4"/>
      <c r="BE15" s="4"/>
      <c r="BF15" s="4"/>
      <c r="BG15" s="4"/>
      <c r="BH15" s="114" t="s">
        <v>20</v>
      </c>
      <c r="BI15" s="115"/>
      <c r="BJ15" s="115"/>
      <c r="BK15" s="115"/>
      <c r="BL15" s="116"/>
      <c r="BM15" s="117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57">
        <v>3</v>
      </c>
      <c r="K16" s="58"/>
      <c r="L16" s="59">
        <v>5</v>
      </c>
      <c r="M16" s="58"/>
      <c r="N16" s="59">
        <v>180</v>
      </c>
      <c r="O16" s="91"/>
      <c r="P16" s="4"/>
      <c r="Q16" s="4"/>
      <c r="R16" s="4"/>
      <c r="S16" s="4"/>
      <c r="T16" s="34">
        <v>3</v>
      </c>
      <c r="U16" s="35"/>
      <c r="V16" s="36">
        <v>5</v>
      </c>
      <c r="W16" s="35"/>
      <c r="X16" s="36">
        <v>195</v>
      </c>
      <c r="Y16" s="37"/>
      <c r="Z16" s="4"/>
      <c r="AA16" s="4"/>
      <c r="AB16" s="4"/>
      <c r="AC16" s="4"/>
      <c r="AD16" s="34">
        <v>3</v>
      </c>
      <c r="AE16" s="35"/>
      <c r="AF16" s="36">
        <v>4</v>
      </c>
      <c r="AG16" s="35"/>
      <c r="AH16" s="36">
        <v>150</v>
      </c>
      <c r="AI16" s="37"/>
      <c r="AJ16" s="4"/>
      <c r="AK16" s="4"/>
      <c r="AL16" s="4"/>
      <c r="AM16" s="4"/>
      <c r="AN16" s="34">
        <v>3</v>
      </c>
      <c r="AO16" s="35"/>
      <c r="AP16" s="36">
        <v>4</v>
      </c>
      <c r="AQ16" s="35"/>
      <c r="AR16" s="36">
        <v>150</v>
      </c>
      <c r="AS16" s="37"/>
      <c r="AT16" s="4"/>
      <c r="AU16" s="4"/>
      <c r="AV16" s="4"/>
      <c r="AW16" s="4"/>
      <c r="AX16" s="110">
        <v>2</v>
      </c>
      <c r="AY16" s="111"/>
      <c r="AZ16" s="108">
        <v>2</v>
      </c>
      <c r="BA16" s="111"/>
      <c r="BB16" s="108">
        <v>90</v>
      </c>
      <c r="BC16" s="109"/>
      <c r="BD16" s="4"/>
      <c r="BE16" s="4"/>
      <c r="BF16" s="4"/>
      <c r="BG16" s="4"/>
      <c r="BH16" s="110">
        <v>2</v>
      </c>
      <c r="BI16" s="111"/>
      <c r="BJ16" s="108">
        <v>2</v>
      </c>
      <c r="BK16" s="111"/>
      <c r="BL16" s="108">
        <v>90</v>
      </c>
      <c r="BM16" s="109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SUM(J16,T16,AD16,AN16,AX16,BH16)</f>
        <v>16</v>
      </c>
      <c r="F17" s="11">
        <f>SUM(L16,V16,AF16,AP16,AZ16,BJ16)</f>
        <v>22</v>
      </c>
      <c r="G17" s="105"/>
      <c r="H17" s="2"/>
      <c r="I17" s="2"/>
      <c r="J17" s="92">
        <v>2</v>
      </c>
      <c r="K17" s="93"/>
      <c r="L17" s="70">
        <v>0</v>
      </c>
      <c r="M17" s="93"/>
      <c r="N17" s="70">
        <v>3</v>
      </c>
      <c r="O17" s="71"/>
      <c r="P17" s="4"/>
      <c r="Q17" s="4"/>
      <c r="R17" s="4"/>
      <c r="S17" s="4"/>
      <c r="T17" s="20">
        <v>2</v>
      </c>
      <c r="U17" s="21"/>
      <c r="V17" s="22">
        <v>2</v>
      </c>
      <c r="W17" s="21"/>
      <c r="X17" s="22">
        <v>1</v>
      </c>
      <c r="Y17" s="23"/>
      <c r="Z17" s="4"/>
      <c r="AA17" s="4"/>
      <c r="AB17" s="4"/>
      <c r="AC17" s="4"/>
      <c r="AD17" s="20">
        <v>2</v>
      </c>
      <c r="AE17" s="21"/>
      <c r="AF17" s="22">
        <v>2</v>
      </c>
      <c r="AG17" s="21"/>
      <c r="AH17" s="22">
        <v>0</v>
      </c>
      <c r="AI17" s="23"/>
      <c r="AJ17" s="4"/>
      <c r="AK17" s="4"/>
      <c r="AL17" s="4"/>
      <c r="AM17" s="4"/>
      <c r="AN17" s="20">
        <v>3</v>
      </c>
      <c r="AO17" s="21"/>
      <c r="AP17" s="22">
        <v>1</v>
      </c>
      <c r="AQ17" s="21"/>
      <c r="AR17" s="22">
        <v>0</v>
      </c>
      <c r="AS17" s="23"/>
      <c r="AT17" s="4"/>
      <c r="AU17" s="4"/>
      <c r="AV17" s="4"/>
      <c r="AW17" s="4"/>
      <c r="AX17" s="112">
        <v>2</v>
      </c>
      <c r="AY17" s="113"/>
      <c r="AZ17" s="106">
        <v>0</v>
      </c>
      <c r="BA17" s="113"/>
      <c r="BB17" s="106">
        <v>0</v>
      </c>
      <c r="BC17" s="107"/>
      <c r="BD17" s="4"/>
      <c r="BE17" s="4"/>
      <c r="BF17" s="4"/>
      <c r="BG17" s="4"/>
      <c r="BH17" s="112">
        <v>2</v>
      </c>
      <c r="BI17" s="113"/>
      <c r="BJ17" s="106">
        <v>0</v>
      </c>
      <c r="BK17" s="113"/>
      <c r="BL17" s="106">
        <v>0</v>
      </c>
      <c r="BM17" s="107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3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19</v>
      </c>
      <c r="K24" s="25"/>
      <c r="L24" s="26"/>
      <c r="M24" s="38">
        <v>111</v>
      </c>
      <c r="N24" s="102"/>
      <c r="O24" s="103"/>
      <c r="P24" s="4"/>
      <c r="Q24" s="4"/>
      <c r="R24" s="4"/>
      <c r="S24" s="4"/>
      <c r="T24" s="24" t="s">
        <v>19</v>
      </c>
      <c r="U24" s="25"/>
      <c r="V24" s="26"/>
      <c r="W24" s="38">
        <v>131</v>
      </c>
      <c r="X24" s="102"/>
      <c r="Y24" s="103"/>
      <c r="Z24" s="4"/>
      <c r="AA24" s="4"/>
      <c r="AB24" s="4"/>
      <c r="AC24" s="4"/>
      <c r="AD24" s="24" t="s">
        <v>114</v>
      </c>
      <c r="AE24" s="25"/>
      <c r="AF24" s="26"/>
      <c r="AG24" s="38">
        <v>231</v>
      </c>
      <c r="AH24" s="39"/>
      <c r="AI24" s="40"/>
      <c r="AJ24" s="4"/>
      <c r="AK24" s="4"/>
      <c r="AL24" s="4"/>
      <c r="AM24" s="4"/>
      <c r="AN24" s="24" t="s">
        <v>48</v>
      </c>
      <c r="AO24" s="25"/>
      <c r="AP24" s="26"/>
      <c r="AQ24" s="38">
        <v>111</v>
      </c>
      <c r="AR24" s="39"/>
      <c r="AS24" s="40"/>
      <c r="AT24" s="4"/>
      <c r="AU24" s="4"/>
      <c r="AV24" s="4"/>
      <c r="AW24" s="4"/>
      <c r="AX24" s="24" t="s">
        <v>114</v>
      </c>
      <c r="AY24" s="25"/>
      <c r="AZ24" s="26"/>
      <c r="BA24" s="38">
        <v>212</v>
      </c>
      <c r="BB24" s="39"/>
      <c r="BC24" s="40"/>
      <c r="BD24" s="4"/>
      <c r="BE24" s="4"/>
      <c r="BF24" s="4"/>
      <c r="BG24" s="4"/>
      <c r="BH24" s="24" t="s">
        <v>129</v>
      </c>
      <c r="BI24" s="25"/>
      <c r="BJ24" s="26"/>
      <c r="BK24" s="38" t="s">
        <v>110</v>
      </c>
      <c r="BL24" s="39"/>
      <c r="BM24" s="40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48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SUM(N26,X26,AH26,J25,AR26,BB26,BL26)</f>
        <v>990</v>
      </c>
      <c r="H25" s="2"/>
      <c r="I25" s="2"/>
      <c r="J25" s="53" t="s">
        <v>36</v>
      </c>
      <c r="K25" s="54"/>
      <c r="L25" s="54"/>
      <c r="M25" s="54"/>
      <c r="N25" s="55"/>
      <c r="O25" s="56"/>
      <c r="P25" s="4"/>
      <c r="Q25" s="4"/>
      <c r="R25" s="4"/>
      <c r="S25" s="4"/>
      <c r="T25" s="53" t="s">
        <v>197</v>
      </c>
      <c r="U25" s="54"/>
      <c r="V25" s="54"/>
      <c r="W25" s="54"/>
      <c r="X25" s="55"/>
      <c r="Y25" s="56"/>
      <c r="Z25" s="4"/>
      <c r="AA25" s="4"/>
      <c r="AB25" s="4"/>
      <c r="AC25" s="4"/>
      <c r="AD25" s="30" t="s">
        <v>190</v>
      </c>
      <c r="AE25" s="31"/>
      <c r="AF25" s="31"/>
      <c r="AG25" s="31"/>
      <c r="AH25" s="32"/>
      <c r="AI25" s="33"/>
      <c r="AJ25" s="4"/>
      <c r="AK25" s="4"/>
      <c r="AL25" s="4"/>
      <c r="AM25" s="4"/>
      <c r="AN25" s="53" t="s">
        <v>47</v>
      </c>
      <c r="AO25" s="54"/>
      <c r="AP25" s="54"/>
      <c r="AQ25" s="54"/>
      <c r="AR25" s="55"/>
      <c r="AS25" s="56"/>
      <c r="AT25" s="4"/>
      <c r="AU25" s="4"/>
      <c r="AV25" s="4"/>
      <c r="AW25" s="4"/>
      <c r="AX25" s="30" t="s">
        <v>182</v>
      </c>
      <c r="AY25" s="31"/>
      <c r="AZ25" s="31"/>
      <c r="BA25" s="31"/>
      <c r="BB25" s="32"/>
      <c r="BC25" s="33"/>
      <c r="BD25" s="4"/>
      <c r="BE25" s="4"/>
      <c r="BF25" s="4"/>
      <c r="BG25" s="4"/>
      <c r="BH25" s="114" t="s">
        <v>130</v>
      </c>
      <c r="BI25" s="115"/>
      <c r="BJ25" s="115"/>
      <c r="BK25" s="115"/>
      <c r="BL25" s="116"/>
      <c r="BM25" s="117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57">
        <v>3</v>
      </c>
      <c r="K26" s="58"/>
      <c r="L26" s="59">
        <v>5</v>
      </c>
      <c r="M26" s="58"/>
      <c r="N26" s="59">
        <v>180</v>
      </c>
      <c r="O26" s="91"/>
      <c r="P26" s="4"/>
      <c r="Q26" s="4"/>
      <c r="R26" s="4"/>
      <c r="S26" s="4"/>
      <c r="T26" s="57">
        <v>3</v>
      </c>
      <c r="U26" s="58"/>
      <c r="V26" s="59">
        <v>6</v>
      </c>
      <c r="W26" s="58"/>
      <c r="X26" s="59">
        <v>195</v>
      </c>
      <c r="Y26" s="91"/>
      <c r="Z26" s="4"/>
      <c r="AA26" s="4"/>
      <c r="AB26" s="4"/>
      <c r="AC26" s="4"/>
      <c r="AD26" s="34">
        <v>3</v>
      </c>
      <c r="AE26" s="35"/>
      <c r="AF26" s="36">
        <v>5</v>
      </c>
      <c r="AG26" s="35"/>
      <c r="AH26" s="36">
        <v>195</v>
      </c>
      <c r="AI26" s="37"/>
      <c r="AJ26" s="4"/>
      <c r="AK26" s="4"/>
      <c r="AL26" s="4"/>
      <c r="AM26" s="4"/>
      <c r="AN26" s="57">
        <v>3</v>
      </c>
      <c r="AO26" s="58"/>
      <c r="AP26" s="59">
        <v>5</v>
      </c>
      <c r="AQ26" s="58"/>
      <c r="AR26" s="59">
        <v>180</v>
      </c>
      <c r="AS26" s="91"/>
      <c r="AT26" s="4"/>
      <c r="AU26" s="4"/>
      <c r="AV26" s="4"/>
      <c r="AW26" s="4"/>
      <c r="AX26" s="34">
        <v>3</v>
      </c>
      <c r="AY26" s="35"/>
      <c r="AZ26" s="36">
        <v>4</v>
      </c>
      <c r="BA26" s="35"/>
      <c r="BB26" s="36">
        <v>150</v>
      </c>
      <c r="BC26" s="37"/>
      <c r="BD26" s="4"/>
      <c r="BE26" s="4"/>
      <c r="BF26" s="4"/>
      <c r="BG26" s="4"/>
      <c r="BH26" s="110">
        <v>2</v>
      </c>
      <c r="BI26" s="111"/>
      <c r="BJ26" s="108">
        <v>2</v>
      </c>
      <c r="BK26" s="111"/>
      <c r="BL26" s="108">
        <v>90</v>
      </c>
      <c r="BM26" s="109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15" customHeight="1" thickBot="1" x14ac:dyDescent="0.35">
      <c r="B27" s="118"/>
      <c r="C27" s="1"/>
      <c r="D27" s="119"/>
      <c r="E27" s="11">
        <f>SUM(J26,T26,AD26,AN26,AX26,BH26)</f>
        <v>17</v>
      </c>
      <c r="F27" s="11">
        <f>SUM(L26,V26,AF26,AP26,AZ26,BJ26)</f>
        <v>27</v>
      </c>
      <c r="G27" s="105"/>
      <c r="H27" s="2"/>
      <c r="I27" s="2"/>
      <c r="J27" s="92">
        <v>2</v>
      </c>
      <c r="K27" s="93"/>
      <c r="L27" s="70">
        <v>0</v>
      </c>
      <c r="M27" s="93"/>
      <c r="N27" s="70">
        <v>3</v>
      </c>
      <c r="O27" s="71"/>
      <c r="P27" s="4"/>
      <c r="Q27" s="4"/>
      <c r="R27" s="4"/>
      <c r="S27" s="4"/>
      <c r="T27" s="92">
        <v>2</v>
      </c>
      <c r="U27" s="93"/>
      <c r="V27" s="70">
        <v>2</v>
      </c>
      <c r="W27" s="93"/>
      <c r="X27" s="70">
        <v>2</v>
      </c>
      <c r="Y27" s="71"/>
      <c r="Z27" s="4"/>
      <c r="AA27" s="4"/>
      <c r="AB27" s="4"/>
      <c r="AC27" s="4"/>
      <c r="AD27" s="20">
        <v>2</v>
      </c>
      <c r="AE27" s="21"/>
      <c r="AF27" s="22">
        <v>1</v>
      </c>
      <c r="AG27" s="21"/>
      <c r="AH27" s="22">
        <v>2</v>
      </c>
      <c r="AI27" s="23"/>
      <c r="AJ27" s="4"/>
      <c r="AK27" s="4"/>
      <c r="AL27" s="4"/>
      <c r="AM27" s="4"/>
      <c r="AN27" s="92">
        <v>2</v>
      </c>
      <c r="AO27" s="93"/>
      <c r="AP27" s="70">
        <v>1</v>
      </c>
      <c r="AQ27" s="93"/>
      <c r="AR27" s="70">
        <v>2</v>
      </c>
      <c r="AS27" s="71"/>
      <c r="AT27" s="4"/>
      <c r="AU27" s="4"/>
      <c r="AV27" s="4"/>
      <c r="AW27" s="4"/>
      <c r="AX27" s="20">
        <v>2</v>
      </c>
      <c r="AY27" s="21"/>
      <c r="AZ27" s="22">
        <v>0</v>
      </c>
      <c r="BA27" s="21"/>
      <c r="BB27" s="22">
        <v>2</v>
      </c>
      <c r="BC27" s="23"/>
      <c r="BD27" s="4"/>
      <c r="BE27" s="4"/>
      <c r="BF27" s="4"/>
      <c r="BG27" s="4"/>
      <c r="BH27" s="112">
        <v>2</v>
      </c>
      <c r="BI27" s="113"/>
      <c r="BJ27" s="106">
        <v>0</v>
      </c>
      <c r="BK27" s="113"/>
      <c r="BL27" s="106">
        <v>0</v>
      </c>
      <c r="BM27" s="107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19</v>
      </c>
      <c r="K32" s="25"/>
      <c r="L32" s="26"/>
      <c r="M32" s="38">
        <v>132</v>
      </c>
      <c r="N32" s="102"/>
      <c r="O32" s="103"/>
      <c r="P32" s="4"/>
      <c r="Q32" s="4"/>
      <c r="R32" s="4"/>
      <c r="S32" s="4"/>
      <c r="T32" s="24" t="s">
        <v>19</v>
      </c>
      <c r="U32" s="25"/>
      <c r="V32" s="26"/>
      <c r="W32" s="38">
        <v>221</v>
      </c>
      <c r="X32" s="102"/>
      <c r="Y32" s="103"/>
      <c r="Z32" s="4"/>
      <c r="AA32" s="4"/>
      <c r="AB32" s="4"/>
      <c r="AC32" s="4"/>
      <c r="AD32" s="24" t="s">
        <v>19</v>
      </c>
      <c r="AE32" s="25"/>
      <c r="AF32" s="26"/>
      <c r="AG32" s="38">
        <v>281</v>
      </c>
      <c r="AH32" s="102"/>
      <c r="AI32" s="103"/>
      <c r="AJ32" s="4"/>
      <c r="AK32" s="4"/>
      <c r="AL32" s="4"/>
      <c r="AM32" s="4"/>
      <c r="AN32" s="24" t="s">
        <v>114</v>
      </c>
      <c r="AO32" s="25"/>
      <c r="AP32" s="26"/>
      <c r="AQ32" s="38">
        <v>312</v>
      </c>
      <c r="AR32" s="39"/>
      <c r="AS32" s="40"/>
      <c r="AT32" s="4"/>
      <c r="AU32" s="4"/>
      <c r="AV32" s="4"/>
      <c r="AW32" s="4"/>
      <c r="AX32" s="24" t="s">
        <v>48</v>
      </c>
      <c r="AY32" s="25"/>
      <c r="AZ32" s="26"/>
      <c r="BA32" s="38">
        <v>191</v>
      </c>
      <c r="BB32" s="102"/>
      <c r="BC32" s="103"/>
      <c r="BD32" s="4"/>
      <c r="BE32" s="4"/>
      <c r="BF32" s="4"/>
      <c r="BG32" s="4"/>
      <c r="BH32" s="24" t="s">
        <v>48</v>
      </c>
      <c r="BI32" s="25"/>
      <c r="BJ32" s="26"/>
      <c r="BK32" s="38">
        <v>121</v>
      </c>
      <c r="BL32" s="39"/>
      <c r="BM32" s="40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915</v>
      </c>
      <c r="H33" s="2"/>
      <c r="I33" s="2"/>
      <c r="J33" s="53" t="s">
        <v>234</v>
      </c>
      <c r="K33" s="54"/>
      <c r="L33" s="54"/>
      <c r="M33" s="54"/>
      <c r="N33" s="55"/>
      <c r="O33" s="56"/>
      <c r="P33" s="4"/>
      <c r="Q33" s="4"/>
      <c r="R33" s="4"/>
      <c r="S33" s="4"/>
      <c r="T33" s="53" t="s">
        <v>43</v>
      </c>
      <c r="U33" s="54"/>
      <c r="V33" s="54"/>
      <c r="W33" s="54"/>
      <c r="X33" s="55"/>
      <c r="Y33" s="56"/>
      <c r="Z33" s="4"/>
      <c r="AA33" s="4"/>
      <c r="AB33" s="4"/>
      <c r="AC33" s="4"/>
      <c r="AD33" s="94" t="s">
        <v>42</v>
      </c>
      <c r="AE33" s="95"/>
      <c r="AF33" s="95"/>
      <c r="AG33" s="95"/>
      <c r="AH33" s="96"/>
      <c r="AI33" s="97"/>
      <c r="AJ33" s="4"/>
      <c r="AK33" s="4"/>
      <c r="AL33" s="4"/>
      <c r="AM33" s="4"/>
      <c r="AN33" s="30" t="s">
        <v>250</v>
      </c>
      <c r="AO33" s="31"/>
      <c r="AP33" s="31"/>
      <c r="AQ33" s="31"/>
      <c r="AR33" s="32"/>
      <c r="AS33" s="33"/>
      <c r="AT33" s="4"/>
      <c r="AU33" s="4"/>
      <c r="AV33" s="4"/>
      <c r="AW33" s="4"/>
      <c r="AX33" s="41" t="s">
        <v>154</v>
      </c>
      <c r="AY33" s="42"/>
      <c r="AZ33" s="42"/>
      <c r="BA33" s="42"/>
      <c r="BB33" s="43"/>
      <c r="BC33" s="44"/>
      <c r="BD33" s="4"/>
      <c r="BE33" s="4"/>
      <c r="BF33" s="4"/>
      <c r="BG33" s="4"/>
      <c r="BH33" s="53" t="s">
        <v>49</v>
      </c>
      <c r="BI33" s="54"/>
      <c r="BJ33" s="54"/>
      <c r="BK33" s="54"/>
      <c r="BL33" s="55"/>
      <c r="BM33" s="56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57">
        <v>3</v>
      </c>
      <c r="K34" s="58"/>
      <c r="L34" s="59">
        <v>5</v>
      </c>
      <c r="M34" s="58"/>
      <c r="N34" s="59">
        <v>165</v>
      </c>
      <c r="O34" s="91"/>
      <c r="P34" s="4"/>
      <c r="Q34" s="4"/>
      <c r="R34" s="4"/>
      <c r="S34" s="4"/>
      <c r="T34" s="57">
        <v>3</v>
      </c>
      <c r="U34" s="58"/>
      <c r="V34" s="59">
        <v>5</v>
      </c>
      <c r="W34" s="58"/>
      <c r="X34" s="59">
        <v>180</v>
      </c>
      <c r="Y34" s="91"/>
      <c r="Z34" s="4"/>
      <c r="AA34" s="4"/>
      <c r="AB34" s="4"/>
      <c r="AC34" s="4"/>
      <c r="AD34" s="98">
        <v>3</v>
      </c>
      <c r="AE34" s="99"/>
      <c r="AF34" s="100">
        <v>5</v>
      </c>
      <c r="AG34" s="99"/>
      <c r="AH34" s="100">
        <v>180</v>
      </c>
      <c r="AI34" s="101"/>
      <c r="AJ34" s="4"/>
      <c r="AK34" s="4"/>
      <c r="AL34" s="4"/>
      <c r="AM34" s="4"/>
      <c r="AN34" s="34">
        <v>3</v>
      </c>
      <c r="AO34" s="35"/>
      <c r="AP34" s="36">
        <v>4</v>
      </c>
      <c r="AQ34" s="35"/>
      <c r="AR34" s="36">
        <v>150</v>
      </c>
      <c r="AS34" s="37"/>
      <c r="AT34" s="4"/>
      <c r="AU34" s="4"/>
      <c r="AV34" s="4"/>
      <c r="AW34" s="4"/>
      <c r="AX34" s="45">
        <v>2</v>
      </c>
      <c r="AY34" s="46"/>
      <c r="AZ34" s="47">
        <v>2</v>
      </c>
      <c r="BA34" s="46"/>
      <c r="BB34" s="47">
        <v>60</v>
      </c>
      <c r="BC34" s="48"/>
      <c r="BD34" s="4"/>
      <c r="BE34" s="4"/>
      <c r="BF34" s="4"/>
      <c r="BG34" s="4"/>
      <c r="BH34" s="57">
        <v>3</v>
      </c>
      <c r="BI34" s="58"/>
      <c r="BJ34" s="59">
        <v>5</v>
      </c>
      <c r="BK34" s="58"/>
      <c r="BL34" s="59">
        <v>180</v>
      </c>
      <c r="BM34" s="91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SUM(J34,T34,AD34,AN34,AX34,BH34)</f>
        <v>17</v>
      </c>
      <c r="F35" s="11">
        <f>L34+V34+AF34+AP34+AZ34+BJ34</f>
        <v>26</v>
      </c>
      <c r="G35" s="105"/>
      <c r="H35" s="2"/>
      <c r="I35" s="2"/>
      <c r="J35" s="92">
        <v>2</v>
      </c>
      <c r="K35" s="93"/>
      <c r="L35" s="70">
        <v>1</v>
      </c>
      <c r="M35" s="93"/>
      <c r="N35" s="70">
        <v>2</v>
      </c>
      <c r="O35" s="71"/>
      <c r="P35" s="4"/>
      <c r="Q35" s="4"/>
      <c r="R35" s="4"/>
      <c r="S35" s="4"/>
      <c r="T35" s="92">
        <v>2</v>
      </c>
      <c r="U35" s="93"/>
      <c r="V35" s="70">
        <v>1</v>
      </c>
      <c r="W35" s="93"/>
      <c r="X35" s="70">
        <v>2</v>
      </c>
      <c r="Y35" s="71"/>
      <c r="Z35" s="4"/>
      <c r="AA35" s="4"/>
      <c r="AB35" s="4"/>
      <c r="AC35" s="4"/>
      <c r="AD35" s="72">
        <v>2</v>
      </c>
      <c r="AE35" s="73"/>
      <c r="AF35" s="68">
        <v>1</v>
      </c>
      <c r="AG35" s="73"/>
      <c r="AH35" s="68">
        <v>2</v>
      </c>
      <c r="AI35" s="69"/>
      <c r="AJ35" s="4"/>
      <c r="AK35" s="4"/>
      <c r="AL35" s="4"/>
      <c r="AM35" s="4"/>
      <c r="AN35" s="20">
        <v>2</v>
      </c>
      <c r="AO35" s="21"/>
      <c r="AP35" s="22">
        <v>2</v>
      </c>
      <c r="AQ35" s="21"/>
      <c r="AR35" s="22">
        <v>0</v>
      </c>
      <c r="AS35" s="23"/>
      <c r="AT35" s="4"/>
      <c r="AU35" s="4"/>
      <c r="AV35" s="4"/>
      <c r="AW35" s="4"/>
      <c r="AX35" s="49">
        <v>2</v>
      </c>
      <c r="AY35" s="50"/>
      <c r="AZ35" s="51">
        <v>0</v>
      </c>
      <c r="BA35" s="50"/>
      <c r="BB35" s="51">
        <v>0</v>
      </c>
      <c r="BC35" s="52"/>
      <c r="BD35" s="4"/>
      <c r="BE35" s="4"/>
      <c r="BF35" s="4"/>
      <c r="BG35" s="4"/>
      <c r="BH35" s="92">
        <v>2</v>
      </c>
      <c r="BI35" s="93"/>
      <c r="BJ35" s="70">
        <v>1</v>
      </c>
      <c r="BK35" s="93"/>
      <c r="BL35" s="70">
        <v>2</v>
      </c>
      <c r="BM35" s="71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2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19</v>
      </c>
      <c r="K42" s="25"/>
      <c r="L42" s="26"/>
      <c r="M42" s="27" t="s">
        <v>235</v>
      </c>
      <c r="N42" s="28"/>
      <c r="O42" s="29"/>
      <c r="P42" s="4"/>
      <c r="Q42" s="4"/>
      <c r="R42" s="4"/>
      <c r="S42" s="4"/>
      <c r="T42" s="24" t="s">
        <v>48</v>
      </c>
      <c r="U42" s="25"/>
      <c r="V42" s="26"/>
      <c r="W42" s="38">
        <v>231</v>
      </c>
      <c r="X42" s="39"/>
      <c r="Y42" s="40"/>
      <c r="Z42" s="4"/>
      <c r="AA42" s="4"/>
      <c r="AB42" s="4"/>
      <c r="AC42" s="4"/>
      <c r="AD42" s="24" t="s">
        <v>48</v>
      </c>
      <c r="AE42" s="25"/>
      <c r="AF42" s="26"/>
      <c r="AG42" s="38">
        <v>323</v>
      </c>
      <c r="AH42" s="102"/>
      <c r="AI42" s="103"/>
      <c r="AJ42" s="4"/>
      <c r="AK42" s="4"/>
      <c r="AL42" s="4"/>
      <c r="AM42" s="4"/>
      <c r="AN42" s="24" t="s">
        <v>19</v>
      </c>
      <c r="AO42" s="25"/>
      <c r="AP42" s="26"/>
      <c r="AQ42" s="38">
        <v>261</v>
      </c>
      <c r="AR42" s="102"/>
      <c r="AS42" s="103"/>
      <c r="AT42" s="4"/>
      <c r="AU42" s="4"/>
      <c r="AV42" s="4"/>
      <c r="AW42" s="4"/>
      <c r="AX42" s="24" t="s">
        <v>19</v>
      </c>
      <c r="AY42" s="25"/>
      <c r="AZ42" s="26"/>
      <c r="BA42" s="38">
        <v>233</v>
      </c>
      <c r="BB42" s="102"/>
      <c r="BC42" s="103"/>
      <c r="BD42" s="4"/>
      <c r="BE42" s="4"/>
      <c r="BF42" s="4"/>
      <c r="BG42" s="4"/>
      <c r="BH42" s="24" t="s">
        <v>133</v>
      </c>
      <c r="BI42" s="25"/>
      <c r="BJ42" s="26"/>
      <c r="BK42" s="38" t="s">
        <v>110</v>
      </c>
      <c r="BL42" s="39"/>
      <c r="BM42" s="40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960</v>
      </c>
      <c r="H43" s="2"/>
      <c r="I43" s="2"/>
      <c r="J43" s="53" t="s">
        <v>67</v>
      </c>
      <c r="K43" s="54"/>
      <c r="L43" s="54"/>
      <c r="M43" s="54"/>
      <c r="N43" s="55"/>
      <c r="O43" s="56"/>
      <c r="P43" s="4"/>
      <c r="Q43" s="4"/>
      <c r="R43" s="4"/>
      <c r="S43" s="4"/>
      <c r="T43" s="94" t="s">
        <v>50</v>
      </c>
      <c r="U43" s="95"/>
      <c r="V43" s="95"/>
      <c r="W43" s="95"/>
      <c r="X43" s="96"/>
      <c r="Y43" s="97"/>
      <c r="Z43" s="4"/>
      <c r="AA43" s="4"/>
      <c r="AB43" s="4"/>
      <c r="AC43" s="4"/>
      <c r="AD43" s="94" t="s">
        <v>57</v>
      </c>
      <c r="AE43" s="95"/>
      <c r="AF43" s="95"/>
      <c r="AG43" s="95"/>
      <c r="AH43" s="96"/>
      <c r="AI43" s="97"/>
      <c r="AJ43" s="4"/>
      <c r="AK43" s="4"/>
      <c r="AL43" s="4"/>
      <c r="AM43" s="4"/>
      <c r="AN43" s="53" t="s">
        <v>41</v>
      </c>
      <c r="AO43" s="54"/>
      <c r="AP43" s="54"/>
      <c r="AQ43" s="54"/>
      <c r="AR43" s="55"/>
      <c r="AS43" s="56"/>
      <c r="AT43" s="4"/>
      <c r="AU43" s="4"/>
      <c r="AV43" s="4"/>
      <c r="AW43" s="4"/>
      <c r="AX43" s="53" t="s">
        <v>40</v>
      </c>
      <c r="AY43" s="54"/>
      <c r="AZ43" s="54"/>
      <c r="BA43" s="54"/>
      <c r="BB43" s="55"/>
      <c r="BC43" s="56"/>
      <c r="BD43" s="4"/>
      <c r="BE43" s="4"/>
      <c r="BF43" s="4"/>
      <c r="BG43" s="4"/>
      <c r="BH43" s="114" t="s">
        <v>132</v>
      </c>
      <c r="BI43" s="115"/>
      <c r="BJ43" s="115"/>
      <c r="BK43" s="115"/>
      <c r="BL43" s="116"/>
      <c r="BM43" s="117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57">
        <v>3</v>
      </c>
      <c r="K44" s="58"/>
      <c r="L44" s="59">
        <v>5</v>
      </c>
      <c r="M44" s="58"/>
      <c r="N44" s="59">
        <v>180</v>
      </c>
      <c r="O44" s="91"/>
      <c r="P44" s="4"/>
      <c r="Q44" s="4"/>
      <c r="R44" s="4"/>
      <c r="S44" s="4"/>
      <c r="T44" s="98">
        <v>3</v>
      </c>
      <c r="U44" s="99"/>
      <c r="V44" s="100">
        <v>5</v>
      </c>
      <c r="W44" s="99"/>
      <c r="X44" s="100">
        <v>180</v>
      </c>
      <c r="Y44" s="101"/>
      <c r="Z44" s="4"/>
      <c r="AA44" s="4"/>
      <c r="AB44" s="4"/>
      <c r="AC44" s="4"/>
      <c r="AD44" s="98">
        <v>3</v>
      </c>
      <c r="AE44" s="99"/>
      <c r="AF44" s="100">
        <v>5</v>
      </c>
      <c r="AG44" s="99"/>
      <c r="AH44" s="100">
        <v>180</v>
      </c>
      <c r="AI44" s="101"/>
      <c r="AJ44" s="4"/>
      <c r="AK44" s="4"/>
      <c r="AL44" s="4"/>
      <c r="AM44" s="4"/>
      <c r="AN44" s="57">
        <v>3</v>
      </c>
      <c r="AO44" s="58"/>
      <c r="AP44" s="59">
        <v>5</v>
      </c>
      <c r="AQ44" s="58"/>
      <c r="AR44" s="59">
        <v>165</v>
      </c>
      <c r="AS44" s="91"/>
      <c r="AT44" s="4"/>
      <c r="AU44" s="4"/>
      <c r="AV44" s="4"/>
      <c r="AW44" s="4"/>
      <c r="AX44" s="57">
        <v>3</v>
      </c>
      <c r="AY44" s="58"/>
      <c r="AZ44" s="59">
        <v>5</v>
      </c>
      <c r="BA44" s="58"/>
      <c r="BB44" s="59">
        <v>165</v>
      </c>
      <c r="BC44" s="91"/>
      <c r="BD44" s="4"/>
      <c r="BE44" s="4"/>
      <c r="BF44" s="4"/>
      <c r="BG44" s="4"/>
      <c r="BH44" s="110">
        <v>2</v>
      </c>
      <c r="BI44" s="111"/>
      <c r="BJ44" s="108">
        <v>2</v>
      </c>
      <c r="BK44" s="111"/>
      <c r="BL44" s="108">
        <v>90</v>
      </c>
      <c r="BM44" s="109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17</v>
      </c>
      <c r="F45" s="11">
        <f>SUM(L44,V44,AF44,AP44,AZ44,BJ44)</f>
        <v>27</v>
      </c>
      <c r="G45" s="105"/>
      <c r="H45" s="2"/>
      <c r="I45" s="2"/>
      <c r="J45" s="92">
        <v>2</v>
      </c>
      <c r="K45" s="93"/>
      <c r="L45" s="70">
        <v>1</v>
      </c>
      <c r="M45" s="93"/>
      <c r="N45" s="70">
        <v>2</v>
      </c>
      <c r="O45" s="71"/>
      <c r="P45" s="4"/>
      <c r="Q45" s="4"/>
      <c r="R45" s="4"/>
      <c r="S45" s="4"/>
      <c r="T45" s="72">
        <v>2</v>
      </c>
      <c r="U45" s="73"/>
      <c r="V45" s="68">
        <v>1</v>
      </c>
      <c r="W45" s="73"/>
      <c r="X45" s="68">
        <v>2</v>
      </c>
      <c r="Y45" s="69"/>
      <c r="Z45" s="4"/>
      <c r="AA45" s="4"/>
      <c r="AB45" s="4"/>
      <c r="AC45" s="4"/>
      <c r="AD45" s="72">
        <v>2</v>
      </c>
      <c r="AE45" s="73"/>
      <c r="AF45" s="68">
        <v>1</v>
      </c>
      <c r="AG45" s="73"/>
      <c r="AH45" s="68">
        <v>2</v>
      </c>
      <c r="AI45" s="69"/>
      <c r="AJ45" s="4"/>
      <c r="AK45" s="4"/>
      <c r="AL45" s="4"/>
      <c r="AM45" s="4"/>
      <c r="AN45" s="92">
        <v>2</v>
      </c>
      <c r="AO45" s="93"/>
      <c r="AP45" s="70">
        <v>1</v>
      </c>
      <c r="AQ45" s="93"/>
      <c r="AR45" s="70">
        <v>2</v>
      </c>
      <c r="AS45" s="71"/>
      <c r="AT45" s="4"/>
      <c r="AU45" s="4"/>
      <c r="AV45" s="4"/>
      <c r="AW45" s="4"/>
      <c r="AX45" s="92">
        <v>2</v>
      </c>
      <c r="AY45" s="93"/>
      <c r="AZ45" s="70">
        <v>1</v>
      </c>
      <c r="BA45" s="93"/>
      <c r="BB45" s="70">
        <v>2</v>
      </c>
      <c r="BC45" s="71"/>
      <c r="BD45" s="4"/>
      <c r="BE45" s="4"/>
      <c r="BF45" s="4"/>
      <c r="BG45" s="4"/>
      <c r="BH45" s="112">
        <v>2</v>
      </c>
      <c r="BI45" s="113"/>
      <c r="BJ45" s="106">
        <v>0</v>
      </c>
      <c r="BK45" s="113"/>
      <c r="BL45" s="106">
        <v>0</v>
      </c>
      <c r="BM45" s="107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19</v>
      </c>
      <c r="K50" s="25"/>
      <c r="L50" s="26"/>
      <c r="M50" s="38">
        <v>112</v>
      </c>
      <c r="N50" s="102"/>
      <c r="O50" s="103"/>
      <c r="P50" s="4"/>
      <c r="Q50" s="4"/>
      <c r="R50" s="4"/>
      <c r="S50" s="4"/>
      <c r="T50" s="24" t="s">
        <v>48</v>
      </c>
      <c r="U50" s="25"/>
      <c r="V50" s="26"/>
      <c r="W50" s="38">
        <v>292</v>
      </c>
      <c r="X50" s="39"/>
      <c r="Y50" s="40"/>
      <c r="Z50" s="4"/>
      <c r="AA50" s="4"/>
      <c r="AB50" s="4"/>
      <c r="AC50" s="4"/>
      <c r="AD50" s="24" t="s">
        <v>48</v>
      </c>
      <c r="AE50" s="25"/>
      <c r="AF50" s="26"/>
      <c r="AG50" s="38">
        <v>213</v>
      </c>
      <c r="AH50" s="39"/>
      <c r="AI50" s="40"/>
      <c r="AJ50" s="4"/>
      <c r="AK50" s="4"/>
      <c r="AL50" s="4"/>
      <c r="AM50" s="4"/>
      <c r="AN50" s="24" t="s">
        <v>48</v>
      </c>
      <c r="AO50" s="25"/>
      <c r="AP50" s="26"/>
      <c r="AQ50" s="38">
        <v>212</v>
      </c>
      <c r="AR50" s="39"/>
      <c r="AS50" s="40"/>
      <c r="AT50" s="4"/>
      <c r="AU50" s="4"/>
      <c r="AV50" s="4"/>
      <c r="AW50" s="4"/>
      <c r="AX50" s="24" t="s">
        <v>48</v>
      </c>
      <c r="AY50" s="25"/>
      <c r="AZ50" s="26"/>
      <c r="BA50" s="38">
        <v>241</v>
      </c>
      <c r="BB50" s="39"/>
      <c r="BC50" s="40"/>
      <c r="BD50" s="4"/>
      <c r="BE50" s="4"/>
      <c r="BF50" s="4"/>
      <c r="BG50" s="4"/>
      <c r="BH50" s="24" t="s">
        <v>136</v>
      </c>
      <c r="BI50" s="25"/>
      <c r="BJ50" s="26"/>
      <c r="BK50" s="38" t="s">
        <v>112</v>
      </c>
      <c r="BL50" s="39"/>
      <c r="BM50" s="40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SUM(N52,X52,AH52,AR52,BB52,BL52)</f>
        <v>975</v>
      </c>
      <c r="H51" s="2"/>
      <c r="I51" s="2"/>
      <c r="J51" s="53" t="s">
        <v>38</v>
      </c>
      <c r="K51" s="54"/>
      <c r="L51" s="54"/>
      <c r="M51" s="54"/>
      <c r="N51" s="55"/>
      <c r="O51" s="56"/>
      <c r="P51" s="4"/>
      <c r="Q51" s="4"/>
      <c r="R51" s="4"/>
      <c r="S51" s="4"/>
      <c r="T51" s="41" t="s">
        <v>154</v>
      </c>
      <c r="U51" s="42"/>
      <c r="V51" s="42"/>
      <c r="W51" s="42"/>
      <c r="X51" s="43"/>
      <c r="Y51" s="44"/>
      <c r="Z51" s="4"/>
      <c r="AA51" s="4"/>
      <c r="AB51" s="4"/>
      <c r="AC51" s="4"/>
      <c r="AD51" s="94" t="s">
        <v>193</v>
      </c>
      <c r="AE51" s="95"/>
      <c r="AF51" s="95"/>
      <c r="AG51" s="95"/>
      <c r="AH51" s="96"/>
      <c r="AI51" s="97"/>
      <c r="AJ51" s="4"/>
      <c r="AK51" s="4"/>
      <c r="AL51" s="4"/>
      <c r="AM51" s="4"/>
      <c r="AN51" s="94" t="s">
        <v>194</v>
      </c>
      <c r="AO51" s="95"/>
      <c r="AP51" s="95"/>
      <c r="AQ51" s="95"/>
      <c r="AR51" s="96"/>
      <c r="AS51" s="97"/>
      <c r="AT51" s="4"/>
      <c r="AU51" s="4"/>
      <c r="AV51" s="4"/>
      <c r="AW51" s="4"/>
      <c r="AX51" s="94" t="s">
        <v>51</v>
      </c>
      <c r="AY51" s="95"/>
      <c r="AZ51" s="95"/>
      <c r="BA51" s="95"/>
      <c r="BB51" s="96"/>
      <c r="BC51" s="97"/>
      <c r="BD51" s="4"/>
      <c r="BE51" s="4"/>
      <c r="BF51" s="4"/>
      <c r="BG51" s="4"/>
      <c r="BH51" s="76" t="s">
        <v>138</v>
      </c>
      <c r="BI51" s="77"/>
      <c r="BJ51" s="77"/>
      <c r="BK51" s="77"/>
      <c r="BL51" s="77"/>
      <c r="BM51" s="78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57">
        <v>4</v>
      </c>
      <c r="K52" s="58"/>
      <c r="L52" s="59">
        <v>6</v>
      </c>
      <c r="M52" s="58"/>
      <c r="N52" s="59">
        <v>195</v>
      </c>
      <c r="O52" s="91"/>
      <c r="P52" s="4"/>
      <c r="Q52" s="4"/>
      <c r="R52" s="4"/>
      <c r="S52" s="4"/>
      <c r="T52" s="45">
        <v>2</v>
      </c>
      <c r="U52" s="46"/>
      <c r="V52" s="47">
        <v>2</v>
      </c>
      <c r="W52" s="46"/>
      <c r="X52" s="47">
        <v>60</v>
      </c>
      <c r="Y52" s="48"/>
      <c r="Z52" s="4"/>
      <c r="AA52" s="4"/>
      <c r="AB52" s="4"/>
      <c r="AC52" s="4"/>
      <c r="AD52" s="98">
        <v>3</v>
      </c>
      <c r="AE52" s="99"/>
      <c r="AF52" s="100">
        <v>6</v>
      </c>
      <c r="AG52" s="99"/>
      <c r="AH52" s="100">
        <v>180</v>
      </c>
      <c r="AI52" s="101"/>
      <c r="AJ52" s="4"/>
      <c r="AK52" s="4"/>
      <c r="AL52" s="4"/>
      <c r="AM52" s="4"/>
      <c r="AN52" s="98">
        <v>3</v>
      </c>
      <c r="AO52" s="99"/>
      <c r="AP52" s="100">
        <v>5</v>
      </c>
      <c r="AQ52" s="99"/>
      <c r="AR52" s="100">
        <v>180</v>
      </c>
      <c r="AS52" s="101"/>
      <c r="AT52" s="4"/>
      <c r="AU52" s="4"/>
      <c r="AV52" s="4"/>
      <c r="AW52" s="4"/>
      <c r="AX52" s="98">
        <v>3</v>
      </c>
      <c r="AY52" s="99"/>
      <c r="AZ52" s="100">
        <v>5</v>
      </c>
      <c r="BA52" s="99"/>
      <c r="BB52" s="100">
        <v>180</v>
      </c>
      <c r="BC52" s="101"/>
      <c r="BD52" s="4"/>
      <c r="BE52" s="4"/>
      <c r="BF52" s="4"/>
      <c r="BG52" s="4"/>
      <c r="BH52" s="79">
        <v>3</v>
      </c>
      <c r="BI52" s="80"/>
      <c r="BJ52" s="81">
        <v>5</v>
      </c>
      <c r="BK52" s="80"/>
      <c r="BL52" s="81">
        <v>180</v>
      </c>
      <c r="BM52" s="82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SUM(J52,T52,AD52,AN52,AX52,BH52)</f>
        <v>18</v>
      </c>
      <c r="F53" s="11">
        <f>SUM(L52,V52,AF52,AP52,AZ52,BJ52)</f>
        <v>29</v>
      </c>
      <c r="G53" s="105"/>
      <c r="H53" s="2"/>
      <c r="I53" s="2"/>
      <c r="J53" s="92">
        <v>3</v>
      </c>
      <c r="K53" s="93"/>
      <c r="L53" s="70">
        <v>3</v>
      </c>
      <c r="M53" s="93"/>
      <c r="N53" s="70">
        <v>0</v>
      </c>
      <c r="O53" s="71"/>
      <c r="P53" s="4"/>
      <c r="Q53" s="4"/>
      <c r="R53" s="4"/>
      <c r="S53" s="4"/>
      <c r="T53" s="49">
        <v>2</v>
      </c>
      <c r="U53" s="50"/>
      <c r="V53" s="51">
        <v>0</v>
      </c>
      <c r="W53" s="50"/>
      <c r="X53" s="51">
        <v>0</v>
      </c>
      <c r="Y53" s="52"/>
      <c r="Z53" s="4"/>
      <c r="AA53" s="4"/>
      <c r="AB53" s="4"/>
      <c r="AC53" s="4"/>
      <c r="AD53" s="72">
        <v>3</v>
      </c>
      <c r="AE53" s="73"/>
      <c r="AF53" s="68">
        <v>3</v>
      </c>
      <c r="AG53" s="73"/>
      <c r="AH53" s="68">
        <v>0</v>
      </c>
      <c r="AI53" s="69"/>
      <c r="AJ53" s="4"/>
      <c r="AK53" s="4"/>
      <c r="AL53" s="4"/>
      <c r="AM53" s="4"/>
      <c r="AN53" s="72">
        <v>2</v>
      </c>
      <c r="AO53" s="73"/>
      <c r="AP53" s="68">
        <v>1</v>
      </c>
      <c r="AQ53" s="73"/>
      <c r="AR53" s="68">
        <v>2</v>
      </c>
      <c r="AS53" s="69"/>
      <c r="AT53" s="4"/>
      <c r="AU53" s="4"/>
      <c r="AV53" s="4"/>
      <c r="AW53" s="4"/>
      <c r="AX53" s="72">
        <v>2</v>
      </c>
      <c r="AY53" s="73"/>
      <c r="AZ53" s="68">
        <v>1</v>
      </c>
      <c r="BA53" s="73"/>
      <c r="BB53" s="68">
        <v>2</v>
      </c>
      <c r="BC53" s="69"/>
      <c r="BD53" s="4"/>
      <c r="BE53" s="4"/>
      <c r="BF53" s="4"/>
      <c r="BG53" s="4"/>
      <c r="BH53" s="83">
        <v>2</v>
      </c>
      <c r="BI53" s="84"/>
      <c r="BJ53" s="85">
        <v>1</v>
      </c>
      <c r="BK53" s="84"/>
      <c r="BL53" s="85">
        <v>2</v>
      </c>
      <c r="BM53" s="86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1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48</v>
      </c>
      <c r="K60" s="25"/>
      <c r="L60" s="26"/>
      <c r="M60" s="38">
        <v>322</v>
      </c>
      <c r="N60" s="39"/>
      <c r="O60" s="40"/>
      <c r="P60" s="14"/>
      <c r="Q60" s="14"/>
      <c r="R60" s="14"/>
      <c r="S60" s="14"/>
      <c r="T60" s="24" t="s">
        <v>19</v>
      </c>
      <c r="U60" s="25"/>
      <c r="V60" s="26"/>
      <c r="W60" s="38">
        <v>363</v>
      </c>
      <c r="X60" s="39"/>
      <c r="Y60" s="40"/>
      <c r="Z60" s="14"/>
      <c r="AA60" s="14"/>
      <c r="AB60" s="14"/>
      <c r="AC60" s="14"/>
      <c r="AD60" s="24" t="s">
        <v>48</v>
      </c>
      <c r="AE60" s="25"/>
      <c r="AF60" s="26"/>
      <c r="AG60" s="38">
        <v>493</v>
      </c>
      <c r="AH60" s="39"/>
      <c r="AI60" s="40"/>
      <c r="AJ60" s="14"/>
      <c r="AK60" s="14"/>
      <c r="AL60" s="14"/>
      <c r="AM60" s="14"/>
      <c r="AN60" s="24" t="s">
        <v>48</v>
      </c>
      <c r="AO60" s="25"/>
      <c r="AP60" s="26"/>
      <c r="AQ60" s="38">
        <v>332</v>
      </c>
      <c r="AR60" s="39"/>
      <c r="AS60" s="40"/>
      <c r="AT60" s="14"/>
      <c r="AU60" s="14"/>
      <c r="AV60" s="14"/>
      <c r="AW60" s="14"/>
      <c r="AX60" s="24" t="s">
        <v>135</v>
      </c>
      <c r="AY60" s="25"/>
      <c r="AZ60" s="26"/>
      <c r="BA60" s="38" t="s">
        <v>111</v>
      </c>
      <c r="BB60" s="39"/>
      <c r="BC60" s="40"/>
      <c r="BD60" s="14"/>
      <c r="BE60" s="14"/>
      <c r="BF60" s="14"/>
      <c r="BG60" s="14"/>
      <c r="BH60" s="24" t="s">
        <v>137</v>
      </c>
      <c r="BI60" s="25"/>
      <c r="BJ60" s="26"/>
      <c r="BK60" s="38" t="s">
        <v>112</v>
      </c>
      <c r="BL60" s="39"/>
      <c r="BM60" s="40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990</v>
      </c>
      <c r="H61" s="2"/>
      <c r="I61" s="2"/>
      <c r="J61" s="94" t="s">
        <v>54</v>
      </c>
      <c r="K61" s="95"/>
      <c r="L61" s="95"/>
      <c r="M61" s="95"/>
      <c r="N61" s="96"/>
      <c r="O61" s="97"/>
      <c r="P61" s="4"/>
      <c r="Q61" s="4"/>
      <c r="R61" s="4"/>
      <c r="S61" s="4"/>
      <c r="T61" s="94" t="s">
        <v>72</v>
      </c>
      <c r="U61" s="95"/>
      <c r="V61" s="95"/>
      <c r="W61" s="95"/>
      <c r="X61" s="96"/>
      <c r="Y61" s="97"/>
      <c r="Z61" s="4"/>
      <c r="AA61" s="4"/>
      <c r="AB61" s="4"/>
      <c r="AC61" s="4"/>
      <c r="AD61" s="41" t="s">
        <v>63</v>
      </c>
      <c r="AE61" s="42"/>
      <c r="AF61" s="42"/>
      <c r="AG61" s="42"/>
      <c r="AH61" s="43"/>
      <c r="AI61" s="44"/>
      <c r="AJ61" s="4"/>
      <c r="AK61" s="4"/>
      <c r="AL61" s="4"/>
      <c r="AM61" s="4"/>
      <c r="AN61" s="94" t="s">
        <v>58</v>
      </c>
      <c r="AO61" s="95"/>
      <c r="AP61" s="95"/>
      <c r="AQ61" s="95"/>
      <c r="AR61" s="96"/>
      <c r="AS61" s="97"/>
      <c r="AT61" s="4"/>
      <c r="AU61" s="4"/>
      <c r="AV61" s="4"/>
      <c r="AW61" s="4"/>
      <c r="AX61" s="114" t="s">
        <v>134</v>
      </c>
      <c r="AY61" s="115"/>
      <c r="AZ61" s="115"/>
      <c r="BA61" s="115"/>
      <c r="BB61" s="116"/>
      <c r="BC61" s="117"/>
      <c r="BD61" s="4"/>
      <c r="BE61" s="4"/>
      <c r="BF61" s="4"/>
      <c r="BG61" s="4"/>
      <c r="BH61" s="76" t="s">
        <v>139</v>
      </c>
      <c r="BI61" s="77"/>
      <c r="BJ61" s="77"/>
      <c r="BK61" s="77"/>
      <c r="BL61" s="77"/>
      <c r="BM61" s="78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98">
        <v>3</v>
      </c>
      <c r="K62" s="99"/>
      <c r="L62" s="100">
        <v>5</v>
      </c>
      <c r="M62" s="99"/>
      <c r="N62" s="100">
        <v>180</v>
      </c>
      <c r="O62" s="101"/>
      <c r="P62" s="4"/>
      <c r="Q62" s="4"/>
      <c r="R62" s="4"/>
      <c r="S62" s="4"/>
      <c r="T62" s="98">
        <v>3</v>
      </c>
      <c r="U62" s="99"/>
      <c r="V62" s="100">
        <v>5</v>
      </c>
      <c r="W62" s="99"/>
      <c r="X62" s="100">
        <v>180</v>
      </c>
      <c r="Y62" s="101"/>
      <c r="Z62" s="4"/>
      <c r="AA62" s="4"/>
      <c r="AB62" s="4"/>
      <c r="AC62" s="4"/>
      <c r="AD62" s="45">
        <v>3</v>
      </c>
      <c r="AE62" s="46"/>
      <c r="AF62" s="47">
        <v>5</v>
      </c>
      <c r="AG62" s="46"/>
      <c r="AH62" s="47">
        <v>180</v>
      </c>
      <c r="AI62" s="48"/>
      <c r="AJ62" s="4"/>
      <c r="AK62" s="4"/>
      <c r="AL62" s="4"/>
      <c r="AM62" s="4"/>
      <c r="AN62" s="98">
        <v>3</v>
      </c>
      <c r="AO62" s="99"/>
      <c r="AP62" s="100">
        <v>5</v>
      </c>
      <c r="AQ62" s="99"/>
      <c r="AR62" s="100">
        <v>180</v>
      </c>
      <c r="AS62" s="101"/>
      <c r="AT62" s="4"/>
      <c r="AU62" s="4"/>
      <c r="AV62" s="4"/>
      <c r="AW62" s="4"/>
      <c r="AX62" s="110">
        <v>2</v>
      </c>
      <c r="AY62" s="111"/>
      <c r="AZ62" s="108">
        <v>2</v>
      </c>
      <c r="BA62" s="111"/>
      <c r="BB62" s="108">
        <v>90</v>
      </c>
      <c r="BC62" s="109"/>
      <c r="BD62" s="4"/>
      <c r="BE62" s="4"/>
      <c r="BF62" s="4"/>
      <c r="BG62" s="4"/>
      <c r="BH62" s="79">
        <v>3</v>
      </c>
      <c r="BI62" s="80"/>
      <c r="BJ62" s="81">
        <v>5</v>
      </c>
      <c r="BK62" s="80"/>
      <c r="BL62" s="81">
        <v>180</v>
      </c>
      <c r="BM62" s="82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17</v>
      </c>
      <c r="F63" s="11">
        <f>SUM(L62,V62,AF62,AP62,AZ62,BJ62)</f>
        <v>27</v>
      </c>
      <c r="G63" s="105"/>
      <c r="H63" s="2"/>
      <c r="I63" s="2"/>
      <c r="J63" s="72">
        <v>2</v>
      </c>
      <c r="K63" s="73"/>
      <c r="L63" s="68">
        <v>1</v>
      </c>
      <c r="M63" s="73"/>
      <c r="N63" s="68">
        <v>2</v>
      </c>
      <c r="O63" s="69"/>
      <c r="P63" s="4"/>
      <c r="Q63" s="4"/>
      <c r="R63" s="4"/>
      <c r="S63" s="4"/>
      <c r="T63" s="72">
        <v>2</v>
      </c>
      <c r="U63" s="73"/>
      <c r="V63" s="68">
        <v>1</v>
      </c>
      <c r="W63" s="73"/>
      <c r="X63" s="68">
        <v>2</v>
      </c>
      <c r="Y63" s="69"/>
      <c r="Z63" s="4"/>
      <c r="AA63" s="4"/>
      <c r="AB63" s="4"/>
      <c r="AC63" s="4"/>
      <c r="AD63" s="49">
        <v>2</v>
      </c>
      <c r="AE63" s="50"/>
      <c r="AF63" s="51">
        <v>0</v>
      </c>
      <c r="AG63" s="50"/>
      <c r="AH63" s="51">
        <v>3</v>
      </c>
      <c r="AI63" s="52"/>
      <c r="AJ63" s="4"/>
      <c r="AK63" s="4"/>
      <c r="AL63" s="4"/>
      <c r="AM63" s="4"/>
      <c r="AN63" s="72">
        <v>2</v>
      </c>
      <c r="AO63" s="73"/>
      <c r="AP63" s="68">
        <v>1</v>
      </c>
      <c r="AQ63" s="73"/>
      <c r="AR63" s="68">
        <v>2</v>
      </c>
      <c r="AS63" s="69"/>
      <c r="AT63" s="4"/>
      <c r="AU63" s="4"/>
      <c r="AV63" s="4"/>
      <c r="AW63" s="4"/>
      <c r="AX63" s="112">
        <v>2</v>
      </c>
      <c r="AY63" s="113"/>
      <c r="AZ63" s="106">
        <v>0</v>
      </c>
      <c r="BA63" s="113"/>
      <c r="BB63" s="106">
        <v>0</v>
      </c>
      <c r="BC63" s="107"/>
      <c r="BD63" s="4"/>
      <c r="BE63" s="4"/>
      <c r="BF63" s="4"/>
      <c r="BG63" s="4"/>
      <c r="BH63" s="83">
        <v>2</v>
      </c>
      <c r="BI63" s="84"/>
      <c r="BJ63" s="85">
        <v>1</v>
      </c>
      <c r="BK63" s="84"/>
      <c r="BL63" s="85">
        <v>2</v>
      </c>
      <c r="BM63" s="86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48</v>
      </c>
      <c r="K68" s="25"/>
      <c r="L68" s="26"/>
      <c r="M68" s="38">
        <v>425</v>
      </c>
      <c r="N68" s="39"/>
      <c r="O68" s="40"/>
      <c r="P68" s="14"/>
      <c r="Q68" s="14"/>
      <c r="R68" s="14"/>
      <c r="S68" s="14"/>
      <c r="T68" s="24" t="s">
        <v>48</v>
      </c>
      <c r="U68" s="25"/>
      <c r="V68" s="26"/>
      <c r="W68" s="38">
        <v>494</v>
      </c>
      <c r="X68" s="102"/>
      <c r="Y68" s="103"/>
      <c r="Z68" s="14"/>
      <c r="AA68" s="14"/>
      <c r="AB68" s="14"/>
      <c r="AC68" s="14"/>
      <c r="AD68" s="24" t="s">
        <v>48</v>
      </c>
      <c r="AE68" s="25"/>
      <c r="AF68" s="26"/>
      <c r="AG68" s="38">
        <v>314</v>
      </c>
      <c r="AH68" s="39"/>
      <c r="AI68" s="40"/>
      <c r="AJ68" s="14"/>
      <c r="AK68" s="14"/>
      <c r="AL68" s="14"/>
      <c r="AM68" s="14"/>
      <c r="AN68" s="24" t="s">
        <v>252</v>
      </c>
      <c r="AO68" s="25"/>
      <c r="AP68" s="26"/>
      <c r="AQ68" s="38" t="s">
        <v>112</v>
      </c>
      <c r="AR68" s="39"/>
      <c r="AS68" s="40"/>
      <c r="AT68" s="14"/>
      <c r="AU68" s="14"/>
      <c r="AV68" s="14"/>
      <c r="AW68" s="14"/>
      <c r="AX68" s="24" t="s">
        <v>141</v>
      </c>
      <c r="AY68" s="25"/>
      <c r="AZ68" s="26"/>
      <c r="BA68" s="38" t="s">
        <v>111</v>
      </c>
      <c r="BB68" s="39"/>
      <c r="BC68" s="40"/>
      <c r="BD68" s="4"/>
      <c r="BE68" s="4"/>
      <c r="BF68" s="4"/>
      <c r="BG68" s="4"/>
      <c r="BH68" s="24" t="s">
        <v>144</v>
      </c>
      <c r="BI68" s="25"/>
      <c r="BJ68" s="26"/>
      <c r="BK68" s="38" t="s">
        <v>109</v>
      </c>
      <c r="BL68" s="39"/>
      <c r="BM68" s="40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SUM(N70,X70,AH70,BB70,BL70,AR70)</f>
        <v>900</v>
      </c>
      <c r="H69" s="2"/>
      <c r="I69" s="2"/>
      <c r="J69" s="94" t="s">
        <v>59</v>
      </c>
      <c r="K69" s="95"/>
      <c r="L69" s="95"/>
      <c r="M69" s="95"/>
      <c r="N69" s="96"/>
      <c r="O69" s="97"/>
      <c r="P69" s="4"/>
      <c r="Q69" s="4"/>
      <c r="R69" s="4"/>
      <c r="S69" s="4"/>
      <c r="T69" s="41" t="s">
        <v>64</v>
      </c>
      <c r="U69" s="42"/>
      <c r="V69" s="42"/>
      <c r="W69" s="42"/>
      <c r="X69" s="43"/>
      <c r="Y69" s="44"/>
      <c r="Z69" s="4"/>
      <c r="AA69" s="4"/>
      <c r="AB69" s="4"/>
      <c r="AC69" s="4"/>
      <c r="AD69" s="94" t="s">
        <v>195</v>
      </c>
      <c r="AE69" s="95"/>
      <c r="AF69" s="95"/>
      <c r="AG69" s="95"/>
      <c r="AH69" s="96"/>
      <c r="AI69" s="97"/>
      <c r="AJ69" s="4"/>
      <c r="AK69" s="4"/>
      <c r="AL69" s="4"/>
      <c r="AM69" s="4"/>
      <c r="AN69" s="76" t="s">
        <v>140</v>
      </c>
      <c r="AO69" s="77"/>
      <c r="AP69" s="77"/>
      <c r="AQ69" s="77"/>
      <c r="AR69" s="77"/>
      <c r="AS69" s="78"/>
      <c r="AT69" s="4"/>
      <c r="AU69" s="4"/>
      <c r="AV69" s="4"/>
      <c r="AW69" s="4"/>
      <c r="AX69" s="114" t="s">
        <v>142</v>
      </c>
      <c r="AY69" s="115"/>
      <c r="AZ69" s="115"/>
      <c r="BA69" s="115"/>
      <c r="BB69" s="116"/>
      <c r="BC69" s="117"/>
      <c r="BD69" s="4"/>
      <c r="BE69" s="4"/>
      <c r="BF69" s="4"/>
      <c r="BG69" s="4"/>
      <c r="BH69" s="114" t="s">
        <v>106</v>
      </c>
      <c r="BI69" s="115"/>
      <c r="BJ69" s="115"/>
      <c r="BK69" s="115"/>
      <c r="BL69" s="116"/>
      <c r="BM69" s="117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98">
        <v>3</v>
      </c>
      <c r="K70" s="99"/>
      <c r="L70" s="100">
        <v>5</v>
      </c>
      <c r="M70" s="99"/>
      <c r="N70" s="100">
        <v>180</v>
      </c>
      <c r="O70" s="101"/>
      <c r="P70" s="4"/>
      <c r="Q70" s="4"/>
      <c r="R70" s="4"/>
      <c r="S70" s="4"/>
      <c r="T70" s="45">
        <v>3</v>
      </c>
      <c r="U70" s="46"/>
      <c r="V70" s="47">
        <v>5</v>
      </c>
      <c r="W70" s="46"/>
      <c r="X70" s="47">
        <v>180</v>
      </c>
      <c r="Y70" s="48"/>
      <c r="Z70" s="4"/>
      <c r="AA70" s="4"/>
      <c r="AB70" s="4"/>
      <c r="AC70" s="4"/>
      <c r="AD70" s="98">
        <v>3</v>
      </c>
      <c r="AE70" s="99"/>
      <c r="AF70" s="100">
        <v>5</v>
      </c>
      <c r="AG70" s="99"/>
      <c r="AH70" s="100">
        <v>180</v>
      </c>
      <c r="AI70" s="101"/>
      <c r="AJ70" s="4"/>
      <c r="AK70" s="4"/>
      <c r="AL70" s="4"/>
      <c r="AM70" s="4"/>
      <c r="AN70" s="79">
        <v>3</v>
      </c>
      <c r="AO70" s="80"/>
      <c r="AP70" s="81">
        <v>5</v>
      </c>
      <c r="AQ70" s="80"/>
      <c r="AR70" s="81">
        <v>180</v>
      </c>
      <c r="AS70" s="82"/>
      <c r="AT70" s="4"/>
      <c r="AU70" s="4"/>
      <c r="AV70" s="4"/>
      <c r="AW70" s="4"/>
      <c r="AX70" s="110">
        <v>2</v>
      </c>
      <c r="AY70" s="111"/>
      <c r="AZ70" s="108">
        <v>2</v>
      </c>
      <c r="BA70" s="111"/>
      <c r="BB70" s="108">
        <v>90</v>
      </c>
      <c r="BC70" s="109"/>
      <c r="BD70" s="4"/>
      <c r="BE70" s="4"/>
      <c r="BF70" s="4"/>
      <c r="BG70" s="4"/>
      <c r="BH70" s="110">
        <v>2</v>
      </c>
      <c r="BI70" s="111"/>
      <c r="BJ70" s="108">
        <v>2</v>
      </c>
      <c r="BK70" s="111"/>
      <c r="BL70" s="108">
        <v>90</v>
      </c>
      <c r="BM70" s="109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customHeight="1" thickBot="1" x14ac:dyDescent="0.35">
      <c r="B71" s="118"/>
      <c r="C71" s="1"/>
      <c r="D71" s="119"/>
      <c r="E71" s="11">
        <f>SUM(J70,T70,AD70,AX70,BH70,AN70)</f>
        <v>16</v>
      </c>
      <c r="F71" s="11">
        <f>L70+V70+AF70+AZ70+BJ70+AP70</f>
        <v>24</v>
      </c>
      <c r="G71" s="105"/>
      <c r="H71" s="2"/>
      <c r="I71" s="2"/>
      <c r="J71" s="72">
        <v>2</v>
      </c>
      <c r="K71" s="73"/>
      <c r="L71" s="68">
        <v>1</v>
      </c>
      <c r="M71" s="73"/>
      <c r="N71" s="68">
        <v>2</v>
      </c>
      <c r="O71" s="69"/>
      <c r="P71" s="4"/>
      <c r="Q71" s="4"/>
      <c r="R71" s="4"/>
      <c r="S71" s="4"/>
      <c r="T71" s="49">
        <v>2</v>
      </c>
      <c r="U71" s="50"/>
      <c r="V71" s="51">
        <v>0</v>
      </c>
      <c r="W71" s="50"/>
      <c r="X71" s="51">
        <v>3</v>
      </c>
      <c r="Y71" s="52"/>
      <c r="Z71" s="4"/>
      <c r="AA71" s="4"/>
      <c r="AB71" s="4"/>
      <c r="AC71" s="4"/>
      <c r="AD71" s="72">
        <v>2</v>
      </c>
      <c r="AE71" s="73"/>
      <c r="AF71" s="68">
        <v>1</v>
      </c>
      <c r="AG71" s="73"/>
      <c r="AH71" s="68">
        <v>2</v>
      </c>
      <c r="AI71" s="69"/>
      <c r="AJ71" s="4"/>
      <c r="AK71" s="4"/>
      <c r="AL71" s="4"/>
      <c r="AM71" s="4"/>
      <c r="AN71" s="83">
        <v>2</v>
      </c>
      <c r="AO71" s="84"/>
      <c r="AP71" s="85">
        <v>1</v>
      </c>
      <c r="AQ71" s="84"/>
      <c r="AR71" s="85">
        <v>2</v>
      </c>
      <c r="AS71" s="86"/>
      <c r="AT71" s="4"/>
      <c r="AU71" s="4"/>
      <c r="AV71" s="4"/>
      <c r="AW71" s="4"/>
      <c r="AX71" s="112">
        <v>2</v>
      </c>
      <c r="AY71" s="113"/>
      <c r="AZ71" s="106">
        <v>0</v>
      </c>
      <c r="BA71" s="113"/>
      <c r="BB71" s="106">
        <v>0</v>
      </c>
      <c r="BC71" s="107"/>
      <c r="BD71" s="4"/>
      <c r="BE71" s="4"/>
      <c r="BF71" s="4"/>
      <c r="BG71" s="4"/>
      <c r="BH71" s="112">
        <v>2</v>
      </c>
      <c r="BI71" s="113"/>
      <c r="BJ71" s="106">
        <v>0</v>
      </c>
      <c r="BK71" s="113"/>
      <c r="BL71" s="106">
        <v>0</v>
      </c>
      <c r="BM71" s="107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thickBot="1" x14ac:dyDescent="0.35"/>
    <row r="77" spans="2:135" ht="10.050000000000001" customHeight="1" thickTop="1" thickBot="1" x14ac:dyDescent="0.35">
      <c r="BI77" s="63" t="s">
        <v>15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6"/>
    </row>
    <row r="78" spans="2:135" ht="15" customHeight="1" x14ac:dyDescent="0.3">
      <c r="BI78" s="64"/>
      <c r="BJ78" s="16"/>
      <c r="BK78" s="17"/>
      <c r="BL78" s="16"/>
      <c r="BR78" s="123" t="s">
        <v>7</v>
      </c>
      <c r="BS78" s="124"/>
      <c r="BT78" s="124"/>
      <c r="BU78" s="124"/>
      <c r="BV78" s="125"/>
      <c r="BW78" s="126"/>
      <c r="CA78" s="8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I79" s="64"/>
      <c r="BJ79" s="16"/>
      <c r="BK79" s="17"/>
      <c r="BL79" s="16"/>
      <c r="BR79" s="127" t="s">
        <v>8</v>
      </c>
      <c r="BS79" s="128"/>
      <c r="BT79" s="128"/>
      <c r="BU79" s="128"/>
      <c r="BV79" s="129"/>
      <c r="BW79" s="130"/>
      <c r="CA79" s="8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I80" s="64"/>
      <c r="BJ80" s="16"/>
      <c r="BK80" s="17"/>
      <c r="BL80" s="16"/>
      <c r="BR80" s="66" t="s">
        <v>9</v>
      </c>
      <c r="BS80" s="67"/>
      <c r="BT80" s="131" t="s">
        <v>18</v>
      </c>
      <c r="BU80" s="67"/>
      <c r="BV80" s="131" t="s">
        <v>10</v>
      </c>
      <c r="BW80" s="132"/>
      <c r="CA80" s="8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61:135" ht="15" thickBot="1" x14ac:dyDescent="0.35">
      <c r="BI81" s="64"/>
      <c r="BJ81" s="16"/>
      <c r="BK81" s="17"/>
      <c r="BL81" s="16"/>
      <c r="BR81" s="133" t="s">
        <v>11</v>
      </c>
      <c r="BS81" s="134"/>
      <c r="BT81" s="135" t="s">
        <v>12</v>
      </c>
      <c r="BU81" s="134"/>
      <c r="BV81" s="135" t="s">
        <v>13</v>
      </c>
      <c r="BW81" s="136"/>
      <c r="CA81" s="8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61:135" ht="10.050000000000001" customHeight="1" x14ac:dyDescent="0.3">
      <c r="BI82" s="64"/>
      <c r="BL82" s="16"/>
      <c r="CA82" s="8"/>
    </row>
    <row r="83" spans="61:135" ht="10.050000000000001" customHeight="1" x14ac:dyDescent="0.3">
      <c r="BI83" s="64"/>
      <c r="BL83" s="16"/>
      <c r="CA83" s="8"/>
    </row>
    <row r="84" spans="61:135" ht="10.050000000000001" customHeight="1" x14ac:dyDescent="0.3">
      <c r="BI84" s="64"/>
      <c r="BJ84" s="90"/>
      <c r="BL84" s="15"/>
      <c r="BN84" s="18"/>
      <c r="BO84" s="18"/>
      <c r="BP84" s="18"/>
      <c r="BQ84" s="18"/>
      <c r="BS84" s="60"/>
      <c r="BU84" s="75" t="s">
        <v>30</v>
      </c>
      <c r="BW84" s="61"/>
      <c r="CA84" s="8"/>
    </row>
    <row r="85" spans="61:135" ht="10.050000000000001" customHeight="1" thickBot="1" x14ac:dyDescent="0.35">
      <c r="BI85" s="64"/>
      <c r="BJ85" s="90"/>
      <c r="BL85" s="74" t="s">
        <v>22</v>
      </c>
      <c r="BN85" s="18"/>
      <c r="BO85" s="18"/>
      <c r="BP85" s="18"/>
      <c r="BQ85" s="18"/>
      <c r="BS85" s="60"/>
      <c r="BU85" s="75"/>
      <c r="BW85" s="61"/>
      <c r="CA85" s="8"/>
    </row>
    <row r="86" spans="61:135" ht="15" customHeight="1" x14ac:dyDescent="0.3">
      <c r="BI86" s="64"/>
      <c r="BJ86" s="90" t="s">
        <v>31</v>
      </c>
      <c r="BK86" s="7"/>
      <c r="BL86" s="74"/>
      <c r="BM86" s="7"/>
      <c r="BN86" s="62" t="s">
        <v>14</v>
      </c>
      <c r="BO86" s="62"/>
      <c r="BP86" s="62"/>
      <c r="BQ86" s="62"/>
      <c r="BR86" s="7"/>
      <c r="BS86" s="60" t="s">
        <v>46</v>
      </c>
      <c r="BT86" s="7"/>
      <c r="BU86" s="75"/>
      <c r="BV86" s="7"/>
      <c r="BW86" s="61" t="s">
        <v>62</v>
      </c>
      <c r="CA86" s="8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61:135" ht="48.75" customHeight="1" x14ac:dyDescent="0.3">
      <c r="BI87" s="64"/>
      <c r="BJ87" s="90"/>
      <c r="BK87" s="7"/>
      <c r="BL87" s="74"/>
      <c r="BM87" s="7"/>
      <c r="BN87" s="62"/>
      <c r="BO87" s="62"/>
      <c r="BP87" s="62"/>
      <c r="BQ87" s="62"/>
      <c r="BR87" s="7"/>
      <c r="BS87" s="60"/>
      <c r="BT87" s="7"/>
      <c r="BU87" s="75"/>
      <c r="BV87" s="7"/>
      <c r="BW87" s="61"/>
      <c r="CA87" s="8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61:135" x14ac:dyDescent="0.3">
      <c r="BI88" s="64"/>
      <c r="BJ88" s="90"/>
      <c r="BK88" s="7"/>
      <c r="BL88" s="74"/>
      <c r="BM88" s="7"/>
      <c r="BN88" s="62"/>
      <c r="BO88" s="62"/>
      <c r="BP88" s="62"/>
      <c r="BQ88" s="62"/>
      <c r="BR88" s="7"/>
      <c r="BS88" s="60"/>
      <c r="BT88" s="7"/>
      <c r="BU88" s="75"/>
      <c r="BV88" s="7"/>
      <c r="BW88" s="61"/>
      <c r="CA88" s="8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61:135" ht="15" thickBot="1" x14ac:dyDescent="0.35">
      <c r="BI89" s="64"/>
      <c r="BJ89" s="90"/>
      <c r="BK89" s="7"/>
      <c r="BL89" s="74"/>
      <c r="BM89" s="7"/>
      <c r="BN89" s="62"/>
      <c r="BO89" s="62"/>
      <c r="BP89" s="62"/>
      <c r="BQ89" s="62"/>
      <c r="BR89" s="7"/>
      <c r="BS89" s="60"/>
      <c r="BT89" s="7"/>
      <c r="BU89" s="75"/>
      <c r="BV89" s="7"/>
      <c r="BW89" s="61"/>
      <c r="CA89" s="8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61:135" ht="10.050000000000001" customHeight="1" thickBot="1" x14ac:dyDescent="0.35">
      <c r="BI90" s="65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10"/>
    </row>
    <row r="91" spans="61:135" ht="10.050000000000001" customHeight="1" thickTop="1" x14ac:dyDescent="0.3"/>
    <row r="92" spans="61:135" ht="10.050000000000001" customHeight="1" x14ac:dyDescent="0.3"/>
    <row r="93" spans="61:135" ht="10.050000000000001" customHeight="1" x14ac:dyDescent="0.3"/>
    <row r="100" ht="48.75" customHeight="1" x14ac:dyDescent="0.3"/>
  </sheetData>
  <mergeCells count="655">
    <mergeCell ref="AX70:AY70"/>
    <mergeCell ref="DP79:DU79"/>
    <mergeCell ref="BH70:BI70"/>
    <mergeCell ref="BJ70:BK70"/>
    <mergeCell ref="BL70:BM70"/>
    <mergeCell ref="BA68:BC68"/>
    <mergeCell ref="AX53:AY53"/>
    <mergeCell ref="AZ53:BA53"/>
    <mergeCell ref="ED88:EE88"/>
    <mergeCell ref="EB81:EC81"/>
    <mergeCell ref="ED81:EE81"/>
    <mergeCell ref="BJ84:BJ85"/>
    <mergeCell ref="BS84:BS85"/>
    <mergeCell ref="BU84:BU89"/>
    <mergeCell ref="BW84:BW85"/>
    <mergeCell ref="BL85:BL89"/>
    <mergeCell ref="BJ86:BJ89"/>
    <mergeCell ref="BN86:BQ89"/>
    <mergeCell ref="BS86:BS89"/>
    <mergeCell ref="DZ80:EA80"/>
    <mergeCell ref="EB80:EC80"/>
    <mergeCell ref="ED80:EE80"/>
    <mergeCell ref="BR81:BS81"/>
    <mergeCell ref="BT81:BU81"/>
    <mergeCell ref="AX68:AZ68"/>
    <mergeCell ref="DT80:DU80"/>
    <mergeCell ref="AZ70:BA70"/>
    <mergeCell ref="BH68:BJ68"/>
    <mergeCell ref="BK68:BM68"/>
    <mergeCell ref="BH69:BM69"/>
    <mergeCell ref="EB89:EC89"/>
    <mergeCell ref="ED89:EE89"/>
    <mergeCell ref="BW86:BW89"/>
    <mergeCell ref="DP86:DU86"/>
    <mergeCell ref="DZ86:EE86"/>
    <mergeCell ref="DP87:DU87"/>
    <mergeCell ref="DZ87:EE87"/>
    <mergeCell ref="DP88:DQ88"/>
    <mergeCell ref="DR88:DS88"/>
    <mergeCell ref="DT88:DU88"/>
    <mergeCell ref="DZ88:EA88"/>
    <mergeCell ref="EB88:EC88"/>
    <mergeCell ref="EB71:EC71"/>
    <mergeCell ref="ED71:EE71"/>
    <mergeCell ref="BI77:BI90"/>
    <mergeCell ref="BR78:BW78"/>
    <mergeCell ref="DP78:DU78"/>
    <mergeCell ref="DZ78:EE78"/>
    <mergeCell ref="BR79:BW79"/>
    <mergeCell ref="DP89:DQ89"/>
    <mergeCell ref="DR89:DS89"/>
    <mergeCell ref="DT89:DU89"/>
    <mergeCell ref="DZ89:EA89"/>
    <mergeCell ref="AZ71:BA71"/>
    <mergeCell ref="BB71:BC71"/>
    <mergeCell ref="DP71:DQ71"/>
    <mergeCell ref="DR71:DS71"/>
    <mergeCell ref="DT71:DU71"/>
    <mergeCell ref="BH71:BI71"/>
    <mergeCell ref="BJ71:BK71"/>
    <mergeCell ref="BL71:BM71"/>
    <mergeCell ref="DZ71:EA71"/>
    <mergeCell ref="DZ79:EE79"/>
    <mergeCell ref="BV81:BW81"/>
    <mergeCell ref="DP81:DQ81"/>
    <mergeCell ref="DR81:DS81"/>
    <mergeCell ref="DT81:DU81"/>
    <mergeCell ref="DZ81:EA81"/>
    <mergeCell ref="BR80:BS80"/>
    <mergeCell ref="BT80:BU80"/>
    <mergeCell ref="BV80:BW80"/>
    <mergeCell ref="DP80:DQ80"/>
    <mergeCell ref="DR80:DS80"/>
    <mergeCell ref="AP71:AQ71"/>
    <mergeCell ref="AR71:AS71"/>
    <mergeCell ref="ED70:EE70"/>
    <mergeCell ref="J71:K71"/>
    <mergeCell ref="L71:M71"/>
    <mergeCell ref="N71:O71"/>
    <mergeCell ref="T71:U71"/>
    <mergeCell ref="V71:W71"/>
    <mergeCell ref="X71:Y71"/>
    <mergeCell ref="AD71:AE71"/>
    <mergeCell ref="AF71:AG71"/>
    <mergeCell ref="AH71:AI71"/>
    <mergeCell ref="BB70:BC70"/>
    <mergeCell ref="DP70:DQ70"/>
    <mergeCell ref="DR70:DS70"/>
    <mergeCell ref="DT70:DU70"/>
    <mergeCell ref="DZ70:EA70"/>
    <mergeCell ref="EB70:EC70"/>
    <mergeCell ref="AN70:AO70"/>
    <mergeCell ref="AP70:AQ70"/>
    <mergeCell ref="AR70:AS70"/>
    <mergeCell ref="X70:Y70"/>
    <mergeCell ref="AD70:AE70"/>
    <mergeCell ref="AX71:AY71"/>
    <mergeCell ref="DP68:DU68"/>
    <mergeCell ref="DZ68:EE68"/>
    <mergeCell ref="E69:E70"/>
    <mergeCell ref="F69:F70"/>
    <mergeCell ref="J69:O69"/>
    <mergeCell ref="T69:Y69"/>
    <mergeCell ref="AD69:AI69"/>
    <mergeCell ref="AN69:AS69"/>
    <mergeCell ref="AG68:AI68"/>
    <mergeCell ref="AN68:AP68"/>
    <mergeCell ref="AQ68:AS68"/>
    <mergeCell ref="AF70:AG70"/>
    <mergeCell ref="AH70:AI70"/>
    <mergeCell ref="AX69:BC69"/>
    <mergeCell ref="DP69:DU69"/>
    <mergeCell ref="DZ69:EE69"/>
    <mergeCell ref="G70:G71"/>
    <mergeCell ref="H70:I70"/>
    <mergeCell ref="J70:K70"/>
    <mergeCell ref="L70:M70"/>
    <mergeCell ref="N70:O70"/>
    <mergeCell ref="T70:U70"/>
    <mergeCell ref="V70:W70"/>
    <mergeCell ref="AN71:AO71"/>
    <mergeCell ref="V62:W62"/>
    <mergeCell ref="X62:Y62"/>
    <mergeCell ref="DT63:DU63"/>
    <mergeCell ref="DZ63:EA63"/>
    <mergeCell ref="EB63:EC63"/>
    <mergeCell ref="ED63:EE63"/>
    <mergeCell ref="D68:D71"/>
    <mergeCell ref="J68:L68"/>
    <mergeCell ref="M68:O68"/>
    <mergeCell ref="T68:V68"/>
    <mergeCell ref="W68:Y68"/>
    <mergeCell ref="AD68:AF68"/>
    <mergeCell ref="BB63:BC63"/>
    <mergeCell ref="BH63:BI63"/>
    <mergeCell ref="BJ63:BK63"/>
    <mergeCell ref="BL63:BM63"/>
    <mergeCell ref="DP63:DQ63"/>
    <mergeCell ref="DR63:DS63"/>
    <mergeCell ref="AH63:AI63"/>
    <mergeCell ref="AN63:AO63"/>
    <mergeCell ref="AP63:AQ63"/>
    <mergeCell ref="AR63:AS63"/>
    <mergeCell ref="AX63:AY63"/>
    <mergeCell ref="AZ63:BA63"/>
    <mergeCell ref="G62:G63"/>
    <mergeCell ref="H62:I62"/>
    <mergeCell ref="J62:K62"/>
    <mergeCell ref="L62:M62"/>
    <mergeCell ref="N62:O62"/>
    <mergeCell ref="T62:U62"/>
    <mergeCell ref="EB62:EC62"/>
    <mergeCell ref="ED62:EE62"/>
    <mergeCell ref="J63:K63"/>
    <mergeCell ref="L63:M63"/>
    <mergeCell ref="N63:O63"/>
    <mergeCell ref="T63:U63"/>
    <mergeCell ref="V63:W63"/>
    <mergeCell ref="X63:Y63"/>
    <mergeCell ref="AD63:AE63"/>
    <mergeCell ref="AF63:AG63"/>
    <mergeCell ref="BJ62:BK62"/>
    <mergeCell ref="BL62:BM62"/>
    <mergeCell ref="DP62:DQ62"/>
    <mergeCell ref="DR62:DS62"/>
    <mergeCell ref="DT62:DU62"/>
    <mergeCell ref="DZ62:EA62"/>
    <mergeCell ref="AP62:AQ62"/>
    <mergeCell ref="BA60:BC60"/>
    <mergeCell ref="AD62:AE62"/>
    <mergeCell ref="AF62:AG62"/>
    <mergeCell ref="AH62:AI62"/>
    <mergeCell ref="AN62:AO62"/>
    <mergeCell ref="AX61:BC61"/>
    <mergeCell ref="BH61:BM61"/>
    <mergeCell ref="DP61:DU61"/>
    <mergeCell ref="AD60:AF60"/>
    <mergeCell ref="AG60:AI60"/>
    <mergeCell ref="AN60:AP60"/>
    <mergeCell ref="AQ60:AS60"/>
    <mergeCell ref="AX60:AZ60"/>
    <mergeCell ref="DZ61:EE61"/>
    <mergeCell ref="AX62:AY62"/>
    <mergeCell ref="AZ62:BA62"/>
    <mergeCell ref="BB62:BC62"/>
    <mergeCell ref="BH62:BI62"/>
    <mergeCell ref="J61:O61"/>
    <mergeCell ref="T61:Y61"/>
    <mergeCell ref="AD61:AI61"/>
    <mergeCell ref="AN61:AS61"/>
    <mergeCell ref="AR62:AS62"/>
    <mergeCell ref="DT53:DU53"/>
    <mergeCell ref="DZ53:EA53"/>
    <mergeCell ref="EB53:EC53"/>
    <mergeCell ref="ED53:EE53"/>
    <mergeCell ref="B59:B72"/>
    <mergeCell ref="D60:D63"/>
    <mergeCell ref="J60:L60"/>
    <mergeCell ref="M60:O60"/>
    <mergeCell ref="T60:V60"/>
    <mergeCell ref="W60:Y60"/>
    <mergeCell ref="BL53:BM53"/>
    <mergeCell ref="DP53:DQ53"/>
    <mergeCell ref="DR53:DS53"/>
    <mergeCell ref="AR53:AS53"/>
    <mergeCell ref="G52:G53"/>
    <mergeCell ref="H52:I52"/>
    <mergeCell ref="B41:B54"/>
    <mergeCell ref="D42:D45"/>
    <mergeCell ref="BH60:BJ60"/>
    <mergeCell ref="BK60:BM60"/>
    <mergeCell ref="DP60:DU60"/>
    <mergeCell ref="DZ60:EE60"/>
    <mergeCell ref="E61:E62"/>
    <mergeCell ref="F61:F62"/>
    <mergeCell ref="N53:O53"/>
    <mergeCell ref="T53:U53"/>
    <mergeCell ref="V53:W53"/>
    <mergeCell ref="BJ52:BK52"/>
    <mergeCell ref="BL52:BM52"/>
    <mergeCell ref="DP52:DQ52"/>
    <mergeCell ref="AP52:AQ52"/>
    <mergeCell ref="AR52:AS52"/>
    <mergeCell ref="J52:K52"/>
    <mergeCell ref="L52:M52"/>
    <mergeCell ref="N52:O52"/>
    <mergeCell ref="T52:U52"/>
    <mergeCell ref="BH53:BI53"/>
    <mergeCell ref="BJ53:BK53"/>
    <mergeCell ref="BB53:BC53"/>
    <mergeCell ref="X53:Y53"/>
    <mergeCell ref="AD53:AE53"/>
    <mergeCell ref="AF53:AG53"/>
    <mergeCell ref="AH53:AI53"/>
    <mergeCell ref="AN53:AO53"/>
    <mergeCell ref="AP53:AQ53"/>
    <mergeCell ref="AX52:AY52"/>
    <mergeCell ref="AZ52:BA52"/>
    <mergeCell ref="BB52:BC52"/>
    <mergeCell ref="DT52:DU52"/>
    <mergeCell ref="BH35:BI35"/>
    <mergeCell ref="BJ35:BK35"/>
    <mergeCell ref="BL35:BM35"/>
    <mergeCell ref="AR35:AS35"/>
    <mergeCell ref="AX50:AZ50"/>
    <mergeCell ref="BA50:BC50"/>
    <mergeCell ref="AX51:BC51"/>
    <mergeCell ref="DP51:DU51"/>
    <mergeCell ref="BJ44:BK44"/>
    <mergeCell ref="BL44:BM44"/>
    <mergeCell ref="BH50:BJ50"/>
    <mergeCell ref="DT45:DU45"/>
    <mergeCell ref="DZ51:EE51"/>
    <mergeCell ref="BK50:BM50"/>
    <mergeCell ref="DP50:DU50"/>
    <mergeCell ref="DZ50:EE50"/>
    <mergeCell ref="E51:E52"/>
    <mergeCell ref="F51:F52"/>
    <mergeCell ref="J51:O51"/>
    <mergeCell ref="T51:Y51"/>
    <mergeCell ref="AD51:AI51"/>
    <mergeCell ref="AG50:AI50"/>
    <mergeCell ref="AN50:AP50"/>
    <mergeCell ref="AQ50:AS50"/>
    <mergeCell ref="BH52:BI52"/>
    <mergeCell ref="V52:W52"/>
    <mergeCell ref="X52:Y52"/>
    <mergeCell ref="AD52:AE52"/>
    <mergeCell ref="AF52:AG52"/>
    <mergeCell ref="AH52:AI52"/>
    <mergeCell ref="AN52:AO52"/>
    <mergeCell ref="AN51:AS51"/>
    <mergeCell ref="DZ52:EA52"/>
    <mergeCell ref="EB52:EC52"/>
    <mergeCell ref="ED52:EE52"/>
    <mergeCell ref="DR52:DS52"/>
    <mergeCell ref="D50:D53"/>
    <mergeCell ref="J50:L50"/>
    <mergeCell ref="M50:O50"/>
    <mergeCell ref="T50:V50"/>
    <mergeCell ref="W50:Y50"/>
    <mergeCell ref="AD50:AF50"/>
    <mergeCell ref="BB45:BC45"/>
    <mergeCell ref="BH45:BI45"/>
    <mergeCell ref="BJ45:BK45"/>
    <mergeCell ref="AH45:AI45"/>
    <mergeCell ref="AN45:AO45"/>
    <mergeCell ref="AP45:AQ45"/>
    <mergeCell ref="AR45:AS45"/>
    <mergeCell ref="AX45:AY45"/>
    <mergeCell ref="BH51:BM51"/>
    <mergeCell ref="AZ45:BA45"/>
    <mergeCell ref="N45:O45"/>
    <mergeCell ref="T45:U45"/>
    <mergeCell ref="V45:W45"/>
    <mergeCell ref="X45:Y45"/>
    <mergeCell ref="AD45:AE45"/>
    <mergeCell ref="AF45:AG45"/>
    <mergeCell ref="J53:K53"/>
    <mergeCell ref="L53:M53"/>
    <mergeCell ref="DZ45:EA45"/>
    <mergeCell ref="EB45:EC45"/>
    <mergeCell ref="ED45:EE45"/>
    <mergeCell ref="BL45:BM45"/>
    <mergeCell ref="DP45:DQ45"/>
    <mergeCell ref="DR45:DS45"/>
    <mergeCell ref="BH33:BM33"/>
    <mergeCell ref="DP44:DQ44"/>
    <mergeCell ref="DR44:DS44"/>
    <mergeCell ref="BH34:BI34"/>
    <mergeCell ref="BJ34:BK34"/>
    <mergeCell ref="BL34:BM34"/>
    <mergeCell ref="DP43:DU43"/>
    <mergeCell ref="DZ43:EE43"/>
    <mergeCell ref="DZ42:EE42"/>
    <mergeCell ref="DZ44:EA44"/>
    <mergeCell ref="EB44:EC44"/>
    <mergeCell ref="ED44:EE44"/>
    <mergeCell ref="BH43:BM43"/>
    <mergeCell ref="J45:K45"/>
    <mergeCell ref="L45:M45"/>
    <mergeCell ref="DT44:DU44"/>
    <mergeCell ref="AX44:AY44"/>
    <mergeCell ref="AZ44:BA44"/>
    <mergeCell ref="BB44:BC44"/>
    <mergeCell ref="BH44:BI44"/>
    <mergeCell ref="BH32:BJ32"/>
    <mergeCell ref="BK32:BM32"/>
    <mergeCell ref="AX43:BC43"/>
    <mergeCell ref="AD35:AE35"/>
    <mergeCell ref="AF35:AG35"/>
    <mergeCell ref="AH35:AI35"/>
    <mergeCell ref="AN35:AO35"/>
    <mergeCell ref="AP35:AQ35"/>
    <mergeCell ref="J44:K44"/>
    <mergeCell ref="L44:M44"/>
    <mergeCell ref="N44:O44"/>
    <mergeCell ref="T44:U44"/>
    <mergeCell ref="BH42:BJ42"/>
    <mergeCell ref="BK42:BM42"/>
    <mergeCell ref="DP42:DU42"/>
    <mergeCell ref="AX42:AZ42"/>
    <mergeCell ref="BA42:BC42"/>
    <mergeCell ref="E43:E44"/>
    <mergeCell ref="F43:F44"/>
    <mergeCell ref="J43:O43"/>
    <mergeCell ref="T43:Y43"/>
    <mergeCell ref="AD43:AI43"/>
    <mergeCell ref="AN43:AS43"/>
    <mergeCell ref="AD42:AF42"/>
    <mergeCell ref="AG42:AI42"/>
    <mergeCell ref="AN42:AP42"/>
    <mergeCell ref="AQ42:AS42"/>
    <mergeCell ref="J42:L42"/>
    <mergeCell ref="M42:O42"/>
    <mergeCell ref="T42:V42"/>
    <mergeCell ref="W42:Y42"/>
    <mergeCell ref="V44:W44"/>
    <mergeCell ref="X44:Y44"/>
    <mergeCell ref="AD44:AE44"/>
    <mergeCell ref="AF44:AG44"/>
    <mergeCell ref="AH44:AI44"/>
    <mergeCell ref="AN44:AO44"/>
    <mergeCell ref="AP44:AQ44"/>
    <mergeCell ref="AR44:AS44"/>
    <mergeCell ref="G44:G45"/>
    <mergeCell ref="H44:I44"/>
    <mergeCell ref="AX34:AY34"/>
    <mergeCell ref="AZ34:BA34"/>
    <mergeCell ref="DP35:DQ35"/>
    <mergeCell ref="DR35:DS35"/>
    <mergeCell ref="DT35:DU35"/>
    <mergeCell ref="DZ35:EA35"/>
    <mergeCell ref="EB35:EC35"/>
    <mergeCell ref="ED35:EE35"/>
    <mergeCell ref="AX35:AY35"/>
    <mergeCell ref="AZ35:BA35"/>
    <mergeCell ref="BB35:BC35"/>
    <mergeCell ref="AX33:BC33"/>
    <mergeCell ref="DP33:DU33"/>
    <mergeCell ref="DZ33:EE33"/>
    <mergeCell ref="G34:G35"/>
    <mergeCell ref="H34:I34"/>
    <mergeCell ref="J34:K34"/>
    <mergeCell ref="L34:M34"/>
    <mergeCell ref="N34:O34"/>
    <mergeCell ref="T34:U34"/>
    <mergeCell ref="DT34:DU34"/>
    <mergeCell ref="DZ34:EA34"/>
    <mergeCell ref="EB34:EC34"/>
    <mergeCell ref="ED34:EE34"/>
    <mergeCell ref="J35:K35"/>
    <mergeCell ref="L35:M35"/>
    <mergeCell ref="N35:O35"/>
    <mergeCell ref="T35:U35"/>
    <mergeCell ref="V35:W35"/>
    <mergeCell ref="X35:Y35"/>
    <mergeCell ref="BB34:BC34"/>
    <mergeCell ref="DP34:DQ34"/>
    <mergeCell ref="DR34:DS34"/>
    <mergeCell ref="AH34:AI34"/>
    <mergeCell ref="AN34:AO34"/>
    <mergeCell ref="D32:D35"/>
    <mergeCell ref="J32:L32"/>
    <mergeCell ref="M32:O32"/>
    <mergeCell ref="T32:V32"/>
    <mergeCell ref="W32:Y32"/>
    <mergeCell ref="AD32:AF32"/>
    <mergeCell ref="AG32:AI32"/>
    <mergeCell ref="AN32:AP32"/>
    <mergeCell ref="AQ32:AS32"/>
    <mergeCell ref="E33:E34"/>
    <mergeCell ref="F33:F34"/>
    <mergeCell ref="J33:O33"/>
    <mergeCell ref="T33:Y33"/>
    <mergeCell ref="AD33:AI33"/>
    <mergeCell ref="AN33:AS33"/>
    <mergeCell ref="V34:W34"/>
    <mergeCell ref="X34:Y34"/>
    <mergeCell ref="AD34:AE34"/>
    <mergeCell ref="AF34:AG34"/>
    <mergeCell ref="AP34:AQ34"/>
    <mergeCell ref="AR34:AS34"/>
    <mergeCell ref="DR26:DS26"/>
    <mergeCell ref="DT26:DU26"/>
    <mergeCell ref="DZ26:EA26"/>
    <mergeCell ref="AP26:AQ26"/>
    <mergeCell ref="AR26:AS26"/>
    <mergeCell ref="AX26:AY26"/>
    <mergeCell ref="AX32:AZ32"/>
    <mergeCell ref="BA32:BC32"/>
    <mergeCell ref="DP32:DU32"/>
    <mergeCell ref="DZ32:EE32"/>
    <mergeCell ref="ED27:EE27"/>
    <mergeCell ref="BL27:BM27"/>
    <mergeCell ref="DP27:DQ27"/>
    <mergeCell ref="DR27:DS27"/>
    <mergeCell ref="DT27:DU27"/>
    <mergeCell ref="DZ27:EA27"/>
    <mergeCell ref="EB27:EC27"/>
    <mergeCell ref="AR27:AS27"/>
    <mergeCell ref="AX27:AY27"/>
    <mergeCell ref="AZ27:BA27"/>
    <mergeCell ref="BB27:BC27"/>
    <mergeCell ref="N27:O27"/>
    <mergeCell ref="T27:U27"/>
    <mergeCell ref="V27:W27"/>
    <mergeCell ref="X27:Y27"/>
    <mergeCell ref="AD27:AE27"/>
    <mergeCell ref="AF27:AG27"/>
    <mergeCell ref="BJ26:BK26"/>
    <mergeCell ref="BL26:BM26"/>
    <mergeCell ref="DP26:DQ26"/>
    <mergeCell ref="DZ25:EE25"/>
    <mergeCell ref="G26:G27"/>
    <mergeCell ref="H26:I26"/>
    <mergeCell ref="J26:K26"/>
    <mergeCell ref="L26:M26"/>
    <mergeCell ref="N26:O26"/>
    <mergeCell ref="T26:U26"/>
    <mergeCell ref="V26:W26"/>
    <mergeCell ref="X26:Y26"/>
    <mergeCell ref="AD26:AE26"/>
    <mergeCell ref="AD25:AI25"/>
    <mergeCell ref="AN25:AS25"/>
    <mergeCell ref="AX25:BC25"/>
    <mergeCell ref="BH25:BM25"/>
    <mergeCell ref="DP25:DU25"/>
    <mergeCell ref="BH27:BI27"/>
    <mergeCell ref="BJ27:BK27"/>
    <mergeCell ref="AH27:AI27"/>
    <mergeCell ref="AN27:AO27"/>
    <mergeCell ref="AP27:AQ27"/>
    <mergeCell ref="EB26:EC26"/>
    <mergeCell ref="ED26:EE26"/>
    <mergeCell ref="J27:K27"/>
    <mergeCell ref="L27:M27"/>
    <mergeCell ref="AG24:AI24"/>
    <mergeCell ref="AN24:AP24"/>
    <mergeCell ref="AQ24:AS24"/>
    <mergeCell ref="AZ26:BA26"/>
    <mergeCell ref="BB26:BC26"/>
    <mergeCell ref="BH26:BI26"/>
    <mergeCell ref="AF26:AG26"/>
    <mergeCell ref="AH26:AI26"/>
    <mergeCell ref="AN26:AO26"/>
    <mergeCell ref="ED17:EE17"/>
    <mergeCell ref="AX17:AY17"/>
    <mergeCell ref="AZ17:BA17"/>
    <mergeCell ref="BB17:BC17"/>
    <mergeCell ref="BH17:BI17"/>
    <mergeCell ref="BJ17:BK17"/>
    <mergeCell ref="BL17:BM17"/>
    <mergeCell ref="B23:B36"/>
    <mergeCell ref="D24:D27"/>
    <mergeCell ref="J24:L24"/>
    <mergeCell ref="M24:O24"/>
    <mergeCell ref="T24:V24"/>
    <mergeCell ref="W24:Y24"/>
    <mergeCell ref="E25:E26"/>
    <mergeCell ref="F25:F26"/>
    <mergeCell ref="J25:O25"/>
    <mergeCell ref="T25:Y25"/>
    <mergeCell ref="AX24:AZ24"/>
    <mergeCell ref="BA24:BC24"/>
    <mergeCell ref="BH24:BJ24"/>
    <mergeCell ref="BK24:BM24"/>
    <mergeCell ref="DP24:DU24"/>
    <mergeCell ref="DZ24:EE24"/>
    <mergeCell ref="AD24:AF24"/>
    <mergeCell ref="AD17:AE17"/>
    <mergeCell ref="AF17:AG17"/>
    <mergeCell ref="AH17:AI17"/>
    <mergeCell ref="AN17:AO17"/>
    <mergeCell ref="AP17:AQ17"/>
    <mergeCell ref="AR17:AS17"/>
    <mergeCell ref="DT16:DU16"/>
    <mergeCell ref="DZ16:EA16"/>
    <mergeCell ref="EB16:EC16"/>
    <mergeCell ref="DP17:DQ17"/>
    <mergeCell ref="DR17:DS17"/>
    <mergeCell ref="DT17:DU17"/>
    <mergeCell ref="DZ17:EA17"/>
    <mergeCell ref="EB17:EC17"/>
    <mergeCell ref="DZ15:EE15"/>
    <mergeCell ref="G16:G17"/>
    <mergeCell ref="H16:I16"/>
    <mergeCell ref="J16:K16"/>
    <mergeCell ref="L16:M16"/>
    <mergeCell ref="N16:O16"/>
    <mergeCell ref="T16:U16"/>
    <mergeCell ref="ED16:EE16"/>
    <mergeCell ref="J17:K17"/>
    <mergeCell ref="L17:M17"/>
    <mergeCell ref="N17:O17"/>
    <mergeCell ref="T17:U17"/>
    <mergeCell ref="V17:W17"/>
    <mergeCell ref="X17:Y17"/>
    <mergeCell ref="BB16:BC16"/>
    <mergeCell ref="BH16:BI16"/>
    <mergeCell ref="BJ16:BK16"/>
    <mergeCell ref="BL16:BM16"/>
    <mergeCell ref="DP16:DQ16"/>
    <mergeCell ref="DR16:DS16"/>
    <mergeCell ref="AH16:AI16"/>
    <mergeCell ref="AN16:AO16"/>
    <mergeCell ref="AP16:AQ16"/>
    <mergeCell ref="AR16:AS16"/>
    <mergeCell ref="AD15:AI15"/>
    <mergeCell ref="AN15:AS15"/>
    <mergeCell ref="V16:W16"/>
    <mergeCell ref="X16:Y16"/>
    <mergeCell ref="AD16:AE16"/>
    <mergeCell ref="AF16:AG16"/>
    <mergeCell ref="AX15:BC15"/>
    <mergeCell ref="BH15:BM15"/>
    <mergeCell ref="DP15:DU15"/>
    <mergeCell ref="AX16:AY16"/>
    <mergeCell ref="AZ16:BA16"/>
    <mergeCell ref="DP14:DU14"/>
    <mergeCell ref="DZ14:EE14"/>
    <mergeCell ref="ED9:EE9"/>
    <mergeCell ref="D14:D17"/>
    <mergeCell ref="J14:L14"/>
    <mergeCell ref="M14:O14"/>
    <mergeCell ref="T14:V14"/>
    <mergeCell ref="W14:Y14"/>
    <mergeCell ref="AD14:AF14"/>
    <mergeCell ref="AG14:AI14"/>
    <mergeCell ref="AN14:AP14"/>
    <mergeCell ref="AQ14:AS14"/>
    <mergeCell ref="BL9:BM9"/>
    <mergeCell ref="DP9:DQ9"/>
    <mergeCell ref="DR9:DS9"/>
    <mergeCell ref="DT9:DU9"/>
    <mergeCell ref="DZ9:EA9"/>
    <mergeCell ref="EB9:EC9"/>
    <mergeCell ref="AR9:AS9"/>
    <mergeCell ref="AX9:AY9"/>
    <mergeCell ref="E15:E16"/>
    <mergeCell ref="F15:F16"/>
    <mergeCell ref="J15:O15"/>
    <mergeCell ref="T15:Y15"/>
    <mergeCell ref="DR8:DS8"/>
    <mergeCell ref="DT8:DU8"/>
    <mergeCell ref="DZ8:EA8"/>
    <mergeCell ref="EB8:EC8"/>
    <mergeCell ref="ED8:EE8"/>
    <mergeCell ref="J9:K9"/>
    <mergeCell ref="L9:M9"/>
    <mergeCell ref="N9:O9"/>
    <mergeCell ref="T9:U9"/>
    <mergeCell ref="V9:W9"/>
    <mergeCell ref="AZ8:BA8"/>
    <mergeCell ref="BB8:BC8"/>
    <mergeCell ref="BH8:BI8"/>
    <mergeCell ref="BJ8:BK8"/>
    <mergeCell ref="BL8:BM8"/>
    <mergeCell ref="DP8:DQ8"/>
    <mergeCell ref="AF8:AG8"/>
    <mergeCell ref="AH8:AI8"/>
    <mergeCell ref="AN8:AO8"/>
    <mergeCell ref="AP8:AQ8"/>
    <mergeCell ref="AR8:AS8"/>
    <mergeCell ref="AX8:AY8"/>
    <mergeCell ref="AZ9:BA9"/>
    <mergeCell ref="BB9:BC9"/>
    <mergeCell ref="DZ6:EE6"/>
    <mergeCell ref="E7:E8"/>
    <mergeCell ref="F7:F8"/>
    <mergeCell ref="J7:O7"/>
    <mergeCell ref="T7:Y7"/>
    <mergeCell ref="AD7:AI7"/>
    <mergeCell ref="AN7:AS7"/>
    <mergeCell ref="AX7:BC7"/>
    <mergeCell ref="BH7:BM7"/>
    <mergeCell ref="DP7:DU7"/>
    <mergeCell ref="AQ6:AS6"/>
    <mergeCell ref="AX6:AZ6"/>
    <mergeCell ref="BA6:BC6"/>
    <mergeCell ref="BH6:BJ6"/>
    <mergeCell ref="BK6:BM6"/>
    <mergeCell ref="DP6:DU6"/>
    <mergeCell ref="DZ7:EE7"/>
    <mergeCell ref="G8:G9"/>
    <mergeCell ref="H8:I8"/>
    <mergeCell ref="J8:K8"/>
    <mergeCell ref="L8:M8"/>
    <mergeCell ref="N8:O8"/>
    <mergeCell ref="T8:U8"/>
    <mergeCell ref="V8:W8"/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X8:Y8"/>
    <mergeCell ref="AD8:AE8"/>
    <mergeCell ref="BH9:BI9"/>
    <mergeCell ref="BJ9:BK9"/>
    <mergeCell ref="X9:Y9"/>
    <mergeCell ref="AD9:AE9"/>
    <mergeCell ref="AF9:AG9"/>
    <mergeCell ref="AH9:AI9"/>
    <mergeCell ref="AN9:AO9"/>
    <mergeCell ref="AP9:AQ9"/>
    <mergeCell ref="AX14:AZ14"/>
    <mergeCell ref="BA14:BC14"/>
    <mergeCell ref="BH14:BJ14"/>
    <mergeCell ref="BK14:BM14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B2:EE100"/>
  <sheetViews>
    <sheetView zoomScale="85" zoomScaleNormal="85" zoomScaleSheetLayoutView="100" workbookViewId="0">
      <selection activeCell="BH25" sqref="BH25:BM27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242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4" spans="2:135" x14ac:dyDescent="0.3">
      <c r="BL4" s="4"/>
    </row>
    <row r="5" spans="2:135" ht="10.050000000000001" customHeight="1" thickBot="1" x14ac:dyDescent="0.35">
      <c r="B5" s="118" t="s">
        <v>4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121</v>
      </c>
      <c r="K6" s="25"/>
      <c r="L6" s="26"/>
      <c r="M6" s="38" t="s">
        <v>109</v>
      </c>
      <c r="N6" s="39"/>
      <c r="O6" s="40"/>
      <c r="P6" s="4"/>
      <c r="Q6" s="4"/>
      <c r="R6" s="4"/>
      <c r="S6" s="4"/>
      <c r="T6" s="24" t="s">
        <v>119</v>
      </c>
      <c r="U6" s="25"/>
      <c r="V6" s="26"/>
      <c r="W6" s="38" t="s">
        <v>109</v>
      </c>
      <c r="X6" s="39"/>
      <c r="Y6" s="40"/>
      <c r="Z6" s="4"/>
      <c r="AA6" s="4"/>
      <c r="AB6" s="4"/>
      <c r="AC6" s="4"/>
      <c r="AD6" s="24" t="s">
        <v>181</v>
      </c>
      <c r="AE6" s="25"/>
      <c r="AF6" s="26"/>
      <c r="AG6" s="38">
        <v>111</v>
      </c>
      <c r="AH6" s="39"/>
      <c r="AI6" s="40"/>
      <c r="AJ6" s="4"/>
      <c r="AK6" s="4"/>
      <c r="AL6" s="4"/>
      <c r="AM6" s="4"/>
      <c r="AN6" s="24" t="s">
        <v>90</v>
      </c>
      <c r="AO6" s="25"/>
      <c r="AP6" s="26"/>
      <c r="AQ6" s="27" t="s">
        <v>178</v>
      </c>
      <c r="AR6" s="28"/>
      <c r="AS6" s="29"/>
      <c r="AT6" s="4"/>
      <c r="AU6" s="4"/>
      <c r="AV6" s="4"/>
      <c r="AW6" s="4"/>
      <c r="AX6" s="24" t="s">
        <v>19</v>
      </c>
      <c r="AY6" s="25"/>
      <c r="AZ6" s="26"/>
      <c r="BA6" s="27" t="s">
        <v>33</v>
      </c>
      <c r="BB6" s="28"/>
      <c r="BC6" s="29"/>
      <c r="BD6" s="4"/>
      <c r="BE6" s="4"/>
      <c r="BF6" s="4"/>
      <c r="BG6" s="4"/>
      <c r="BH6" s="24" t="s">
        <v>122</v>
      </c>
      <c r="BI6" s="25"/>
      <c r="BJ6" s="26"/>
      <c r="BK6" s="38" t="s">
        <v>109</v>
      </c>
      <c r="BL6" s="39"/>
      <c r="BM6" s="40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SUM(N8,X8,AH8,AR8,BB8,BL8)</f>
        <v>750</v>
      </c>
      <c r="H7" s="2"/>
      <c r="I7" s="2"/>
      <c r="J7" s="114" t="s">
        <v>21</v>
      </c>
      <c r="K7" s="115"/>
      <c r="L7" s="115"/>
      <c r="M7" s="115"/>
      <c r="N7" s="116"/>
      <c r="O7" s="117"/>
      <c r="P7" s="4"/>
      <c r="Q7" s="4"/>
      <c r="R7" s="4"/>
      <c r="S7" s="4"/>
      <c r="T7" s="114" t="s">
        <v>120</v>
      </c>
      <c r="U7" s="115"/>
      <c r="V7" s="115"/>
      <c r="W7" s="115"/>
      <c r="X7" s="116"/>
      <c r="Y7" s="117"/>
      <c r="Z7" s="4"/>
      <c r="AA7" s="4"/>
      <c r="AB7" s="4"/>
      <c r="AC7" s="4"/>
      <c r="AD7" s="30" t="s">
        <v>180</v>
      </c>
      <c r="AE7" s="31"/>
      <c r="AF7" s="31"/>
      <c r="AG7" s="31"/>
      <c r="AH7" s="32"/>
      <c r="AI7" s="33"/>
      <c r="AJ7" s="4"/>
      <c r="AK7" s="4"/>
      <c r="AL7" s="4"/>
      <c r="AM7" s="4"/>
      <c r="AN7" s="30" t="s">
        <v>147</v>
      </c>
      <c r="AO7" s="31"/>
      <c r="AP7" s="31"/>
      <c r="AQ7" s="31"/>
      <c r="AR7" s="32"/>
      <c r="AS7" s="33"/>
      <c r="AT7" s="4"/>
      <c r="AU7" s="4"/>
      <c r="AV7" s="4"/>
      <c r="AW7" s="4"/>
      <c r="AX7" s="53" t="s">
        <v>32</v>
      </c>
      <c r="AY7" s="54"/>
      <c r="AZ7" s="54"/>
      <c r="BA7" s="54"/>
      <c r="BB7" s="55"/>
      <c r="BC7" s="56"/>
      <c r="BD7" s="4"/>
      <c r="BE7" s="4"/>
      <c r="BF7" s="4"/>
      <c r="BG7" s="4"/>
      <c r="BH7" s="114" t="s">
        <v>123</v>
      </c>
      <c r="BI7" s="115"/>
      <c r="BJ7" s="115"/>
      <c r="BK7" s="115"/>
      <c r="BL7" s="116"/>
      <c r="BM7" s="117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110">
        <v>2</v>
      </c>
      <c r="K8" s="111"/>
      <c r="L8" s="108">
        <v>2</v>
      </c>
      <c r="M8" s="111"/>
      <c r="N8" s="108">
        <v>90</v>
      </c>
      <c r="O8" s="109"/>
      <c r="P8" s="4"/>
      <c r="Q8" s="4"/>
      <c r="R8" s="4"/>
      <c r="S8" s="4"/>
      <c r="T8" s="110">
        <v>2</v>
      </c>
      <c r="U8" s="111"/>
      <c r="V8" s="108">
        <v>2</v>
      </c>
      <c r="W8" s="111"/>
      <c r="X8" s="108">
        <v>90</v>
      </c>
      <c r="Y8" s="109"/>
      <c r="Z8" s="4"/>
      <c r="AA8" s="4"/>
      <c r="AB8" s="4"/>
      <c r="AC8" s="4"/>
      <c r="AD8" s="34">
        <v>3</v>
      </c>
      <c r="AE8" s="35"/>
      <c r="AF8" s="36">
        <v>4</v>
      </c>
      <c r="AG8" s="35"/>
      <c r="AH8" s="36">
        <v>150</v>
      </c>
      <c r="AI8" s="37"/>
      <c r="AJ8" s="4"/>
      <c r="AK8" s="4"/>
      <c r="AL8" s="4"/>
      <c r="AM8" s="4"/>
      <c r="AN8" s="34">
        <v>3</v>
      </c>
      <c r="AO8" s="35"/>
      <c r="AP8" s="36">
        <v>4</v>
      </c>
      <c r="AQ8" s="35"/>
      <c r="AR8" s="36">
        <v>150</v>
      </c>
      <c r="AS8" s="37"/>
      <c r="AT8" s="4"/>
      <c r="AU8" s="4"/>
      <c r="AV8" s="4"/>
      <c r="AW8" s="4"/>
      <c r="AX8" s="57">
        <v>3</v>
      </c>
      <c r="AY8" s="58"/>
      <c r="AZ8" s="59">
        <v>5</v>
      </c>
      <c r="BA8" s="58"/>
      <c r="BB8" s="59">
        <v>180</v>
      </c>
      <c r="BC8" s="91"/>
      <c r="BD8" s="4"/>
      <c r="BE8" s="4"/>
      <c r="BF8" s="4"/>
      <c r="BG8" s="4"/>
      <c r="BH8" s="110">
        <v>2</v>
      </c>
      <c r="BI8" s="111"/>
      <c r="BJ8" s="108">
        <v>2</v>
      </c>
      <c r="BK8" s="111"/>
      <c r="BL8" s="108">
        <v>90</v>
      </c>
      <c r="BM8" s="109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SUM(J8,T8,AD8,AN8,AX8,BH8,BR8)</f>
        <v>15</v>
      </c>
      <c r="F9" s="11">
        <f>SUM(J9:BW9)</f>
        <v>19</v>
      </c>
      <c r="G9" s="105"/>
      <c r="H9" s="2"/>
      <c r="I9" s="2"/>
      <c r="J9" s="112">
        <v>2</v>
      </c>
      <c r="K9" s="113"/>
      <c r="L9" s="106">
        <v>0</v>
      </c>
      <c r="M9" s="113"/>
      <c r="N9" s="106">
        <v>0</v>
      </c>
      <c r="O9" s="107"/>
      <c r="P9" s="4"/>
      <c r="Q9" s="4"/>
      <c r="R9" s="4"/>
      <c r="S9" s="4"/>
      <c r="T9" s="112">
        <v>2</v>
      </c>
      <c r="U9" s="113"/>
      <c r="V9" s="106">
        <v>0</v>
      </c>
      <c r="W9" s="113"/>
      <c r="X9" s="106">
        <v>0</v>
      </c>
      <c r="Y9" s="107"/>
      <c r="Z9" s="4"/>
      <c r="AA9" s="4"/>
      <c r="AB9" s="4"/>
      <c r="AC9" s="4"/>
      <c r="AD9" s="20">
        <v>3</v>
      </c>
      <c r="AE9" s="21"/>
      <c r="AF9" s="22">
        <v>1</v>
      </c>
      <c r="AG9" s="21"/>
      <c r="AH9" s="22">
        <v>0</v>
      </c>
      <c r="AI9" s="23"/>
      <c r="AJ9" s="4"/>
      <c r="AK9" s="4"/>
      <c r="AL9" s="4"/>
      <c r="AM9" s="4"/>
      <c r="AN9" s="20">
        <v>2</v>
      </c>
      <c r="AO9" s="21"/>
      <c r="AP9" s="22">
        <v>0</v>
      </c>
      <c r="AQ9" s="21"/>
      <c r="AR9" s="22">
        <v>2</v>
      </c>
      <c r="AS9" s="23"/>
      <c r="AT9" s="4"/>
      <c r="AU9" s="4"/>
      <c r="AV9" s="4"/>
      <c r="AW9" s="4"/>
      <c r="AX9" s="92">
        <v>2</v>
      </c>
      <c r="AY9" s="93"/>
      <c r="AZ9" s="70">
        <v>0</v>
      </c>
      <c r="BA9" s="93"/>
      <c r="BB9" s="70">
        <v>3</v>
      </c>
      <c r="BC9" s="71"/>
      <c r="BD9" s="4"/>
      <c r="BE9" s="4"/>
      <c r="BF9" s="4"/>
      <c r="BG9" s="4"/>
      <c r="BH9" s="112">
        <v>2</v>
      </c>
      <c r="BI9" s="113"/>
      <c r="BJ9" s="106">
        <v>0</v>
      </c>
      <c r="BK9" s="113"/>
      <c r="BL9" s="106">
        <v>0</v>
      </c>
      <c r="BM9" s="107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127</v>
      </c>
      <c r="K14" s="25"/>
      <c r="L14" s="26"/>
      <c r="M14" s="38" t="s">
        <v>110</v>
      </c>
      <c r="N14" s="39"/>
      <c r="O14" s="40"/>
      <c r="P14" s="4"/>
      <c r="Q14" s="4"/>
      <c r="R14" s="4"/>
      <c r="S14" s="4"/>
      <c r="T14" s="24" t="s">
        <v>114</v>
      </c>
      <c r="U14" s="25"/>
      <c r="V14" s="26"/>
      <c r="W14" s="38">
        <v>112</v>
      </c>
      <c r="X14" s="39"/>
      <c r="Y14" s="40"/>
      <c r="Z14" s="4"/>
      <c r="AA14" s="4"/>
      <c r="AB14" s="4"/>
      <c r="AC14" s="4"/>
      <c r="AD14" s="24" t="s">
        <v>114</v>
      </c>
      <c r="AE14" s="25"/>
      <c r="AF14" s="26"/>
      <c r="AG14" s="38">
        <v>131</v>
      </c>
      <c r="AH14" s="39"/>
      <c r="AI14" s="40"/>
      <c r="AJ14" s="4"/>
      <c r="AK14" s="4"/>
      <c r="AL14" s="4"/>
      <c r="AM14" s="4"/>
      <c r="AN14" s="24" t="s">
        <v>149</v>
      </c>
      <c r="AO14" s="25"/>
      <c r="AP14" s="26"/>
      <c r="AQ14" s="38">
        <v>241</v>
      </c>
      <c r="AR14" s="39"/>
      <c r="AS14" s="40"/>
      <c r="AT14" s="4"/>
      <c r="AU14" s="4"/>
      <c r="AV14" s="4"/>
      <c r="AW14" s="4"/>
      <c r="AX14" s="24" t="s">
        <v>19</v>
      </c>
      <c r="AY14" s="25"/>
      <c r="AZ14" s="26"/>
      <c r="BA14" s="27" t="s">
        <v>35</v>
      </c>
      <c r="BB14" s="28"/>
      <c r="BC14" s="29"/>
      <c r="BD14" s="4"/>
      <c r="BE14" s="4"/>
      <c r="BF14" s="4"/>
      <c r="BG14" s="4"/>
      <c r="BH14" s="24" t="s">
        <v>131</v>
      </c>
      <c r="BI14" s="25"/>
      <c r="BJ14" s="26"/>
      <c r="BK14" s="38" t="s">
        <v>110</v>
      </c>
      <c r="BL14" s="39"/>
      <c r="BM14" s="40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855</v>
      </c>
      <c r="H15" s="2"/>
      <c r="I15" s="2"/>
      <c r="J15" s="114" t="s">
        <v>128</v>
      </c>
      <c r="K15" s="115"/>
      <c r="L15" s="115"/>
      <c r="M15" s="115"/>
      <c r="N15" s="116"/>
      <c r="O15" s="117"/>
      <c r="P15" s="4"/>
      <c r="Q15" s="4"/>
      <c r="R15" s="4"/>
      <c r="S15" s="4"/>
      <c r="T15" s="30" t="s">
        <v>126</v>
      </c>
      <c r="U15" s="31"/>
      <c r="V15" s="31"/>
      <c r="W15" s="31"/>
      <c r="X15" s="32"/>
      <c r="Y15" s="33"/>
      <c r="Z15" s="4"/>
      <c r="AA15" s="4"/>
      <c r="AB15" s="4"/>
      <c r="AC15" s="4"/>
      <c r="AD15" s="30" t="s">
        <v>189</v>
      </c>
      <c r="AE15" s="31"/>
      <c r="AF15" s="31"/>
      <c r="AG15" s="31"/>
      <c r="AH15" s="32"/>
      <c r="AI15" s="33"/>
      <c r="AJ15" s="4"/>
      <c r="AK15" s="4"/>
      <c r="AL15" s="4"/>
      <c r="AM15" s="4"/>
      <c r="AN15" s="30" t="s">
        <v>160</v>
      </c>
      <c r="AO15" s="31"/>
      <c r="AP15" s="31"/>
      <c r="AQ15" s="31"/>
      <c r="AR15" s="32"/>
      <c r="AS15" s="33"/>
      <c r="AT15" s="4"/>
      <c r="AU15" s="4"/>
      <c r="AV15" s="4"/>
      <c r="AW15" s="4"/>
      <c r="AX15" s="53" t="s">
        <v>34</v>
      </c>
      <c r="AY15" s="54"/>
      <c r="AZ15" s="54"/>
      <c r="BA15" s="54"/>
      <c r="BB15" s="55"/>
      <c r="BC15" s="56"/>
      <c r="BD15" s="4"/>
      <c r="BE15" s="4"/>
      <c r="BF15" s="4"/>
      <c r="BG15" s="4"/>
      <c r="BH15" s="114" t="s">
        <v>20</v>
      </c>
      <c r="BI15" s="115"/>
      <c r="BJ15" s="115"/>
      <c r="BK15" s="115"/>
      <c r="BL15" s="116"/>
      <c r="BM15" s="117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110">
        <v>2</v>
      </c>
      <c r="K16" s="111"/>
      <c r="L16" s="108">
        <v>2</v>
      </c>
      <c r="M16" s="111"/>
      <c r="N16" s="108">
        <v>90</v>
      </c>
      <c r="O16" s="109"/>
      <c r="P16" s="4"/>
      <c r="Q16" s="4"/>
      <c r="R16" s="4"/>
      <c r="S16" s="4"/>
      <c r="T16" s="34">
        <v>3</v>
      </c>
      <c r="U16" s="35"/>
      <c r="V16" s="36">
        <v>4</v>
      </c>
      <c r="W16" s="35"/>
      <c r="X16" s="36">
        <v>150</v>
      </c>
      <c r="Y16" s="37"/>
      <c r="Z16" s="4"/>
      <c r="AA16" s="4"/>
      <c r="AB16" s="4"/>
      <c r="AC16" s="4"/>
      <c r="AD16" s="34">
        <v>3</v>
      </c>
      <c r="AE16" s="35"/>
      <c r="AF16" s="36">
        <v>5</v>
      </c>
      <c r="AG16" s="35"/>
      <c r="AH16" s="36">
        <v>195</v>
      </c>
      <c r="AI16" s="37"/>
      <c r="AJ16" s="4"/>
      <c r="AK16" s="4"/>
      <c r="AL16" s="4"/>
      <c r="AM16" s="4"/>
      <c r="AN16" s="34">
        <v>3</v>
      </c>
      <c r="AO16" s="35"/>
      <c r="AP16" s="36">
        <v>4</v>
      </c>
      <c r="AQ16" s="35"/>
      <c r="AR16" s="36">
        <v>150</v>
      </c>
      <c r="AS16" s="37"/>
      <c r="AT16" s="4"/>
      <c r="AU16" s="4"/>
      <c r="AV16" s="4"/>
      <c r="AW16" s="4"/>
      <c r="AX16" s="57">
        <v>3</v>
      </c>
      <c r="AY16" s="58"/>
      <c r="AZ16" s="59">
        <v>5</v>
      </c>
      <c r="BA16" s="58"/>
      <c r="BB16" s="59">
        <v>180</v>
      </c>
      <c r="BC16" s="91"/>
      <c r="BD16" s="4"/>
      <c r="BE16" s="4"/>
      <c r="BF16" s="4"/>
      <c r="BG16" s="4"/>
      <c r="BH16" s="110">
        <v>2</v>
      </c>
      <c r="BI16" s="111"/>
      <c r="BJ16" s="108">
        <v>2</v>
      </c>
      <c r="BK16" s="111"/>
      <c r="BL16" s="108">
        <v>90</v>
      </c>
      <c r="BM16" s="109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SUM(J16,T16,AD16,AN16,AX16,BH16,BR16)</f>
        <v>16</v>
      </c>
      <c r="F17" s="11">
        <f>SUM(J17:BW17)</f>
        <v>22</v>
      </c>
      <c r="G17" s="105"/>
      <c r="H17" s="2"/>
      <c r="I17" s="2"/>
      <c r="J17" s="112">
        <v>2</v>
      </c>
      <c r="K17" s="113"/>
      <c r="L17" s="106">
        <v>0</v>
      </c>
      <c r="M17" s="113"/>
      <c r="N17" s="106">
        <v>0</v>
      </c>
      <c r="O17" s="107"/>
      <c r="P17" s="4"/>
      <c r="Q17" s="4"/>
      <c r="R17" s="4"/>
      <c r="S17" s="4"/>
      <c r="T17" s="20">
        <v>3</v>
      </c>
      <c r="U17" s="21"/>
      <c r="V17" s="22">
        <v>1</v>
      </c>
      <c r="W17" s="21"/>
      <c r="X17" s="22">
        <v>0</v>
      </c>
      <c r="Y17" s="23"/>
      <c r="Z17" s="4"/>
      <c r="AA17" s="4"/>
      <c r="AB17" s="4"/>
      <c r="AC17" s="4"/>
      <c r="AD17" s="20">
        <v>2</v>
      </c>
      <c r="AE17" s="21"/>
      <c r="AF17" s="22">
        <v>2</v>
      </c>
      <c r="AG17" s="21"/>
      <c r="AH17" s="22">
        <v>1</v>
      </c>
      <c r="AI17" s="23"/>
      <c r="AJ17" s="4"/>
      <c r="AK17" s="4"/>
      <c r="AL17" s="4"/>
      <c r="AM17" s="4"/>
      <c r="AN17" s="20">
        <v>2</v>
      </c>
      <c r="AO17" s="21"/>
      <c r="AP17" s="22">
        <v>0</v>
      </c>
      <c r="AQ17" s="21"/>
      <c r="AR17" s="22">
        <v>2</v>
      </c>
      <c r="AS17" s="23"/>
      <c r="AT17" s="4"/>
      <c r="AU17" s="4"/>
      <c r="AV17" s="4"/>
      <c r="AW17" s="4"/>
      <c r="AX17" s="92">
        <v>2</v>
      </c>
      <c r="AY17" s="93"/>
      <c r="AZ17" s="70">
        <v>0</v>
      </c>
      <c r="BA17" s="93"/>
      <c r="BB17" s="70">
        <v>3</v>
      </c>
      <c r="BC17" s="71"/>
      <c r="BD17" s="4"/>
      <c r="BE17" s="4"/>
      <c r="BF17" s="4"/>
      <c r="BG17" s="4"/>
      <c r="BH17" s="112">
        <v>2</v>
      </c>
      <c r="BI17" s="113"/>
      <c r="BJ17" s="106">
        <v>0</v>
      </c>
      <c r="BK17" s="113"/>
      <c r="BL17" s="106">
        <v>0</v>
      </c>
      <c r="BM17" s="107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3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ht="14.4" customHeight="1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114</v>
      </c>
      <c r="K24" s="25"/>
      <c r="L24" s="26"/>
      <c r="M24" s="38">
        <v>212</v>
      </c>
      <c r="N24" s="39"/>
      <c r="O24" s="40"/>
      <c r="P24" s="4"/>
      <c r="Q24" s="4"/>
      <c r="R24" s="4"/>
      <c r="S24" s="4"/>
      <c r="T24" s="24" t="s">
        <v>19</v>
      </c>
      <c r="U24" s="25"/>
      <c r="V24" s="26"/>
      <c r="W24" s="38">
        <v>131</v>
      </c>
      <c r="X24" s="102"/>
      <c r="Y24" s="103"/>
      <c r="Z24" s="4"/>
      <c r="AA24" s="4"/>
      <c r="AB24" s="4"/>
      <c r="AC24" s="4"/>
      <c r="AD24" s="24" t="s">
        <v>98</v>
      </c>
      <c r="AE24" s="25"/>
      <c r="AF24" s="26"/>
      <c r="AG24" s="38">
        <v>191</v>
      </c>
      <c r="AH24" s="39"/>
      <c r="AI24" s="40"/>
      <c r="AJ24" s="4"/>
      <c r="AK24" s="4"/>
      <c r="AL24" s="4"/>
      <c r="AM24" s="4"/>
      <c r="AN24" s="24" t="s">
        <v>149</v>
      </c>
      <c r="AO24" s="25"/>
      <c r="AP24" s="26"/>
      <c r="AQ24" s="38">
        <v>221</v>
      </c>
      <c r="AR24" s="39"/>
      <c r="AS24" s="40"/>
      <c r="AT24" s="4"/>
      <c r="AU24" s="4"/>
      <c r="AV24" s="4"/>
      <c r="AW24" s="4"/>
      <c r="AX24" s="24" t="s">
        <v>19</v>
      </c>
      <c r="AY24" s="25"/>
      <c r="AZ24" s="26"/>
      <c r="BA24" s="38">
        <v>111</v>
      </c>
      <c r="BB24" s="102"/>
      <c r="BC24" s="103"/>
      <c r="BD24" s="4"/>
      <c r="BE24" s="4"/>
      <c r="BF24" s="4"/>
      <c r="BG24" s="4"/>
      <c r="BH24" s="24" t="s">
        <v>48</v>
      </c>
      <c r="BI24" s="25"/>
      <c r="BJ24" s="26"/>
      <c r="BK24" s="38">
        <v>111</v>
      </c>
      <c r="BL24" s="39"/>
      <c r="BM24" s="40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48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SUM(N26,AR26,BB26,X26,AH26,BL26)</f>
        <v>915</v>
      </c>
      <c r="H25" s="2"/>
      <c r="I25" s="2"/>
      <c r="J25" s="30" t="s">
        <v>182</v>
      </c>
      <c r="K25" s="31"/>
      <c r="L25" s="31"/>
      <c r="M25" s="31"/>
      <c r="N25" s="32"/>
      <c r="O25" s="33"/>
      <c r="P25" s="4"/>
      <c r="Q25" s="4"/>
      <c r="R25" s="4"/>
      <c r="S25" s="4"/>
      <c r="T25" s="53" t="s">
        <v>37</v>
      </c>
      <c r="U25" s="54"/>
      <c r="V25" s="54"/>
      <c r="W25" s="54"/>
      <c r="X25" s="55"/>
      <c r="Y25" s="56"/>
      <c r="Z25" s="4"/>
      <c r="AA25" s="4"/>
      <c r="AB25" s="4"/>
      <c r="AC25" s="4"/>
      <c r="AD25" s="41" t="s">
        <v>159</v>
      </c>
      <c r="AE25" s="42"/>
      <c r="AF25" s="42"/>
      <c r="AG25" s="42"/>
      <c r="AH25" s="43"/>
      <c r="AI25" s="44"/>
      <c r="AJ25" s="4"/>
      <c r="AK25" s="4"/>
      <c r="AL25" s="4"/>
      <c r="AM25" s="4"/>
      <c r="AN25" s="30" t="s">
        <v>179</v>
      </c>
      <c r="AO25" s="31"/>
      <c r="AP25" s="31"/>
      <c r="AQ25" s="31"/>
      <c r="AR25" s="32"/>
      <c r="AS25" s="33"/>
      <c r="AT25" s="4"/>
      <c r="AU25" s="4"/>
      <c r="AV25" s="4"/>
      <c r="AW25" s="4"/>
      <c r="AX25" s="53" t="s">
        <v>36</v>
      </c>
      <c r="AY25" s="54"/>
      <c r="AZ25" s="54"/>
      <c r="BA25" s="54"/>
      <c r="BB25" s="55"/>
      <c r="BC25" s="56"/>
      <c r="BD25" s="4"/>
      <c r="BE25" s="4"/>
      <c r="BF25" s="4"/>
      <c r="BG25" s="4"/>
      <c r="BH25" s="146" t="s">
        <v>47</v>
      </c>
      <c r="BI25" s="147"/>
      <c r="BJ25" s="147"/>
      <c r="BK25" s="147"/>
      <c r="BL25" s="148"/>
      <c r="BM25" s="149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34">
        <v>3</v>
      </c>
      <c r="K26" s="35"/>
      <c r="L26" s="36">
        <v>4</v>
      </c>
      <c r="M26" s="35"/>
      <c r="N26" s="36">
        <v>150</v>
      </c>
      <c r="O26" s="37"/>
      <c r="P26" s="4"/>
      <c r="Q26" s="4"/>
      <c r="R26" s="4"/>
      <c r="S26" s="4"/>
      <c r="T26" s="57">
        <v>3</v>
      </c>
      <c r="U26" s="58"/>
      <c r="V26" s="59">
        <v>6</v>
      </c>
      <c r="W26" s="58"/>
      <c r="X26" s="59">
        <v>195</v>
      </c>
      <c r="Y26" s="91"/>
      <c r="Z26" s="4"/>
      <c r="AA26" s="4"/>
      <c r="AB26" s="4"/>
      <c r="AC26" s="4"/>
      <c r="AD26" s="45">
        <v>2</v>
      </c>
      <c r="AE26" s="46"/>
      <c r="AF26" s="47">
        <v>2</v>
      </c>
      <c r="AG26" s="46"/>
      <c r="AH26" s="47">
        <v>60</v>
      </c>
      <c r="AI26" s="48"/>
      <c r="AJ26" s="4"/>
      <c r="AK26" s="4"/>
      <c r="AL26" s="4"/>
      <c r="AM26" s="4"/>
      <c r="AN26" s="34">
        <v>3</v>
      </c>
      <c r="AO26" s="35"/>
      <c r="AP26" s="36">
        <v>4</v>
      </c>
      <c r="AQ26" s="35"/>
      <c r="AR26" s="36">
        <v>150</v>
      </c>
      <c r="AS26" s="37"/>
      <c r="AT26" s="4"/>
      <c r="AU26" s="4"/>
      <c r="AV26" s="4"/>
      <c r="AW26" s="4"/>
      <c r="AX26" s="57">
        <v>3</v>
      </c>
      <c r="AY26" s="58"/>
      <c r="AZ26" s="59">
        <v>5</v>
      </c>
      <c r="BA26" s="58"/>
      <c r="BB26" s="59">
        <v>180</v>
      </c>
      <c r="BC26" s="91"/>
      <c r="BD26" s="4"/>
      <c r="BE26" s="4"/>
      <c r="BF26" s="4"/>
      <c r="BG26" s="4"/>
      <c r="BH26" s="138">
        <v>3</v>
      </c>
      <c r="BI26" s="139"/>
      <c r="BJ26" s="140">
        <v>5</v>
      </c>
      <c r="BK26" s="139"/>
      <c r="BL26" s="140">
        <v>180</v>
      </c>
      <c r="BM26" s="141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22.35" customHeight="1" thickBot="1" x14ac:dyDescent="0.35">
      <c r="B27" s="118"/>
      <c r="C27" s="1"/>
      <c r="D27" s="119"/>
      <c r="E27" s="11">
        <f>SUM(J26,,AN26,AX26,T26,AD26,BH26)</f>
        <v>17</v>
      </c>
      <c r="F27" s="11">
        <f>SUM(J27:BQ27)</f>
        <v>26</v>
      </c>
      <c r="G27" s="105"/>
      <c r="H27" s="2"/>
      <c r="I27" s="2"/>
      <c r="J27" s="20">
        <v>2</v>
      </c>
      <c r="K27" s="21"/>
      <c r="L27" s="22">
        <v>0</v>
      </c>
      <c r="M27" s="21"/>
      <c r="N27" s="22">
        <v>2</v>
      </c>
      <c r="O27" s="23"/>
      <c r="P27" s="4"/>
      <c r="Q27" s="4"/>
      <c r="R27" s="4"/>
      <c r="S27" s="4"/>
      <c r="T27" s="92">
        <v>2</v>
      </c>
      <c r="U27" s="93"/>
      <c r="V27" s="70">
        <v>2</v>
      </c>
      <c r="W27" s="93"/>
      <c r="X27" s="70">
        <v>2</v>
      </c>
      <c r="Y27" s="71"/>
      <c r="Z27" s="4"/>
      <c r="AA27" s="4"/>
      <c r="AB27" s="4"/>
      <c r="AC27" s="4"/>
      <c r="AD27" s="49">
        <v>2</v>
      </c>
      <c r="AE27" s="50"/>
      <c r="AF27" s="51">
        <v>0</v>
      </c>
      <c r="AG27" s="50"/>
      <c r="AH27" s="51">
        <v>0</v>
      </c>
      <c r="AI27" s="52"/>
      <c r="AJ27" s="4"/>
      <c r="AK27" s="4"/>
      <c r="AL27" s="4"/>
      <c r="AM27" s="4"/>
      <c r="AN27" s="20">
        <v>2</v>
      </c>
      <c r="AO27" s="21"/>
      <c r="AP27" s="22">
        <v>0</v>
      </c>
      <c r="AQ27" s="21"/>
      <c r="AR27" s="22">
        <v>2</v>
      </c>
      <c r="AS27" s="23"/>
      <c r="AT27" s="4"/>
      <c r="AU27" s="4"/>
      <c r="AV27" s="4"/>
      <c r="AW27" s="4"/>
      <c r="AX27" s="92">
        <v>2</v>
      </c>
      <c r="AY27" s="93"/>
      <c r="AZ27" s="70">
        <v>0</v>
      </c>
      <c r="BA27" s="93"/>
      <c r="BB27" s="70">
        <v>3</v>
      </c>
      <c r="BC27" s="71"/>
      <c r="BD27" s="4"/>
      <c r="BE27" s="4"/>
      <c r="BF27" s="4"/>
      <c r="BG27" s="4"/>
      <c r="BH27" s="142">
        <v>2</v>
      </c>
      <c r="BI27" s="143"/>
      <c r="BJ27" s="144">
        <v>1</v>
      </c>
      <c r="BK27" s="143"/>
      <c r="BL27" s="144">
        <v>2</v>
      </c>
      <c r="BM27" s="145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129</v>
      </c>
      <c r="K32" s="25"/>
      <c r="L32" s="26"/>
      <c r="M32" s="38" t="s">
        <v>110</v>
      </c>
      <c r="N32" s="39"/>
      <c r="O32" s="40"/>
      <c r="P32" s="4"/>
      <c r="Q32" s="4"/>
      <c r="R32" s="4"/>
      <c r="S32" s="4"/>
      <c r="T32" s="24" t="s">
        <v>19</v>
      </c>
      <c r="U32" s="25"/>
      <c r="V32" s="26"/>
      <c r="W32" s="38">
        <v>315</v>
      </c>
      <c r="X32" s="39"/>
      <c r="Y32" s="40"/>
      <c r="Z32" s="4"/>
      <c r="AA32" s="4"/>
      <c r="AB32" s="4"/>
      <c r="AC32" s="4"/>
      <c r="AD32" s="24" t="s">
        <v>114</v>
      </c>
      <c r="AE32" s="25"/>
      <c r="AF32" s="26"/>
      <c r="AG32" s="38">
        <v>312</v>
      </c>
      <c r="AH32" s="39"/>
      <c r="AI32" s="40"/>
      <c r="AJ32" s="4"/>
      <c r="AK32" s="4"/>
      <c r="AL32" s="4"/>
      <c r="AM32" s="4"/>
      <c r="AN32" s="24" t="s">
        <v>19</v>
      </c>
      <c r="AO32" s="25"/>
      <c r="AP32" s="26"/>
      <c r="AQ32" s="38">
        <v>221</v>
      </c>
      <c r="AR32" s="102"/>
      <c r="AS32" s="103"/>
      <c r="AT32" s="4"/>
      <c r="AU32" s="4"/>
      <c r="AV32" s="4"/>
      <c r="AW32" s="4"/>
      <c r="AX32" s="24" t="s">
        <v>98</v>
      </c>
      <c r="AY32" s="25"/>
      <c r="AZ32" s="26"/>
      <c r="BA32" s="38">
        <v>311</v>
      </c>
      <c r="BB32" s="102"/>
      <c r="BC32" s="103"/>
      <c r="BD32" s="4"/>
      <c r="BE32" s="4"/>
      <c r="BF32" s="4"/>
      <c r="BG32" s="4"/>
      <c r="BH32" s="24" t="s">
        <v>98</v>
      </c>
      <c r="BI32" s="25"/>
      <c r="BJ32" s="26"/>
      <c r="BK32" s="38">
        <v>241</v>
      </c>
      <c r="BL32" s="102"/>
      <c r="BM32" s="103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930</v>
      </c>
      <c r="H33" s="2"/>
      <c r="I33" s="2"/>
      <c r="J33" s="114" t="s">
        <v>130</v>
      </c>
      <c r="K33" s="115"/>
      <c r="L33" s="115"/>
      <c r="M33" s="115"/>
      <c r="N33" s="116"/>
      <c r="O33" s="117"/>
      <c r="P33" s="4"/>
      <c r="Q33" s="4"/>
      <c r="R33" s="4"/>
      <c r="S33" s="4"/>
      <c r="T33" s="30" t="s">
        <v>26</v>
      </c>
      <c r="U33" s="31"/>
      <c r="V33" s="31"/>
      <c r="W33" s="31"/>
      <c r="X33" s="32"/>
      <c r="Y33" s="33"/>
      <c r="Z33" s="4"/>
      <c r="AA33" s="4"/>
      <c r="AB33" s="4"/>
      <c r="AC33" s="4"/>
      <c r="AD33" s="30" t="s">
        <v>250</v>
      </c>
      <c r="AE33" s="31"/>
      <c r="AF33" s="31"/>
      <c r="AG33" s="31"/>
      <c r="AH33" s="32"/>
      <c r="AI33" s="33"/>
      <c r="AJ33" s="4"/>
      <c r="AK33" s="4"/>
      <c r="AL33" s="4"/>
      <c r="AM33" s="4"/>
      <c r="AN33" s="53" t="s">
        <v>43</v>
      </c>
      <c r="AO33" s="54"/>
      <c r="AP33" s="54"/>
      <c r="AQ33" s="54"/>
      <c r="AR33" s="55"/>
      <c r="AS33" s="56"/>
      <c r="AT33" s="4"/>
      <c r="AU33" s="4"/>
      <c r="AV33" s="4"/>
      <c r="AW33" s="4"/>
      <c r="AX33" s="94" t="s">
        <v>236</v>
      </c>
      <c r="AY33" s="95"/>
      <c r="AZ33" s="95"/>
      <c r="BA33" s="95"/>
      <c r="BB33" s="96"/>
      <c r="BC33" s="97"/>
      <c r="BD33" s="4"/>
      <c r="BE33" s="4"/>
      <c r="BF33" s="4"/>
      <c r="BG33" s="4"/>
      <c r="BH33" s="94" t="s">
        <v>97</v>
      </c>
      <c r="BI33" s="95"/>
      <c r="BJ33" s="95"/>
      <c r="BK33" s="95"/>
      <c r="BL33" s="96"/>
      <c r="BM33" s="97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110">
        <v>2</v>
      </c>
      <c r="K34" s="111"/>
      <c r="L34" s="108">
        <v>2</v>
      </c>
      <c r="M34" s="111"/>
      <c r="N34" s="108">
        <v>90</v>
      </c>
      <c r="O34" s="109"/>
      <c r="P34" s="4"/>
      <c r="Q34" s="4"/>
      <c r="R34" s="4"/>
      <c r="S34" s="4"/>
      <c r="T34" s="34">
        <v>3</v>
      </c>
      <c r="U34" s="35"/>
      <c r="V34" s="36">
        <v>4</v>
      </c>
      <c r="W34" s="35"/>
      <c r="X34" s="36">
        <v>150</v>
      </c>
      <c r="Y34" s="37"/>
      <c r="Z34" s="4"/>
      <c r="AA34" s="4"/>
      <c r="AB34" s="4"/>
      <c r="AC34" s="4"/>
      <c r="AD34" s="34">
        <v>3</v>
      </c>
      <c r="AE34" s="35"/>
      <c r="AF34" s="36">
        <v>4</v>
      </c>
      <c r="AG34" s="35"/>
      <c r="AH34" s="36">
        <v>150</v>
      </c>
      <c r="AI34" s="37"/>
      <c r="AJ34" s="4"/>
      <c r="AK34" s="4"/>
      <c r="AL34" s="4"/>
      <c r="AM34" s="4"/>
      <c r="AN34" s="57">
        <v>3</v>
      </c>
      <c r="AO34" s="58"/>
      <c r="AP34" s="59">
        <v>5</v>
      </c>
      <c r="AQ34" s="58"/>
      <c r="AR34" s="59">
        <v>180</v>
      </c>
      <c r="AS34" s="91"/>
      <c r="AT34" s="4"/>
      <c r="AU34" s="4"/>
      <c r="AV34" s="4"/>
      <c r="AW34" s="4"/>
      <c r="AX34" s="98">
        <v>3</v>
      </c>
      <c r="AY34" s="99"/>
      <c r="AZ34" s="100">
        <v>5</v>
      </c>
      <c r="BA34" s="99"/>
      <c r="BB34" s="100">
        <v>180</v>
      </c>
      <c r="BC34" s="101"/>
      <c r="BD34" s="4"/>
      <c r="BE34" s="4"/>
      <c r="BF34" s="4"/>
      <c r="BG34" s="4"/>
      <c r="BH34" s="98">
        <v>3</v>
      </c>
      <c r="BI34" s="99"/>
      <c r="BJ34" s="100">
        <v>5</v>
      </c>
      <c r="BK34" s="99"/>
      <c r="BL34" s="100">
        <v>180</v>
      </c>
      <c r="BM34" s="101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SUM(J34,T34,AD34,AN34,AX34,BH34,BR3)</f>
        <v>17</v>
      </c>
      <c r="F35" s="11">
        <f>L34+V34+AF34+AP34+AZ34+BJ34</f>
        <v>25</v>
      </c>
      <c r="G35" s="105"/>
      <c r="H35" s="2"/>
      <c r="I35" s="2"/>
      <c r="J35" s="112">
        <v>2</v>
      </c>
      <c r="K35" s="113"/>
      <c r="L35" s="106">
        <v>0</v>
      </c>
      <c r="M35" s="113"/>
      <c r="N35" s="106">
        <v>0</v>
      </c>
      <c r="O35" s="107"/>
      <c r="P35" s="4"/>
      <c r="Q35" s="4"/>
      <c r="R35" s="4"/>
      <c r="S35" s="4"/>
      <c r="T35" s="20">
        <v>2</v>
      </c>
      <c r="U35" s="21"/>
      <c r="V35" s="22">
        <v>2</v>
      </c>
      <c r="W35" s="21"/>
      <c r="X35" s="22">
        <v>0</v>
      </c>
      <c r="Y35" s="23"/>
      <c r="Z35" s="4"/>
      <c r="AA35" s="4"/>
      <c r="AB35" s="4"/>
      <c r="AC35" s="4"/>
      <c r="AD35" s="20">
        <v>2</v>
      </c>
      <c r="AE35" s="21"/>
      <c r="AF35" s="22">
        <v>2</v>
      </c>
      <c r="AG35" s="21"/>
      <c r="AH35" s="22">
        <v>0</v>
      </c>
      <c r="AI35" s="23"/>
      <c r="AJ35" s="4"/>
      <c r="AK35" s="4"/>
      <c r="AL35" s="4"/>
      <c r="AM35" s="4"/>
      <c r="AN35" s="92">
        <v>2</v>
      </c>
      <c r="AO35" s="93"/>
      <c r="AP35" s="70">
        <v>1</v>
      </c>
      <c r="AQ35" s="93"/>
      <c r="AR35" s="70">
        <v>2</v>
      </c>
      <c r="AS35" s="71"/>
      <c r="AT35" s="4"/>
      <c r="AU35" s="4"/>
      <c r="AV35" s="4"/>
      <c r="AW35" s="4"/>
      <c r="AX35" s="72">
        <v>2</v>
      </c>
      <c r="AY35" s="73"/>
      <c r="AZ35" s="68">
        <v>1</v>
      </c>
      <c r="BA35" s="73"/>
      <c r="BB35" s="68">
        <v>2</v>
      </c>
      <c r="BC35" s="69"/>
      <c r="BD35" s="4"/>
      <c r="BE35" s="4"/>
      <c r="BF35" s="4"/>
      <c r="BG35" s="4"/>
      <c r="BH35" s="72">
        <v>2</v>
      </c>
      <c r="BI35" s="73"/>
      <c r="BJ35" s="68">
        <v>1</v>
      </c>
      <c r="BK35" s="73"/>
      <c r="BL35" s="68">
        <v>2</v>
      </c>
      <c r="BM35" s="69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2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133</v>
      </c>
      <c r="K42" s="25"/>
      <c r="L42" s="26"/>
      <c r="M42" s="38" t="s">
        <v>110</v>
      </c>
      <c r="N42" s="39"/>
      <c r="O42" s="40"/>
      <c r="P42" s="4"/>
      <c r="Q42" s="4"/>
      <c r="R42" s="4"/>
      <c r="S42" s="4"/>
      <c r="T42" s="24" t="s">
        <v>19</v>
      </c>
      <c r="U42" s="25"/>
      <c r="V42" s="26"/>
      <c r="W42" s="38">
        <v>281</v>
      </c>
      <c r="X42" s="102"/>
      <c r="Y42" s="103"/>
      <c r="Z42" s="4"/>
      <c r="AA42" s="4"/>
      <c r="AB42" s="4"/>
      <c r="AC42" s="4"/>
      <c r="AD42" s="24" t="s">
        <v>19</v>
      </c>
      <c r="AE42" s="25"/>
      <c r="AF42" s="26"/>
      <c r="AG42" s="38">
        <v>261</v>
      </c>
      <c r="AH42" s="102"/>
      <c r="AI42" s="103"/>
      <c r="AJ42" s="4"/>
      <c r="AK42" s="4"/>
      <c r="AL42" s="4"/>
      <c r="AM42" s="4"/>
      <c r="AN42" s="24" t="s">
        <v>98</v>
      </c>
      <c r="AO42" s="25"/>
      <c r="AP42" s="26"/>
      <c r="AQ42" s="38">
        <v>312</v>
      </c>
      <c r="AR42" s="102"/>
      <c r="AS42" s="103"/>
      <c r="AT42" s="4"/>
      <c r="AU42" s="4"/>
      <c r="AV42" s="4"/>
      <c r="AW42" s="4"/>
      <c r="AX42" s="24" t="s">
        <v>98</v>
      </c>
      <c r="AY42" s="25"/>
      <c r="AZ42" s="26"/>
      <c r="BA42" s="38">
        <v>351</v>
      </c>
      <c r="BB42" s="102"/>
      <c r="BC42" s="103"/>
      <c r="BD42" s="4"/>
      <c r="BE42" s="4"/>
      <c r="BF42" s="4"/>
      <c r="BG42" s="4"/>
      <c r="BH42" s="24" t="s">
        <v>19</v>
      </c>
      <c r="BI42" s="25"/>
      <c r="BJ42" s="26"/>
      <c r="BK42" s="38">
        <v>251</v>
      </c>
      <c r="BL42" s="102"/>
      <c r="BM42" s="103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975</v>
      </c>
      <c r="H43" s="2"/>
      <c r="I43" s="2"/>
      <c r="J43" s="114" t="s">
        <v>132</v>
      </c>
      <c r="K43" s="115"/>
      <c r="L43" s="115"/>
      <c r="M43" s="115"/>
      <c r="N43" s="116"/>
      <c r="O43" s="117"/>
      <c r="P43" s="4"/>
      <c r="Q43" s="4"/>
      <c r="R43" s="4"/>
      <c r="S43" s="4"/>
      <c r="T43" s="53" t="s">
        <v>42</v>
      </c>
      <c r="U43" s="54"/>
      <c r="V43" s="54"/>
      <c r="W43" s="54"/>
      <c r="X43" s="55"/>
      <c r="Y43" s="56"/>
      <c r="Z43" s="4"/>
      <c r="AA43" s="4"/>
      <c r="AB43" s="4"/>
      <c r="AC43" s="4"/>
      <c r="AD43" s="53" t="s">
        <v>41</v>
      </c>
      <c r="AE43" s="54"/>
      <c r="AF43" s="54"/>
      <c r="AG43" s="54"/>
      <c r="AH43" s="55"/>
      <c r="AI43" s="56"/>
      <c r="AJ43" s="4"/>
      <c r="AK43" s="4"/>
      <c r="AL43" s="4"/>
      <c r="AM43" s="4"/>
      <c r="AN43" s="94" t="s">
        <v>101</v>
      </c>
      <c r="AO43" s="95"/>
      <c r="AP43" s="95"/>
      <c r="AQ43" s="95"/>
      <c r="AR43" s="96"/>
      <c r="AS43" s="97"/>
      <c r="AT43" s="4"/>
      <c r="AU43" s="4"/>
      <c r="AV43" s="4"/>
      <c r="AW43" s="4"/>
      <c r="AX43" s="94" t="s">
        <v>100</v>
      </c>
      <c r="AY43" s="95"/>
      <c r="AZ43" s="95"/>
      <c r="BA43" s="95"/>
      <c r="BB43" s="96"/>
      <c r="BC43" s="97"/>
      <c r="BD43" s="4"/>
      <c r="BE43" s="4"/>
      <c r="BF43" s="4"/>
      <c r="BG43" s="4"/>
      <c r="BH43" s="53" t="s">
        <v>237</v>
      </c>
      <c r="BI43" s="54"/>
      <c r="BJ43" s="54"/>
      <c r="BK43" s="54"/>
      <c r="BL43" s="55"/>
      <c r="BM43" s="56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110">
        <v>2</v>
      </c>
      <c r="K44" s="111"/>
      <c r="L44" s="108">
        <v>2</v>
      </c>
      <c r="M44" s="111"/>
      <c r="N44" s="108">
        <v>90</v>
      </c>
      <c r="O44" s="109"/>
      <c r="P44" s="4"/>
      <c r="Q44" s="4"/>
      <c r="R44" s="4"/>
      <c r="S44" s="4"/>
      <c r="T44" s="57">
        <v>3</v>
      </c>
      <c r="U44" s="58"/>
      <c r="V44" s="59">
        <v>5</v>
      </c>
      <c r="W44" s="58"/>
      <c r="X44" s="59">
        <v>180</v>
      </c>
      <c r="Y44" s="91"/>
      <c r="Z44" s="4"/>
      <c r="AA44" s="4"/>
      <c r="AB44" s="4"/>
      <c r="AC44" s="4"/>
      <c r="AD44" s="57">
        <v>3</v>
      </c>
      <c r="AE44" s="58"/>
      <c r="AF44" s="59">
        <v>5</v>
      </c>
      <c r="AG44" s="58"/>
      <c r="AH44" s="59">
        <v>165</v>
      </c>
      <c r="AI44" s="91"/>
      <c r="AJ44" s="4"/>
      <c r="AK44" s="4"/>
      <c r="AL44" s="4"/>
      <c r="AM44" s="4"/>
      <c r="AN44" s="98">
        <v>3</v>
      </c>
      <c r="AO44" s="99"/>
      <c r="AP44" s="100">
        <v>5</v>
      </c>
      <c r="AQ44" s="99"/>
      <c r="AR44" s="100">
        <v>180</v>
      </c>
      <c r="AS44" s="101"/>
      <c r="AT44" s="4"/>
      <c r="AU44" s="4"/>
      <c r="AV44" s="4"/>
      <c r="AW44" s="4"/>
      <c r="AX44" s="98">
        <v>3</v>
      </c>
      <c r="AY44" s="99"/>
      <c r="AZ44" s="100">
        <v>5</v>
      </c>
      <c r="BA44" s="99"/>
      <c r="BB44" s="100">
        <v>180</v>
      </c>
      <c r="BC44" s="101"/>
      <c r="BD44" s="4"/>
      <c r="BE44" s="4"/>
      <c r="BF44" s="4"/>
      <c r="BG44" s="4"/>
      <c r="BH44" s="57">
        <v>3</v>
      </c>
      <c r="BI44" s="58"/>
      <c r="BJ44" s="59">
        <v>5</v>
      </c>
      <c r="BK44" s="58"/>
      <c r="BL44" s="59">
        <v>180</v>
      </c>
      <c r="BM44" s="91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17</v>
      </c>
      <c r="F45" s="11">
        <f>SUM(J45:BM45)</f>
        <v>27</v>
      </c>
      <c r="G45" s="105"/>
      <c r="H45" s="2"/>
      <c r="I45" s="2"/>
      <c r="J45" s="112">
        <v>2</v>
      </c>
      <c r="K45" s="113"/>
      <c r="L45" s="106">
        <v>0</v>
      </c>
      <c r="M45" s="113"/>
      <c r="N45" s="106">
        <v>0</v>
      </c>
      <c r="O45" s="107"/>
      <c r="P45" s="4"/>
      <c r="Q45" s="4"/>
      <c r="R45" s="4"/>
      <c r="S45" s="4"/>
      <c r="T45" s="92">
        <v>2</v>
      </c>
      <c r="U45" s="93"/>
      <c r="V45" s="70">
        <v>1</v>
      </c>
      <c r="W45" s="93"/>
      <c r="X45" s="70">
        <v>2</v>
      </c>
      <c r="Y45" s="71"/>
      <c r="Z45" s="4"/>
      <c r="AA45" s="4"/>
      <c r="AB45" s="4"/>
      <c r="AC45" s="4"/>
      <c r="AD45" s="92">
        <v>2</v>
      </c>
      <c r="AE45" s="93"/>
      <c r="AF45" s="70">
        <v>1</v>
      </c>
      <c r="AG45" s="93"/>
      <c r="AH45" s="70">
        <v>2</v>
      </c>
      <c r="AI45" s="71"/>
      <c r="AJ45" s="4"/>
      <c r="AK45" s="4"/>
      <c r="AL45" s="4"/>
      <c r="AM45" s="4"/>
      <c r="AN45" s="72">
        <v>2</v>
      </c>
      <c r="AO45" s="73"/>
      <c r="AP45" s="68">
        <v>1</v>
      </c>
      <c r="AQ45" s="73"/>
      <c r="AR45" s="68">
        <v>2</v>
      </c>
      <c r="AS45" s="69"/>
      <c r="AT45" s="4"/>
      <c r="AU45" s="4"/>
      <c r="AV45" s="4"/>
      <c r="AW45" s="4"/>
      <c r="AX45" s="72">
        <v>2</v>
      </c>
      <c r="AY45" s="73"/>
      <c r="AZ45" s="68">
        <v>1</v>
      </c>
      <c r="BA45" s="73"/>
      <c r="BB45" s="68">
        <v>2</v>
      </c>
      <c r="BC45" s="69"/>
      <c r="BD45" s="4"/>
      <c r="BE45" s="4"/>
      <c r="BF45" s="4"/>
      <c r="BG45" s="4"/>
      <c r="BH45" s="92">
        <v>2</v>
      </c>
      <c r="BI45" s="93"/>
      <c r="BJ45" s="70">
        <v>1</v>
      </c>
      <c r="BK45" s="93"/>
      <c r="BL45" s="70">
        <v>2</v>
      </c>
      <c r="BM45" s="71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98</v>
      </c>
      <c r="K50" s="25"/>
      <c r="L50" s="26"/>
      <c r="M50" s="38">
        <v>292</v>
      </c>
      <c r="N50" s="39"/>
      <c r="O50" s="40"/>
      <c r="P50" s="4"/>
      <c r="Q50" s="4"/>
      <c r="R50" s="4"/>
      <c r="S50" s="4"/>
      <c r="T50" s="24" t="s">
        <v>135</v>
      </c>
      <c r="U50" s="25"/>
      <c r="V50" s="26"/>
      <c r="W50" s="38" t="s">
        <v>111</v>
      </c>
      <c r="X50" s="39"/>
      <c r="Y50" s="40"/>
      <c r="Z50" s="4"/>
      <c r="AA50" s="4"/>
      <c r="AB50" s="4"/>
      <c r="AC50" s="4"/>
      <c r="AD50" s="24" t="s">
        <v>19</v>
      </c>
      <c r="AE50" s="25"/>
      <c r="AF50" s="26"/>
      <c r="AG50" s="38">
        <v>352</v>
      </c>
      <c r="AH50" s="102"/>
      <c r="AI50" s="103"/>
      <c r="AJ50" s="4"/>
      <c r="AK50" s="4"/>
      <c r="AL50" s="4"/>
      <c r="AM50" s="4"/>
      <c r="AN50" s="24" t="s">
        <v>19</v>
      </c>
      <c r="AO50" s="25"/>
      <c r="AP50" s="26"/>
      <c r="AQ50" s="38">
        <v>112</v>
      </c>
      <c r="AR50" s="102"/>
      <c r="AS50" s="103"/>
      <c r="AT50" s="4"/>
      <c r="AU50" s="4"/>
      <c r="AV50" s="4"/>
      <c r="AW50" s="4"/>
      <c r="AX50" s="24" t="s">
        <v>98</v>
      </c>
      <c r="AY50" s="25"/>
      <c r="AZ50" s="26"/>
      <c r="BA50" s="38">
        <v>361</v>
      </c>
      <c r="BB50" s="102"/>
      <c r="BC50" s="103"/>
      <c r="BD50" s="4"/>
      <c r="BE50" s="4"/>
      <c r="BF50" s="4"/>
      <c r="BG50" s="4"/>
      <c r="BH50" s="24" t="s">
        <v>136</v>
      </c>
      <c r="BI50" s="25"/>
      <c r="BJ50" s="26"/>
      <c r="BK50" s="38" t="s">
        <v>111</v>
      </c>
      <c r="BL50" s="39"/>
      <c r="BM50" s="40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SUM(N52,X52,AH52,AR52,BB52,BL52)</f>
        <v>870</v>
      </c>
      <c r="H51" s="2"/>
      <c r="I51" s="2"/>
      <c r="J51" s="41" t="s">
        <v>158</v>
      </c>
      <c r="K51" s="42"/>
      <c r="L51" s="42"/>
      <c r="M51" s="42"/>
      <c r="N51" s="43"/>
      <c r="O51" s="44"/>
      <c r="P51" s="4"/>
      <c r="Q51" s="4"/>
      <c r="R51" s="4"/>
      <c r="S51" s="4"/>
      <c r="T51" s="114" t="s">
        <v>134</v>
      </c>
      <c r="U51" s="115"/>
      <c r="V51" s="115"/>
      <c r="W51" s="115"/>
      <c r="X51" s="116"/>
      <c r="Y51" s="117"/>
      <c r="Z51" s="4"/>
      <c r="AA51" s="4"/>
      <c r="AB51" s="4"/>
      <c r="AC51" s="4"/>
      <c r="AD51" s="53" t="s">
        <v>91</v>
      </c>
      <c r="AE51" s="54"/>
      <c r="AF51" s="54"/>
      <c r="AG51" s="54"/>
      <c r="AH51" s="55"/>
      <c r="AI51" s="56"/>
      <c r="AJ51" s="4"/>
      <c r="AK51" s="4"/>
      <c r="AL51" s="4"/>
      <c r="AM51" s="4"/>
      <c r="AN51" s="94" t="s">
        <v>238</v>
      </c>
      <c r="AO51" s="95"/>
      <c r="AP51" s="95"/>
      <c r="AQ51" s="95"/>
      <c r="AR51" s="96"/>
      <c r="AS51" s="97"/>
      <c r="AT51" s="4"/>
      <c r="AU51" s="4"/>
      <c r="AV51" s="4"/>
      <c r="AW51" s="4"/>
      <c r="AX51" s="94" t="s">
        <v>102</v>
      </c>
      <c r="AY51" s="95"/>
      <c r="AZ51" s="95"/>
      <c r="BA51" s="95"/>
      <c r="BB51" s="96"/>
      <c r="BC51" s="97"/>
      <c r="BD51" s="4"/>
      <c r="BE51" s="4"/>
      <c r="BF51" s="4"/>
      <c r="BG51" s="4"/>
      <c r="BH51" s="76" t="s">
        <v>138</v>
      </c>
      <c r="BI51" s="77"/>
      <c r="BJ51" s="77"/>
      <c r="BK51" s="77"/>
      <c r="BL51" s="77"/>
      <c r="BM51" s="78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45">
        <v>2</v>
      </c>
      <c r="K52" s="46"/>
      <c r="L52" s="47">
        <v>2</v>
      </c>
      <c r="M52" s="46"/>
      <c r="N52" s="47">
        <v>60</v>
      </c>
      <c r="O52" s="48"/>
      <c r="P52" s="4"/>
      <c r="Q52" s="4"/>
      <c r="R52" s="4"/>
      <c r="S52" s="4"/>
      <c r="T52" s="110">
        <v>2</v>
      </c>
      <c r="U52" s="111"/>
      <c r="V52" s="108">
        <v>2</v>
      </c>
      <c r="W52" s="111"/>
      <c r="X52" s="108">
        <v>90</v>
      </c>
      <c r="Y52" s="109"/>
      <c r="Z52" s="4"/>
      <c r="AA52" s="4"/>
      <c r="AB52" s="4"/>
      <c r="AC52" s="4"/>
      <c r="AD52" s="57">
        <v>3</v>
      </c>
      <c r="AE52" s="58"/>
      <c r="AF52" s="59">
        <v>5</v>
      </c>
      <c r="AG52" s="58"/>
      <c r="AH52" s="59">
        <v>165</v>
      </c>
      <c r="AI52" s="91"/>
      <c r="AJ52" s="4"/>
      <c r="AK52" s="4"/>
      <c r="AL52" s="4"/>
      <c r="AM52" s="4"/>
      <c r="AN52" s="98">
        <v>4</v>
      </c>
      <c r="AO52" s="99"/>
      <c r="AP52" s="100">
        <v>6</v>
      </c>
      <c r="AQ52" s="99"/>
      <c r="AR52" s="100">
        <v>195</v>
      </c>
      <c r="AS52" s="101"/>
      <c r="AT52" s="4"/>
      <c r="AU52" s="4"/>
      <c r="AV52" s="4"/>
      <c r="AW52" s="4"/>
      <c r="AX52" s="98">
        <v>3</v>
      </c>
      <c r="AY52" s="99"/>
      <c r="AZ52" s="100">
        <v>5</v>
      </c>
      <c r="BA52" s="99"/>
      <c r="BB52" s="100">
        <v>180</v>
      </c>
      <c r="BC52" s="101"/>
      <c r="BD52" s="4"/>
      <c r="BE52" s="4"/>
      <c r="BF52" s="4"/>
      <c r="BG52" s="4"/>
      <c r="BH52" s="79">
        <v>3</v>
      </c>
      <c r="BI52" s="80"/>
      <c r="BJ52" s="81">
        <v>5</v>
      </c>
      <c r="BK52" s="80"/>
      <c r="BL52" s="81">
        <v>180</v>
      </c>
      <c r="BM52" s="82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SUM(J52,T52,AD52,AN52,AX52,BH52)</f>
        <v>17</v>
      </c>
      <c r="F53" s="11">
        <f>SUM(J53:BM53)</f>
        <v>25</v>
      </c>
      <c r="G53" s="105"/>
      <c r="H53" s="2"/>
      <c r="I53" s="2"/>
      <c r="J53" s="49">
        <v>2</v>
      </c>
      <c r="K53" s="50"/>
      <c r="L53" s="51">
        <v>0</v>
      </c>
      <c r="M53" s="50"/>
      <c r="N53" s="51">
        <v>0</v>
      </c>
      <c r="O53" s="52"/>
      <c r="P53" s="4"/>
      <c r="Q53" s="4"/>
      <c r="R53" s="4"/>
      <c r="S53" s="4"/>
      <c r="T53" s="112">
        <v>2</v>
      </c>
      <c r="U53" s="113"/>
      <c r="V53" s="106">
        <v>0</v>
      </c>
      <c r="W53" s="113"/>
      <c r="X53" s="106">
        <v>0</v>
      </c>
      <c r="Y53" s="107"/>
      <c r="Z53" s="4"/>
      <c r="AA53" s="4"/>
      <c r="AB53" s="4"/>
      <c r="AC53" s="4"/>
      <c r="AD53" s="92">
        <v>2</v>
      </c>
      <c r="AE53" s="93"/>
      <c r="AF53" s="70">
        <v>1</v>
      </c>
      <c r="AG53" s="93"/>
      <c r="AH53" s="70">
        <v>2</v>
      </c>
      <c r="AI53" s="71"/>
      <c r="AJ53" s="4"/>
      <c r="AK53" s="4"/>
      <c r="AL53" s="4"/>
      <c r="AM53" s="4"/>
      <c r="AN53" s="72">
        <v>3</v>
      </c>
      <c r="AO53" s="73"/>
      <c r="AP53" s="68">
        <v>0</v>
      </c>
      <c r="AQ53" s="73"/>
      <c r="AR53" s="68">
        <v>3</v>
      </c>
      <c r="AS53" s="69"/>
      <c r="AT53" s="4"/>
      <c r="AU53" s="4"/>
      <c r="AV53" s="4"/>
      <c r="AW53" s="4"/>
      <c r="AX53" s="72">
        <v>2</v>
      </c>
      <c r="AY53" s="73"/>
      <c r="AZ53" s="68">
        <v>1</v>
      </c>
      <c r="BA53" s="73"/>
      <c r="BB53" s="68">
        <v>2</v>
      </c>
      <c r="BC53" s="69"/>
      <c r="BD53" s="4"/>
      <c r="BE53" s="4"/>
      <c r="BF53" s="4"/>
      <c r="BG53" s="4"/>
      <c r="BH53" s="83">
        <v>2</v>
      </c>
      <c r="BI53" s="84"/>
      <c r="BJ53" s="85">
        <v>1</v>
      </c>
      <c r="BK53" s="84"/>
      <c r="BL53" s="85">
        <v>2</v>
      </c>
      <c r="BM53" s="86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1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137</v>
      </c>
      <c r="K60" s="25"/>
      <c r="L60" s="26"/>
      <c r="M60" s="38" t="s">
        <v>111</v>
      </c>
      <c r="N60" s="39"/>
      <c r="O60" s="40"/>
      <c r="P60" s="4"/>
      <c r="Q60" s="4"/>
      <c r="R60" s="4"/>
      <c r="S60" s="4"/>
      <c r="T60" s="24" t="s">
        <v>98</v>
      </c>
      <c r="U60" s="25"/>
      <c r="V60" s="26"/>
      <c r="W60" s="38">
        <v>421</v>
      </c>
      <c r="X60" s="39"/>
      <c r="Y60" s="40"/>
      <c r="Z60" s="4"/>
      <c r="AA60" s="4"/>
      <c r="AB60" s="4"/>
      <c r="AC60" s="4"/>
      <c r="AD60" s="24" t="s">
        <v>98</v>
      </c>
      <c r="AE60" s="25"/>
      <c r="AF60" s="26"/>
      <c r="AG60" s="38">
        <v>431</v>
      </c>
      <c r="AH60" s="102"/>
      <c r="AI60" s="103"/>
      <c r="AJ60" s="4"/>
      <c r="AK60" s="4"/>
      <c r="AL60" s="4"/>
      <c r="AM60" s="4"/>
      <c r="AN60" s="24" t="s">
        <v>252</v>
      </c>
      <c r="AO60" s="25"/>
      <c r="AP60" s="26"/>
      <c r="AQ60" s="38" t="s">
        <v>111</v>
      </c>
      <c r="AR60" s="39"/>
      <c r="AS60" s="40"/>
      <c r="AT60" s="4"/>
      <c r="AU60" s="4"/>
      <c r="AV60" s="4"/>
      <c r="AW60" s="4"/>
      <c r="AX60" s="24" t="s">
        <v>98</v>
      </c>
      <c r="AY60" s="25"/>
      <c r="AZ60" s="26"/>
      <c r="BA60" s="38">
        <v>493</v>
      </c>
      <c r="BB60" s="39"/>
      <c r="BC60" s="40"/>
      <c r="BD60" s="4"/>
      <c r="BE60" s="4"/>
      <c r="BF60" s="4"/>
      <c r="BG60" s="4"/>
      <c r="BH60" s="24" t="s">
        <v>144</v>
      </c>
      <c r="BI60" s="25"/>
      <c r="BJ60" s="26"/>
      <c r="BK60" s="38" t="s">
        <v>110</v>
      </c>
      <c r="BL60" s="39"/>
      <c r="BM60" s="40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990</v>
      </c>
      <c r="H61" s="2"/>
      <c r="I61" s="2"/>
      <c r="J61" s="76" t="s">
        <v>139</v>
      </c>
      <c r="K61" s="77"/>
      <c r="L61" s="77"/>
      <c r="M61" s="77"/>
      <c r="N61" s="77"/>
      <c r="O61" s="78"/>
      <c r="P61" s="4"/>
      <c r="Q61" s="4"/>
      <c r="R61" s="4"/>
      <c r="S61" s="4"/>
      <c r="T61" s="161" t="s">
        <v>103</v>
      </c>
      <c r="U61" s="162"/>
      <c r="V61" s="162"/>
      <c r="W61" s="162"/>
      <c r="X61" s="162"/>
      <c r="Y61" s="163"/>
      <c r="Z61" s="4"/>
      <c r="AA61" s="4"/>
      <c r="AB61" s="4"/>
      <c r="AC61" s="4"/>
      <c r="AD61" s="94" t="s">
        <v>104</v>
      </c>
      <c r="AE61" s="95"/>
      <c r="AF61" s="95"/>
      <c r="AG61" s="95"/>
      <c r="AH61" s="96"/>
      <c r="AI61" s="97"/>
      <c r="AJ61" s="4"/>
      <c r="AK61" s="4"/>
      <c r="AL61" s="4"/>
      <c r="AM61" s="4"/>
      <c r="AN61" s="76" t="s">
        <v>140</v>
      </c>
      <c r="AO61" s="77"/>
      <c r="AP61" s="77"/>
      <c r="AQ61" s="77"/>
      <c r="AR61" s="77"/>
      <c r="AS61" s="78"/>
      <c r="AT61" s="4"/>
      <c r="AU61" s="4"/>
      <c r="AV61" s="4"/>
      <c r="AW61" s="4"/>
      <c r="AX61" s="41" t="s">
        <v>63</v>
      </c>
      <c r="AY61" s="42"/>
      <c r="AZ61" s="42"/>
      <c r="BA61" s="42"/>
      <c r="BB61" s="43"/>
      <c r="BC61" s="44"/>
      <c r="BD61" s="4"/>
      <c r="BE61" s="4"/>
      <c r="BF61" s="4"/>
      <c r="BG61" s="4"/>
      <c r="BH61" s="114" t="s">
        <v>106</v>
      </c>
      <c r="BI61" s="115"/>
      <c r="BJ61" s="115"/>
      <c r="BK61" s="115"/>
      <c r="BL61" s="116"/>
      <c r="BM61" s="117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79">
        <v>3</v>
      </c>
      <c r="K62" s="80"/>
      <c r="L62" s="81">
        <v>5</v>
      </c>
      <c r="M62" s="80"/>
      <c r="N62" s="81">
        <v>180</v>
      </c>
      <c r="O62" s="82"/>
      <c r="P62" s="4"/>
      <c r="Q62" s="4"/>
      <c r="R62" s="4"/>
      <c r="S62" s="4"/>
      <c r="T62" s="98">
        <v>3</v>
      </c>
      <c r="U62" s="99"/>
      <c r="V62" s="100">
        <v>5</v>
      </c>
      <c r="W62" s="99"/>
      <c r="X62" s="100">
        <v>180</v>
      </c>
      <c r="Y62" s="101"/>
      <c r="Z62" s="4"/>
      <c r="AA62" s="4"/>
      <c r="AB62" s="4"/>
      <c r="AC62" s="4"/>
      <c r="AD62" s="98">
        <v>3</v>
      </c>
      <c r="AE62" s="99"/>
      <c r="AF62" s="100">
        <v>5</v>
      </c>
      <c r="AG62" s="99"/>
      <c r="AH62" s="100">
        <v>180</v>
      </c>
      <c r="AI62" s="101"/>
      <c r="AJ62" s="4"/>
      <c r="AK62" s="4"/>
      <c r="AL62" s="4"/>
      <c r="AM62" s="4"/>
      <c r="AN62" s="79">
        <v>3</v>
      </c>
      <c r="AO62" s="80"/>
      <c r="AP62" s="81">
        <v>5</v>
      </c>
      <c r="AQ62" s="80"/>
      <c r="AR62" s="81">
        <v>180</v>
      </c>
      <c r="AS62" s="82"/>
      <c r="AT62" s="4"/>
      <c r="AU62" s="4"/>
      <c r="AV62" s="4"/>
      <c r="AW62" s="4"/>
      <c r="AX62" s="45">
        <v>3</v>
      </c>
      <c r="AY62" s="46"/>
      <c r="AZ62" s="47">
        <v>5</v>
      </c>
      <c r="BA62" s="46"/>
      <c r="BB62" s="47">
        <v>180</v>
      </c>
      <c r="BC62" s="48"/>
      <c r="BD62" s="4"/>
      <c r="BE62" s="4"/>
      <c r="BF62" s="4"/>
      <c r="BG62" s="4"/>
      <c r="BH62" s="110">
        <v>2</v>
      </c>
      <c r="BI62" s="111"/>
      <c r="BJ62" s="108">
        <v>2</v>
      </c>
      <c r="BK62" s="111"/>
      <c r="BL62" s="108">
        <v>90</v>
      </c>
      <c r="BM62" s="109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17</v>
      </c>
      <c r="F63" s="11">
        <f>SUM(L62,V62,AF62,AP62,AZ62,BJ62)</f>
        <v>27</v>
      </c>
      <c r="G63" s="105"/>
      <c r="H63" s="2"/>
      <c r="I63" s="2"/>
      <c r="J63" s="83">
        <v>2</v>
      </c>
      <c r="K63" s="84"/>
      <c r="L63" s="85">
        <v>1</v>
      </c>
      <c r="M63" s="84"/>
      <c r="N63" s="85">
        <v>2</v>
      </c>
      <c r="O63" s="86"/>
      <c r="P63" s="4"/>
      <c r="Q63" s="4"/>
      <c r="R63" s="4"/>
      <c r="S63" s="4"/>
      <c r="T63" s="72">
        <v>2</v>
      </c>
      <c r="U63" s="73"/>
      <c r="V63" s="68">
        <v>1</v>
      </c>
      <c r="W63" s="73"/>
      <c r="X63" s="68">
        <v>2</v>
      </c>
      <c r="Y63" s="69"/>
      <c r="Z63" s="4"/>
      <c r="AA63" s="4"/>
      <c r="AB63" s="4"/>
      <c r="AC63" s="4"/>
      <c r="AD63" s="72">
        <v>2</v>
      </c>
      <c r="AE63" s="73"/>
      <c r="AF63" s="68">
        <v>1</v>
      </c>
      <c r="AG63" s="73"/>
      <c r="AH63" s="68">
        <v>2</v>
      </c>
      <c r="AI63" s="69"/>
      <c r="AJ63" s="4"/>
      <c r="AK63" s="4"/>
      <c r="AL63" s="4"/>
      <c r="AM63" s="4"/>
      <c r="AN63" s="83">
        <v>2</v>
      </c>
      <c r="AO63" s="84"/>
      <c r="AP63" s="85">
        <v>1</v>
      </c>
      <c r="AQ63" s="84"/>
      <c r="AR63" s="85">
        <v>2</v>
      </c>
      <c r="AS63" s="86"/>
      <c r="AT63" s="4"/>
      <c r="AU63" s="4"/>
      <c r="AV63" s="4"/>
      <c r="AW63" s="4"/>
      <c r="AX63" s="49">
        <v>2</v>
      </c>
      <c r="AY63" s="50"/>
      <c r="AZ63" s="51">
        <v>0</v>
      </c>
      <c r="BA63" s="50"/>
      <c r="BB63" s="51">
        <v>3</v>
      </c>
      <c r="BC63" s="52"/>
      <c r="BD63" s="4"/>
      <c r="BE63" s="4"/>
      <c r="BF63" s="4"/>
      <c r="BG63" s="4"/>
      <c r="BH63" s="112">
        <v>2</v>
      </c>
      <c r="BI63" s="113"/>
      <c r="BJ63" s="106">
        <v>0</v>
      </c>
      <c r="BK63" s="113"/>
      <c r="BL63" s="106">
        <v>0</v>
      </c>
      <c r="BM63" s="107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98</v>
      </c>
      <c r="K68" s="25"/>
      <c r="L68" s="26"/>
      <c r="M68" s="38">
        <v>413</v>
      </c>
      <c r="N68" s="102"/>
      <c r="O68" s="103"/>
      <c r="P68" s="4"/>
      <c r="Q68" s="4"/>
      <c r="R68" s="4"/>
      <c r="S68" s="4"/>
      <c r="T68" s="24" t="s">
        <v>254</v>
      </c>
      <c r="U68" s="25"/>
      <c r="V68" s="26"/>
      <c r="W68" s="38" t="s">
        <v>112</v>
      </c>
      <c r="X68" s="39"/>
      <c r="Y68" s="40"/>
      <c r="Z68" s="4"/>
      <c r="AA68" s="4"/>
      <c r="AB68" s="4"/>
      <c r="AC68" s="4"/>
      <c r="AD68" s="24" t="s">
        <v>255</v>
      </c>
      <c r="AE68" s="25"/>
      <c r="AF68" s="26"/>
      <c r="AG68" s="38" t="s">
        <v>112</v>
      </c>
      <c r="AH68" s="39"/>
      <c r="AI68" s="40"/>
      <c r="AJ68" s="4"/>
      <c r="AK68" s="4"/>
      <c r="AL68" s="4"/>
      <c r="AM68" s="4"/>
      <c r="AN68" s="24" t="s">
        <v>256</v>
      </c>
      <c r="AO68" s="25"/>
      <c r="AP68" s="26"/>
      <c r="AQ68" s="38" t="s">
        <v>112</v>
      </c>
      <c r="AR68" s="39"/>
      <c r="AS68" s="40"/>
      <c r="AT68" s="4"/>
      <c r="AU68" s="4"/>
      <c r="AV68" s="4"/>
      <c r="AW68" s="4"/>
      <c r="AX68" s="24" t="s">
        <v>98</v>
      </c>
      <c r="AY68" s="25"/>
      <c r="AZ68" s="26"/>
      <c r="BA68" s="38">
        <v>494</v>
      </c>
      <c r="BB68" s="39"/>
      <c r="BC68" s="40"/>
      <c r="BD68" s="4"/>
      <c r="BE68" s="4"/>
      <c r="BF68" s="4"/>
      <c r="BG68" s="4"/>
      <c r="BH68" s="24" t="s">
        <v>141</v>
      </c>
      <c r="BI68" s="25"/>
      <c r="BJ68" s="26"/>
      <c r="BK68" s="38" t="s">
        <v>111</v>
      </c>
      <c r="BL68" s="39"/>
      <c r="BM68" s="40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990</v>
      </c>
      <c r="H69" s="2"/>
      <c r="I69" s="2"/>
      <c r="J69" s="94" t="s">
        <v>253</v>
      </c>
      <c r="K69" s="95"/>
      <c r="L69" s="95"/>
      <c r="M69" s="95"/>
      <c r="N69" s="96"/>
      <c r="O69" s="97"/>
      <c r="P69" s="4"/>
      <c r="Q69" s="4"/>
      <c r="R69" s="4"/>
      <c r="S69" s="4"/>
      <c r="T69" s="76" t="s">
        <v>143</v>
      </c>
      <c r="U69" s="77"/>
      <c r="V69" s="77"/>
      <c r="W69" s="77"/>
      <c r="X69" s="77"/>
      <c r="Y69" s="78"/>
      <c r="Z69" s="4"/>
      <c r="AA69" s="4"/>
      <c r="AB69" s="4"/>
      <c r="AC69" s="4"/>
      <c r="AD69" s="76" t="s">
        <v>145</v>
      </c>
      <c r="AE69" s="77"/>
      <c r="AF69" s="77"/>
      <c r="AG69" s="77"/>
      <c r="AH69" s="77"/>
      <c r="AI69" s="78"/>
      <c r="AJ69" s="4"/>
      <c r="AK69" s="4"/>
      <c r="AL69" s="4"/>
      <c r="AM69" s="4"/>
      <c r="AN69" s="76" t="s">
        <v>146</v>
      </c>
      <c r="AO69" s="77"/>
      <c r="AP69" s="77"/>
      <c r="AQ69" s="77"/>
      <c r="AR69" s="77"/>
      <c r="AS69" s="78"/>
      <c r="AT69" s="4"/>
      <c r="AU69" s="4"/>
      <c r="AV69" s="4"/>
      <c r="AW69" s="4"/>
      <c r="AX69" s="41" t="s">
        <v>64</v>
      </c>
      <c r="AY69" s="42"/>
      <c r="AZ69" s="42"/>
      <c r="BA69" s="42"/>
      <c r="BB69" s="43"/>
      <c r="BC69" s="44"/>
      <c r="BD69" s="4"/>
      <c r="BE69" s="4"/>
      <c r="BF69" s="4"/>
      <c r="BG69" s="4"/>
      <c r="BH69" s="114" t="s">
        <v>142</v>
      </c>
      <c r="BI69" s="115"/>
      <c r="BJ69" s="115"/>
      <c r="BK69" s="115"/>
      <c r="BL69" s="116"/>
      <c r="BM69" s="117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98">
        <v>3</v>
      </c>
      <c r="K70" s="99"/>
      <c r="L70" s="100">
        <v>5</v>
      </c>
      <c r="M70" s="99"/>
      <c r="N70" s="100">
        <v>180</v>
      </c>
      <c r="O70" s="101"/>
      <c r="P70" s="4"/>
      <c r="Q70" s="4"/>
      <c r="R70" s="4"/>
      <c r="S70" s="4"/>
      <c r="T70" s="79">
        <v>3</v>
      </c>
      <c r="U70" s="80"/>
      <c r="V70" s="81">
        <v>5</v>
      </c>
      <c r="W70" s="80"/>
      <c r="X70" s="81">
        <v>180</v>
      </c>
      <c r="Y70" s="82"/>
      <c r="Z70" s="4"/>
      <c r="AA70" s="4"/>
      <c r="AB70" s="4"/>
      <c r="AC70" s="4"/>
      <c r="AD70" s="79">
        <v>3</v>
      </c>
      <c r="AE70" s="80"/>
      <c r="AF70" s="81">
        <v>5</v>
      </c>
      <c r="AG70" s="80"/>
      <c r="AH70" s="81">
        <v>180</v>
      </c>
      <c r="AI70" s="82"/>
      <c r="AJ70" s="4"/>
      <c r="AK70" s="4"/>
      <c r="AL70" s="4"/>
      <c r="AM70" s="4"/>
      <c r="AN70" s="79">
        <v>3</v>
      </c>
      <c r="AO70" s="80"/>
      <c r="AP70" s="81">
        <v>5</v>
      </c>
      <c r="AQ70" s="80"/>
      <c r="AR70" s="81">
        <v>180</v>
      </c>
      <c r="AS70" s="82"/>
      <c r="AT70" s="4"/>
      <c r="AU70" s="4"/>
      <c r="AV70" s="4"/>
      <c r="AW70" s="4"/>
      <c r="AX70" s="45">
        <v>3</v>
      </c>
      <c r="AY70" s="46"/>
      <c r="AZ70" s="47">
        <v>5</v>
      </c>
      <c r="BA70" s="46"/>
      <c r="BB70" s="47">
        <v>180</v>
      </c>
      <c r="BC70" s="48"/>
      <c r="BD70" s="4"/>
      <c r="BE70" s="4"/>
      <c r="BF70" s="4"/>
      <c r="BG70" s="4"/>
      <c r="BH70" s="110">
        <v>2</v>
      </c>
      <c r="BI70" s="111"/>
      <c r="BJ70" s="108">
        <v>2</v>
      </c>
      <c r="BK70" s="111"/>
      <c r="BL70" s="108">
        <v>90</v>
      </c>
      <c r="BM70" s="109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SUM(J70,T70,AD70,AN70,AX70,BH70)</f>
        <v>17</v>
      </c>
      <c r="F71" s="11">
        <f>L70+V70+AF70+AP70+AZ70+BJ70</f>
        <v>27</v>
      </c>
      <c r="G71" s="105"/>
      <c r="H71" s="2"/>
      <c r="I71" s="2"/>
      <c r="J71" s="72">
        <v>2</v>
      </c>
      <c r="K71" s="73"/>
      <c r="L71" s="68">
        <v>1</v>
      </c>
      <c r="M71" s="73"/>
      <c r="N71" s="68">
        <v>2</v>
      </c>
      <c r="O71" s="69"/>
      <c r="P71" s="4"/>
      <c r="Q71" s="4"/>
      <c r="R71" s="4"/>
      <c r="S71" s="4"/>
      <c r="T71" s="83">
        <v>2</v>
      </c>
      <c r="U71" s="84"/>
      <c r="V71" s="85">
        <v>1</v>
      </c>
      <c r="W71" s="84"/>
      <c r="X71" s="85">
        <v>2</v>
      </c>
      <c r="Y71" s="86"/>
      <c r="Z71" s="4"/>
      <c r="AA71" s="4"/>
      <c r="AB71" s="4"/>
      <c r="AC71" s="4"/>
      <c r="AD71" s="83">
        <v>2</v>
      </c>
      <c r="AE71" s="84"/>
      <c r="AF71" s="85">
        <v>1</v>
      </c>
      <c r="AG71" s="84"/>
      <c r="AH71" s="85">
        <v>2</v>
      </c>
      <c r="AI71" s="86"/>
      <c r="AJ71" s="4"/>
      <c r="AK71" s="4"/>
      <c r="AL71" s="4"/>
      <c r="AM71" s="4"/>
      <c r="AN71" s="83">
        <v>2</v>
      </c>
      <c r="AO71" s="84"/>
      <c r="AP71" s="85">
        <v>1</v>
      </c>
      <c r="AQ71" s="84"/>
      <c r="AR71" s="85">
        <v>2</v>
      </c>
      <c r="AS71" s="86"/>
      <c r="AT71" s="4"/>
      <c r="AU71" s="4"/>
      <c r="AV71" s="4"/>
      <c r="AW71" s="4"/>
      <c r="AX71" s="49">
        <v>2</v>
      </c>
      <c r="AY71" s="50"/>
      <c r="AZ71" s="51">
        <v>0</v>
      </c>
      <c r="BA71" s="50"/>
      <c r="BB71" s="51">
        <v>3</v>
      </c>
      <c r="BC71" s="52"/>
      <c r="BD71" s="4"/>
      <c r="BE71" s="4"/>
      <c r="BF71" s="4"/>
      <c r="BG71" s="4"/>
      <c r="BH71" s="112">
        <v>2</v>
      </c>
      <c r="BI71" s="113"/>
      <c r="BJ71" s="106">
        <v>0</v>
      </c>
      <c r="BK71" s="113"/>
      <c r="BL71" s="106">
        <v>0</v>
      </c>
      <c r="BM71" s="107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thickBot="1" x14ac:dyDescent="0.35"/>
    <row r="77" spans="2:135" ht="10.050000000000001" customHeight="1" thickTop="1" thickBot="1" x14ac:dyDescent="0.35">
      <c r="BI77" s="63" t="s">
        <v>15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6"/>
    </row>
    <row r="78" spans="2:135" ht="15" customHeight="1" x14ac:dyDescent="0.3">
      <c r="BI78" s="64"/>
      <c r="BJ78" s="137" t="s">
        <v>65</v>
      </c>
      <c r="BK78" s="17"/>
      <c r="BL78" s="16"/>
      <c r="BR78" s="123" t="s">
        <v>7</v>
      </c>
      <c r="BS78" s="124"/>
      <c r="BT78" s="124"/>
      <c r="BU78" s="124"/>
      <c r="BV78" s="125"/>
      <c r="BW78" s="126"/>
      <c r="CA78" s="8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I79" s="64"/>
      <c r="BJ79" s="137"/>
      <c r="BK79" s="17"/>
      <c r="BL79" s="16"/>
      <c r="BR79" s="127" t="s">
        <v>8</v>
      </c>
      <c r="BS79" s="128"/>
      <c r="BT79" s="128"/>
      <c r="BU79" s="128"/>
      <c r="BV79" s="129"/>
      <c r="BW79" s="130"/>
      <c r="CA79" s="8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I80" s="64"/>
      <c r="BJ80" s="137"/>
      <c r="BK80" s="17"/>
      <c r="BL80" s="16"/>
      <c r="BR80" s="66" t="s">
        <v>9</v>
      </c>
      <c r="BS80" s="67"/>
      <c r="BT80" s="131" t="s">
        <v>18</v>
      </c>
      <c r="BU80" s="67"/>
      <c r="BV80" s="131" t="s">
        <v>10</v>
      </c>
      <c r="BW80" s="132"/>
      <c r="CA80" s="8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44:135" ht="15" thickBot="1" x14ac:dyDescent="0.35">
      <c r="BI81" s="64"/>
      <c r="BJ81" s="137"/>
      <c r="BK81" s="17"/>
      <c r="BL81" s="16"/>
      <c r="BR81" s="133" t="s">
        <v>11</v>
      </c>
      <c r="BS81" s="134"/>
      <c r="BT81" s="135" t="s">
        <v>12</v>
      </c>
      <c r="BU81" s="134"/>
      <c r="BV81" s="135" t="s">
        <v>13</v>
      </c>
      <c r="BW81" s="136"/>
      <c r="CA81" s="8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44:135" ht="10.050000000000001" customHeight="1" x14ac:dyDescent="0.3">
      <c r="BI82" s="64"/>
      <c r="BL82" s="16"/>
      <c r="CA82" s="8"/>
    </row>
    <row r="83" spans="44:135" ht="10.050000000000001" customHeight="1" x14ac:dyDescent="0.3">
      <c r="BI83" s="64"/>
      <c r="BL83" s="16"/>
      <c r="CA83" s="8"/>
    </row>
    <row r="84" spans="44:135" ht="10.050000000000001" customHeight="1" x14ac:dyDescent="0.3">
      <c r="BI84" s="64"/>
      <c r="BJ84" s="90"/>
      <c r="BL84" s="15"/>
      <c r="BN84" s="18"/>
      <c r="BO84" s="18"/>
      <c r="BP84" s="18"/>
      <c r="BQ84" s="18"/>
      <c r="BS84" s="60"/>
      <c r="BU84" s="75" t="s">
        <v>30</v>
      </c>
      <c r="BW84" s="61"/>
      <c r="CA84" s="8"/>
    </row>
    <row r="85" spans="44:135" ht="10.050000000000001" customHeight="1" thickBot="1" x14ac:dyDescent="0.35">
      <c r="BI85" s="64"/>
      <c r="BJ85" s="90"/>
      <c r="BL85" s="74" t="s">
        <v>22</v>
      </c>
      <c r="BN85" s="18"/>
      <c r="BO85" s="18"/>
      <c r="BP85" s="18"/>
      <c r="BQ85" s="18"/>
      <c r="BS85" s="60"/>
      <c r="BU85" s="75"/>
      <c r="BW85" s="61"/>
      <c r="CA85" s="8"/>
    </row>
    <row r="86" spans="44:135" ht="15" customHeight="1" x14ac:dyDescent="0.3">
      <c r="BI86" s="64"/>
      <c r="BJ86" s="90" t="s">
        <v>31</v>
      </c>
      <c r="BK86" s="7"/>
      <c r="BL86" s="74"/>
      <c r="BM86" s="7"/>
      <c r="BN86" s="62" t="s">
        <v>14</v>
      </c>
      <c r="BO86" s="62"/>
      <c r="BP86" s="62"/>
      <c r="BQ86" s="62"/>
      <c r="BR86" s="7"/>
      <c r="BS86" s="60" t="s">
        <v>46</v>
      </c>
      <c r="BT86" s="7"/>
      <c r="BU86" s="75"/>
      <c r="BV86" s="7"/>
      <c r="BW86" s="61" t="s">
        <v>62</v>
      </c>
      <c r="CA86" s="8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44:135" ht="48.75" customHeight="1" x14ac:dyDescent="0.3">
      <c r="BI87" s="64"/>
      <c r="BJ87" s="90"/>
      <c r="BK87" s="7"/>
      <c r="BL87" s="74"/>
      <c r="BM87" s="7"/>
      <c r="BN87" s="62"/>
      <c r="BO87" s="62"/>
      <c r="BP87" s="62"/>
      <c r="BQ87" s="62"/>
      <c r="BR87" s="7"/>
      <c r="BS87" s="60"/>
      <c r="BT87" s="7"/>
      <c r="BU87" s="75"/>
      <c r="BV87" s="7"/>
      <c r="BW87" s="61"/>
      <c r="CA87" s="8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44:135" x14ac:dyDescent="0.3">
      <c r="BI88" s="64"/>
      <c r="BJ88" s="90"/>
      <c r="BK88" s="7"/>
      <c r="BL88" s="74"/>
      <c r="BM88" s="7"/>
      <c r="BN88" s="62"/>
      <c r="BO88" s="62"/>
      <c r="BP88" s="62"/>
      <c r="BQ88" s="62"/>
      <c r="BR88" s="7"/>
      <c r="BS88" s="60"/>
      <c r="BT88" s="7"/>
      <c r="BU88" s="75"/>
      <c r="BV88" s="7"/>
      <c r="BW88" s="61"/>
      <c r="CA88" s="8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44:135" ht="15" thickBot="1" x14ac:dyDescent="0.35">
      <c r="BI89" s="64"/>
      <c r="BJ89" s="90"/>
      <c r="BK89" s="7"/>
      <c r="BL89" s="74"/>
      <c r="BM89" s="7"/>
      <c r="BN89" s="62"/>
      <c r="BO89" s="62"/>
      <c r="BP89" s="62"/>
      <c r="BQ89" s="62"/>
      <c r="BR89" s="7"/>
      <c r="BS89" s="60"/>
      <c r="BT89" s="7"/>
      <c r="BU89" s="75"/>
      <c r="BV89" s="7"/>
      <c r="BW89" s="61"/>
      <c r="CA89" s="8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44:135" ht="10.050000000000001" customHeight="1" thickBot="1" x14ac:dyDescent="0.35">
      <c r="BI90" s="65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10"/>
    </row>
    <row r="91" spans="44:135" ht="10.050000000000001" customHeight="1" thickTop="1" x14ac:dyDescent="0.3">
      <c r="AR91" s="4"/>
      <c r="AS91" s="4"/>
      <c r="AT91" s="4"/>
      <c r="AU91" s="4"/>
      <c r="AV91" s="4"/>
    </row>
    <row r="92" spans="44:135" ht="10.050000000000001" customHeight="1" x14ac:dyDescent="0.3"/>
    <row r="93" spans="44:135" ht="10.050000000000001" customHeight="1" x14ac:dyDescent="0.3"/>
    <row r="100" ht="48.75" customHeight="1" x14ac:dyDescent="0.3"/>
  </sheetData>
  <mergeCells count="656"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AQ6:AS6"/>
    <mergeCell ref="AX6:AZ6"/>
    <mergeCell ref="BA6:BC6"/>
    <mergeCell ref="L9:M9"/>
    <mergeCell ref="N9:O9"/>
    <mergeCell ref="T9:U9"/>
    <mergeCell ref="V9:W9"/>
    <mergeCell ref="AP8:AQ8"/>
    <mergeCell ref="AR8:AS8"/>
    <mergeCell ref="AX8:AY8"/>
    <mergeCell ref="AZ8:BA8"/>
    <mergeCell ref="BB8:BC8"/>
    <mergeCell ref="F15:F16"/>
    <mergeCell ref="J15:O15"/>
    <mergeCell ref="DP6:DU6"/>
    <mergeCell ref="DZ6:EE6"/>
    <mergeCell ref="E7:E8"/>
    <mergeCell ref="F7:F8"/>
    <mergeCell ref="J7:O7"/>
    <mergeCell ref="T7:Y7"/>
    <mergeCell ref="AD7:AI7"/>
    <mergeCell ref="AN7:AS7"/>
    <mergeCell ref="AX7:BC7"/>
    <mergeCell ref="DP7:DU7"/>
    <mergeCell ref="DZ7:EE7"/>
    <mergeCell ref="G8:G9"/>
    <mergeCell ref="H8:I8"/>
    <mergeCell ref="J8:K8"/>
    <mergeCell ref="L8:M8"/>
    <mergeCell ref="N8:O8"/>
    <mergeCell ref="T8:U8"/>
    <mergeCell ref="AP9:AQ9"/>
    <mergeCell ref="DR8:DS8"/>
    <mergeCell ref="DT8:DU8"/>
    <mergeCell ref="DZ8:EA8"/>
    <mergeCell ref="EB8:EC8"/>
    <mergeCell ref="ED8:EE8"/>
    <mergeCell ref="J9:K9"/>
    <mergeCell ref="DP8:DQ8"/>
    <mergeCell ref="V8:W8"/>
    <mergeCell ref="X8:Y8"/>
    <mergeCell ref="AD8:AE8"/>
    <mergeCell ref="AF8:AG8"/>
    <mergeCell ref="AH8:AI8"/>
    <mergeCell ref="AN8:AO8"/>
    <mergeCell ref="DT9:DU9"/>
    <mergeCell ref="DZ9:EA9"/>
    <mergeCell ref="EB9:EC9"/>
    <mergeCell ref="ED9:EE9"/>
    <mergeCell ref="D14:D17"/>
    <mergeCell ref="J14:L14"/>
    <mergeCell ref="M14:O14"/>
    <mergeCell ref="T14:V14"/>
    <mergeCell ref="W14:Y14"/>
    <mergeCell ref="AD14:AF14"/>
    <mergeCell ref="AR9:AS9"/>
    <mergeCell ref="AX9:AY9"/>
    <mergeCell ref="AZ9:BA9"/>
    <mergeCell ref="BB9:BC9"/>
    <mergeCell ref="DP9:DQ9"/>
    <mergeCell ref="DR9:DS9"/>
    <mergeCell ref="BH9:BI9"/>
    <mergeCell ref="BJ9:BK9"/>
    <mergeCell ref="BL9:BM9"/>
    <mergeCell ref="X9:Y9"/>
    <mergeCell ref="AD9:AE9"/>
    <mergeCell ref="AF9:AG9"/>
    <mergeCell ref="AH9:AI9"/>
    <mergeCell ref="AN9:AO9"/>
    <mergeCell ref="DZ14:EE14"/>
    <mergeCell ref="E15:E16"/>
    <mergeCell ref="T15:Y15"/>
    <mergeCell ref="AD15:AI15"/>
    <mergeCell ref="AN15:AS15"/>
    <mergeCell ref="AX15:BC15"/>
    <mergeCell ref="DP15:DU15"/>
    <mergeCell ref="DZ15:EE15"/>
    <mergeCell ref="AG14:AI14"/>
    <mergeCell ref="AN14:AP14"/>
    <mergeCell ref="AQ14:AS14"/>
    <mergeCell ref="AX14:AZ14"/>
    <mergeCell ref="BA14:BC14"/>
    <mergeCell ref="DP14:DU14"/>
    <mergeCell ref="BH14:BJ14"/>
    <mergeCell ref="BK14:BM14"/>
    <mergeCell ref="BH15:BM15"/>
    <mergeCell ref="DR16:DS16"/>
    <mergeCell ref="DT16:DU16"/>
    <mergeCell ref="DZ16:EA16"/>
    <mergeCell ref="EB16:EC16"/>
    <mergeCell ref="ED16:EE16"/>
    <mergeCell ref="J17:K17"/>
    <mergeCell ref="L17:M17"/>
    <mergeCell ref="N17:O17"/>
    <mergeCell ref="T17:U17"/>
    <mergeCell ref="V17:W17"/>
    <mergeCell ref="AP16:AQ16"/>
    <mergeCell ref="AR16:AS16"/>
    <mergeCell ref="AX16:AY16"/>
    <mergeCell ref="AZ16:BA16"/>
    <mergeCell ref="BB16:BC16"/>
    <mergeCell ref="DP16:DQ16"/>
    <mergeCell ref="V16:W16"/>
    <mergeCell ref="X16:Y16"/>
    <mergeCell ref="AD16:AE16"/>
    <mergeCell ref="AF16:AG16"/>
    <mergeCell ref="AH16:AI16"/>
    <mergeCell ref="AN16:AO16"/>
    <mergeCell ref="J16:K16"/>
    <mergeCell ref="L16:M16"/>
    <mergeCell ref="DT17:DU17"/>
    <mergeCell ref="DZ17:EA17"/>
    <mergeCell ref="EB17:EC17"/>
    <mergeCell ref="ED17:EE17"/>
    <mergeCell ref="DR17:DS17"/>
    <mergeCell ref="B23:B36"/>
    <mergeCell ref="D24:D27"/>
    <mergeCell ref="J24:L24"/>
    <mergeCell ref="M24:O24"/>
    <mergeCell ref="AR17:AS17"/>
    <mergeCell ref="AX17:AY17"/>
    <mergeCell ref="AZ17:BA17"/>
    <mergeCell ref="BB17:BC17"/>
    <mergeCell ref="DP17:DQ17"/>
    <mergeCell ref="X17:Y17"/>
    <mergeCell ref="AD17:AE17"/>
    <mergeCell ref="AF17:AG17"/>
    <mergeCell ref="AH17:AI17"/>
    <mergeCell ref="AN17:AO17"/>
    <mergeCell ref="AP17:AQ17"/>
    <mergeCell ref="G16:G17"/>
    <mergeCell ref="H16:I16"/>
    <mergeCell ref="N16:O16"/>
    <mergeCell ref="T16:U16"/>
    <mergeCell ref="W24:Y24"/>
    <mergeCell ref="AD24:AF24"/>
    <mergeCell ref="AG24:AI24"/>
    <mergeCell ref="DP24:DU24"/>
    <mergeCell ref="AX25:BC25"/>
    <mergeCell ref="T25:Y25"/>
    <mergeCell ref="AD25:AI25"/>
    <mergeCell ref="DP25:DU25"/>
    <mergeCell ref="DZ25:EE25"/>
    <mergeCell ref="DZ24:EE24"/>
    <mergeCell ref="AN24:AP24"/>
    <mergeCell ref="AQ24:AS24"/>
    <mergeCell ref="AX24:AZ24"/>
    <mergeCell ref="BA24:BC24"/>
    <mergeCell ref="AN25:AS25"/>
    <mergeCell ref="T24:V24"/>
    <mergeCell ref="BH24:BJ24"/>
    <mergeCell ref="BK24:BM24"/>
    <mergeCell ref="BH25:BM25"/>
    <mergeCell ref="L27:M27"/>
    <mergeCell ref="N27:O27"/>
    <mergeCell ref="AF26:AG26"/>
    <mergeCell ref="AH26:AI26"/>
    <mergeCell ref="DP26:DQ26"/>
    <mergeCell ref="DR26:DS26"/>
    <mergeCell ref="DT26:DU26"/>
    <mergeCell ref="DZ26:EA26"/>
    <mergeCell ref="AZ26:BA26"/>
    <mergeCell ref="BB26:BC26"/>
    <mergeCell ref="T26:U26"/>
    <mergeCell ref="V26:W26"/>
    <mergeCell ref="X26:Y26"/>
    <mergeCell ref="AD26:AE26"/>
    <mergeCell ref="AN26:AO26"/>
    <mergeCell ref="AP26:AQ26"/>
    <mergeCell ref="AR26:AS26"/>
    <mergeCell ref="AX26:AY26"/>
    <mergeCell ref="V27:W27"/>
    <mergeCell ref="X27:Y27"/>
    <mergeCell ref="AD27:AE27"/>
    <mergeCell ref="AP27:AQ27"/>
    <mergeCell ref="AR27:AS27"/>
    <mergeCell ref="D32:D35"/>
    <mergeCell ref="J32:L32"/>
    <mergeCell ref="M32:O32"/>
    <mergeCell ref="T32:V32"/>
    <mergeCell ref="W32:Y32"/>
    <mergeCell ref="AD32:AF32"/>
    <mergeCell ref="AG32:AI32"/>
    <mergeCell ref="AN32:AP32"/>
    <mergeCell ref="AQ32:AS32"/>
    <mergeCell ref="E33:E34"/>
    <mergeCell ref="F33:F34"/>
    <mergeCell ref="J33:O33"/>
    <mergeCell ref="V34:W34"/>
    <mergeCell ref="X34:Y34"/>
    <mergeCell ref="AD34:AE34"/>
    <mergeCell ref="AF34:AG34"/>
    <mergeCell ref="AN34:AO34"/>
    <mergeCell ref="AP34:AQ34"/>
    <mergeCell ref="AR34:AS34"/>
    <mergeCell ref="DP32:DU32"/>
    <mergeCell ref="G26:G27"/>
    <mergeCell ref="H26:I26"/>
    <mergeCell ref="J26:K26"/>
    <mergeCell ref="L26:M26"/>
    <mergeCell ref="N26:O26"/>
    <mergeCell ref="G34:G35"/>
    <mergeCell ref="H34:I34"/>
    <mergeCell ref="J34:K34"/>
    <mergeCell ref="L34:M34"/>
    <mergeCell ref="N34:O34"/>
    <mergeCell ref="T34:U34"/>
    <mergeCell ref="DR35:DS35"/>
    <mergeCell ref="DT35:DU35"/>
    <mergeCell ref="AX34:AY34"/>
    <mergeCell ref="AZ34:BA34"/>
    <mergeCell ref="AX27:AY27"/>
    <mergeCell ref="AZ27:BA27"/>
    <mergeCell ref="AX32:AZ32"/>
    <mergeCell ref="BA32:BC32"/>
    <mergeCell ref="BH32:BJ32"/>
    <mergeCell ref="BH26:BI26"/>
    <mergeCell ref="BJ26:BK26"/>
    <mergeCell ref="J27:K27"/>
    <mergeCell ref="E25:E26"/>
    <mergeCell ref="F25:F26"/>
    <mergeCell ref="J25:O25"/>
    <mergeCell ref="DZ33:EE33"/>
    <mergeCell ref="T33:Y33"/>
    <mergeCell ref="AD33:AI33"/>
    <mergeCell ref="AN33:AS33"/>
    <mergeCell ref="DZ32:EE32"/>
    <mergeCell ref="ED27:EE27"/>
    <mergeCell ref="AH27:AI27"/>
    <mergeCell ref="DP27:DQ27"/>
    <mergeCell ref="DR27:DS27"/>
    <mergeCell ref="DT27:DU27"/>
    <mergeCell ref="DZ27:EA27"/>
    <mergeCell ref="EB27:EC27"/>
    <mergeCell ref="BB27:BC27"/>
    <mergeCell ref="T27:U27"/>
    <mergeCell ref="AF27:AG27"/>
    <mergeCell ref="AN27:AO27"/>
    <mergeCell ref="AX33:BC33"/>
    <mergeCell ref="BH33:BM33"/>
    <mergeCell ref="DP33:DU33"/>
    <mergeCell ref="EB26:EC26"/>
    <mergeCell ref="ED26:EE26"/>
    <mergeCell ref="ED34:EE34"/>
    <mergeCell ref="J35:K35"/>
    <mergeCell ref="L35:M35"/>
    <mergeCell ref="N35:O35"/>
    <mergeCell ref="T35:U35"/>
    <mergeCell ref="V35:W35"/>
    <mergeCell ref="X35:Y35"/>
    <mergeCell ref="BB34:BC34"/>
    <mergeCell ref="BH34:BI34"/>
    <mergeCell ref="BJ34:BK34"/>
    <mergeCell ref="BL34:BM34"/>
    <mergeCell ref="DP34:DQ34"/>
    <mergeCell ref="DR34:DS34"/>
    <mergeCell ref="AH34:AI34"/>
    <mergeCell ref="AD35:AE35"/>
    <mergeCell ref="AF35:AG35"/>
    <mergeCell ref="AH35:AI35"/>
    <mergeCell ref="AN35:AO35"/>
    <mergeCell ref="AP35:AQ35"/>
    <mergeCell ref="AR35:AS35"/>
    <mergeCell ref="DT34:DU34"/>
    <mergeCell ref="DZ34:EA34"/>
    <mergeCell ref="EB34:EC34"/>
    <mergeCell ref="DP35:DQ35"/>
    <mergeCell ref="DZ35:EA35"/>
    <mergeCell ref="EB35:EC35"/>
    <mergeCell ref="ED35:EE35"/>
    <mergeCell ref="AX35:AY35"/>
    <mergeCell ref="AZ35:BA35"/>
    <mergeCell ref="BB35:BC35"/>
    <mergeCell ref="BH35:BI35"/>
    <mergeCell ref="BJ35:BK35"/>
    <mergeCell ref="BL35:BM35"/>
    <mergeCell ref="J44:K44"/>
    <mergeCell ref="L44:M44"/>
    <mergeCell ref="B41:B54"/>
    <mergeCell ref="D42:D45"/>
    <mergeCell ref="J42:L42"/>
    <mergeCell ref="M42:O42"/>
    <mergeCell ref="T42:V42"/>
    <mergeCell ref="W42:Y42"/>
    <mergeCell ref="V44:W44"/>
    <mergeCell ref="X44:Y44"/>
    <mergeCell ref="J45:K45"/>
    <mergeCell ref="L45:M45"/>
    <mergeCell ref="N44:O44"/>
    <mergeCell ref="T44:U44"/>
    <mergeCell ref="D50:D53"/>
    <mergeCell ref="T50:V50"/>
    <mergeCell ref="W50:Y50"/>
    <mergeCell ref="N45:O45"/>
    <mergeCell ref="T45:U45"/>
    <mergeCell ref="V45:W45"/>
    <mergeCell ref="X45:Y45"/>
    <mergeCell ref="J50:L50"/>
    <mergeCell ref="M50:O50"/>
    <mergeCell ref="J52:K52"/>
    <mergeCell ref="AD45:AE45"/>
    <mergeCell ref="AF45:AG45"/>
    <mergeCell ref="BH42:BJ42"/>
    <mergeCell ref="BK42:BM42"/>
    <mergeCell ref="DP42:DU42"/>
    <mergeCell ref="DZ42:EE42"/>
    <mergeCell ref="E43:E44"/>
    <mergeCell ref="F43:F44"/>
    <mergeCell ref="J43:O43"/>
    <mergeCell ref="T43:Y43"/>
    <mergeCell ref="AD43:AI43"/>
    <mergeCell ref="AN43:AS43"/>
    <mergeCell ref="AD42:AF42"/>
    <mergeCell ref="AG42:AI42"/>
    <mergeCell ref="AN42:AP42"/>
    <mergeCell ref="AQ42:AS42"/>
    <mergeCell ref="AX42:AZ42"/>
    <mergeCell ref="BA42:BC42"/>
    <mergeCell ref="AX43:BC43"/>
    <mergeCell ref="BH43:BM43"/>
    <mergeCell ref="DP43:DU43"/>
    <mergeCell ref="DZ43:EE43"/>
    <mergeCell ref="G44:G45"/>
    <mergeCell ref="H44:I44"/>
    <mergeCell ref="DP51:DU51"/>
    <mergeCell ref="DZ51:EE51"/>
    <mergeCell ref="DP45:DQ45"/>
    <mergeCell ref="DR45:DS45"/>
    <mergeCell ref="DP50:DU50"/>
    <mergeCell ref="ED45:EE45"/>
    <mergeCell ref="DZ50:EE50"/>
    <mergeCell ref="BH50:BJ50"/>
    <mergeCell ref="BH51:BM51"/>
    <mergeCell ref="BK50:BM50"/>
    <mergeCell ref="BL45:BM45"/>
    <mergeCell ref="DT45:DU45"/>
    <mergeCell ref="DZ45:EA45"/>
    <mergeCell ref="EB45:EC45"/>
    <mergeCell ref="AG50:AI50"/>
    <mergeCell ref="AN50:AP50"/>
    <mergeCell ref="AQ50:AS50"/>
    <mergeCell ref="AX50:AZ50"/>
    <mergeCell ref="BA50:BC50"/>
    <mergeCell ref="AD50:AF50"/>
    <mergeCell ref="ED44:EE44"/>
    <mergeCell ref="AX44:AY44"/>
    <mergeCell ref="AZ44:BA44"/>
    <mergeCell ref="BB44:BC44"/>
    <mergeCell ref="BH44:BI44"/>
    <mergeCell ref="BJ44:BK44"/>
    <mergeCell ref="BL44:BM44"/>
    <mergeCell ref="AD44:AE44"/>
    <mergeCell ref="AF44:AG44"/>
    <mergeCell ref="AH44:AI44"/>
    <mergeCell ref="AN44:AO44"/>
    <mergeCell ref="AP44:AQ44"/>
    <mergeCell ref="AR44:AS44"/>
    <mergeCell ref="DP44:DQ44"/>
    <mergeCell ref="DR44:DS44"/>
    <mergeCell ref="DT44:DU44"/>
    <mergeCell ref="DZ44:EA44"/>
    <mergeCell ref="EB44:EC44"/>
    <mergeCell ref="BB45:BC45"/>
    <mergeCell ref="BH45:BI45"/>
    <mergeCell ref="BJ45:BK45"/>
    <mergeCell ref="AH45:AI45"/>
    <mergeCell ref="AN45:AO45"/>
    <mergeCell ref="AP45:AQ45"/>
    <mergeCell ref="AR45:AS45"/>
    <mergeCell ref="AX45:AY45"/>
    <mergeCell ref="AZ45:BA45"/>
    <mergeCell ref="G52:G53"/>
    <mergeCell ref="H52:I52"/>
    <mergeCell ref="T52:U52"/>
    <mergeCell ref="AN51:AS51"/>
    <mergeCell ref="AX51:BC51"/>
    <mergeCell ref="J51:O51"/>
    <mergeCell ref="AF53:AG53"/>
    <mergeCell ref="AH53:AI53"/>
    <mergeCell ref="AN53:AO53"/>
    <mergeCell ref="AP53:AQ53"/>
    <mergeCell ref="T53:U53"/>
    <mergeCell ref="V53:W53"/>
    <mergeCell ref="V52:W52"/>
    <mergeCell ref="X52:Y52"/>
    <mergeCell ref="AD52:AE52"/>
    <mergeCell ref="AF52:AG52"/>
    <mergeCell ref="AH52:AI52"/>
    <mergeCell ref="AN52:AO52"/>
    <mergeCell ref="L52:M52"/>
    <mergeCell ref="N52:O52"/>
    <mergeCell ref="DT52:DU52"/>
    <mergeCell ref="DZ52:EA52"/>
    <mergeCell ref="EB52:EC52"/>
    <mergeCell ref="ED52:EE52"/>
    <mergeCell ref="DT53:DU53"/>
    <mergeCell ref="DZ53:EA53"/>
    <mergeCell ref="EB53:EC53"/>
    <mergeCell ref="ED53:EE53"/>
    <mergeCell ref="E51:E52"/>
    <mergeCell ref="F51:F52"/>
    <mergeCell ref="T51:Y51"/>
    <mergeCell ref="AD51:AI51"/>
    <mergeCell ref="BJ52:BK52"/>
    <mergeCell ref="BL52:BM52"/>
    <mergeCell ref="DP53:DQ53"/>
    <mergeCell ref="DR53:DS53"/>
    <mergeCell ref="DP52:DQ52"/>
    <mergeCell ref="AP52:AQ52"/>
    <mergeCell ref="AR52:AS52"/>
    <mergeCell ref="AX52:AY52"/>
    <mergeCell ref="AZ52:BA52"/>
    <mergeCell ref="BB52:BC52"/>
    <mergeCell ref="BH52:BI52"/>
    <mergeCell ref="DR52:DS52"/>
    <mergeCell ref="B59:B72"/>
    <mergeCell ref="D60:D63"/>
    <mergeCell ref="J60:L60"/>
    <mergeCell ref="M60:O60"/>
    <mergeCell ref="T60:V60"/>
    <mergeCell ref="W60:Y60"/>
    <mergeCell ref="BL53:BM53"/>
    <mergeCell ref="J53:K53"/>
    <mergeCell ref="L53:M53"/>
    <mergeCell ref="N53:O53"/>
    <mergeCell ref="AR53:AS53"/>
    <mergeCell ref="AX53:AY53"/>
    <mergeCell ref="AZ53:BA53"/>
    <mergeCell ref="BB53:BC53"/>
    <mergeCell ref="BH53:BI53"/>
    <mergeCell ref="BJ53:BK53"/>
    <mergeCell ref="X53:Y53"/>
    <mergeCell ref="AD53:AE53"/>
    <mergeCell ref="X62:Y62"/>
    <mergeCell ref="AD62:AE62"/>
    <mergeCell ref="D68:D71"/>
    <mergeCell ref="J68:L68"/>
    <mergeCell ref="M68:O68"/>
    <mergeCell ref="T68:V68"/>
    <mergeCell ref="DP60:DU60"/>
    <mergeCell ref="DZ60:EE60"/>
    <mergeCell ref="E61:E62"/>
    <mergeCell ref="F61:F62"/>
    <mergeCell ref="J61:O61"/>
    <mergeCell ref="T61:Y61"/>
    <mergeCell ref="AD61:AI61"/>
    <mergeCell ref="AN61:AS61"/>
    <mergeCell ref="AX61:BC61"/>
    <mergeCell ref="DP61:DU61"/>
    <mergeCell ref="AD60:AF60"/>
    <mergeCell ref="AG60:AI60"/>
    <mergeCell ref="AN60:AP60"/>
    <mergeCell ref="AQ60:AS60"/>
    <mergeCell ref="AX60:AZ60"/>
    <mergeCell ref="BA60:BC60"/>
    <mergeCell ref="DZ61:EE61"/>
    <mergeCell ref="G62:G63"/>
    <mergeCell ref="H62:I62"/>
    <mergeCell ref="J62:K62"/>
    <mergeCell ref="L62:M62"/>
    <mergeCell ref="N62:O62"/>
    <mergeCell ref="T62:U62"/>
    <mergeCell ref="V62:W62"/>
    <mergeCell ref="EB62:EC62"/>
    <mergeCell ref="ED62:EE62"/>
    <mergeCell ref="J63:K63"/>
    <mergeCell ref="L63:M63"/>
    <mergeCell ref="N63:O63"/>
    <mergeCell ref="T63:U63"/>
    <mergeCell ref="V63:W63"/>
    <mergeCell ref="X63:Y63"/>
    <mergeCell ref="AD63:AE63"/>
    <mergeCell ref="AF63:AG63"/>
    <mergeCell ref="AZ62:BA62"/>
    <mergeCell ref="BB62:BC62"/>
    <mergeCell ref="DP62:DQ62"/>
    <mergeCell ref="DR62:DS62"/>
    <mergeCell ref="DT62:DU62"/>
    <mergeCell ref="DZ62:EA62"/>
    <mergeCell ref="AF62:AG62"/>
    <mergeCell ref="AH62:AI62"/>
    <mergeCell ref="AN62:AO62"/>
    <mergeCell ref="AP62:AQ62"/>
    <mergeCell ref="AR62:AS62"/>
    <mergeCell ref="AX62:AY62"/>
    <mergeCell ref="ED63:EE63"/>
    <mergeCell ref="DZ63:EA63"/>
    <mergeCell ref="W68:Y68"/>
    <mergeCell ref="AD68:AF68"/>
    <mergeCell ref="AG68:AI68"/>
    <mergeCell ref="AN68:AP68"/>
    <mergeCell ref="AQ68:AS68"/>
    <mergeCell ref="BB63:BC63"/>
    <mergeCell ref="DP63:DQ63"/>
    <mergeCell ref="DR63:DS63"/>
    <mergeCell ref="DT63:DU63"/>
    <mergeCell ref="EB63:EC63"/>
    <mergeCell ref="AH63:AI63"/>
    <mergeCell ref="AN63:AO63"/>
    <mergeCell ref="AP63:AQ63"/>
    <mergeCell ref="AR63:AS63"/>
    <mergeCell ref="AX63:AY63"/>
    <mergeCell ref="AZ63:BA63"/>
    <mergeCell ref="AX68:AZ68"/>
    <mergeCell ref="BA68:BC68"/>
    <mergeCell ref="DP68:DU68"/>
    <mergeCell ref="DZ68:EE68"/>
    <mergeCell ref="BH63:BI63"/>
    <mergeCell ref="BJ63:BK63"/>
    <mergeCell ref="BL63:BM63"/>
    <mergeCell ref="BH68:BJ68"/>
    <mergeCell ref="BK68:BM68"/>
    <mergeCell ref="E69:E70"/>
    <mergeCell ref="F69:F70"/>
    <mergeCell ref="J69:O69"/>
    <mergeCell ref="T69:Y69"/>
    <mergeCell ref="AD69:AI69"/>
    <mergeCell ref="AN69:AS69"/>
    <mergeCell ref="AX69:BC69"/>
    <mergeCell ref="DP69:DU69"/>
    <mergeCell ref="DZ69:EE69"/>
    <mergeCell ref="G70:G71"/>
    <mergeCell ref="H70:I70"/>
    <mergeCell ref="J70:K70"/>
    <mergeCell ref="L70:M70"/>
    <mergeCell ref="N70:O70"/>
    <mergeCell ref="T70:U70"/>
    <mergeCell ref="V70:W70"/>
    <mergeCell ref="DT70:DU70"/>
    <mergeCell ref="DZ70:EA70"/>
    <mergeCell ref="EB70:EC70"/>
    <mergeCell ref="ED70:EE70"/>
    <mergeCell ref="J71:K71"/>
    <mergeCell ref="L71:M71"/>
    <mergeCell ref="N71:O71"/>
    <mergeCell ref="T71:U71"/>
    <mergeCell ref="V71:W71"/>
    <mergeCell ref="X71:Y71"/>
    <mergeCell ref="AR70:AS70"/>
    <mergeCell ref="AX70:AY70"/>
    <mergeCell ref="AZ70:BA70"/>
    <mergeCell ref="BB70:BC70"/>
    <mergeCell ref="DP70:DQ70"/>
    <mergeCell ref="DR70:DS70"/>
    <mergeCell ref="X70:Y70"/>
    <mergeCell ref="AD70:AE70"/>
    <mergeCell ref="AF70:AG70"/>
    <mergeCell ref="AH70:AI70"/>
    <mergeCell ref="AN70:AO70"/>
    <mergeCell ref="AP70:AQ70"/>
    <mergeCell ref="AX71:AY71"/>
    <mergeCell ref="AZ71:BA71"/>
    <mergeCell ref="BB71:BC71"/>
    <mergeCell ref="DP71:DQ71"/>
    <mergeCell ref="DR71:DS71"/>
    <mergeCell ref="DT71:DU71"/>
    <mergeCell ref="AD71:AE71"/>
    <mergeCell ref="AF71:AG71"/>
    <mergeCell ref="AH71:AI71"/>
    <mergeCell ref="AN71:AO71"/>
    <mergeCell ref="AP71:AQ71"/>
    <mergeCell ref="AR71:AS71"/>
    <mergeCell ref="DZ71:EA71"/>
    <mergeCell ref="EB71:EC71"/>
    <mergeCell ref="ED71:EE71"/>
    <mergeCell ref="BI77:BI90"/>
    <mergeCell ref="BJ78:BJ81"/>
    <mergeCell ref="BR78:BW78"/>
    <mergeCell ref="DP78:DU78"/>
    <mergeCell ref="DZ78:EE78"/>
    <mergeCell ref="BR79:BW79"/>
    <mergeCell ref="DP79:DU79"/>
    <mergeCell ref="DZ79:EE79"/>
    <mergeCell ref="BR80:BS80"/>
    <mergeCell ref="BT80:BU80"/>
    <mergeCell ref="BV80:BW80"/>
    <mergeCell ref="DP80:DQ80"/>
    <mergeCell ref="DR80:DS80"/>
    <mergeCell ref="DT80:DU80"/>
    <mergeCell ref="DZ80:EA80"/>
    <mergeCell ref="EB80:EC80"/>
    <mergeCell ref="ED80:EE80"/>
    <mergeCell ref="DZ81:EA81"/>
    <mergeCell ref="EB81:EC81"/>
    <mergeCell ref="ED81:EE81"/>
    <mergeCell ref="BJ84:BJ85"/>
    <mergeCell ref="BS84:BS85"/>
    <mergeCell ref="BU84:BU89"/>
    <mergeCell ref="BW84:BW85"/>
    <mergeCell ref="BL85:BL89"/>
    <mergeCell ref="BJ86:BJ89"/>
    <mergeCell ref="BN86:BQ89"/>
    <mergeCell ref="BR81:BS81"/>
    <mergeCell ref="BT81:BU81"/>
    <mergeCell ref="BV81:BW81"/>
    <mergeCell ref="DP81:DQ81"/>
    <mergeCell ref="DR81:DS81"/>
    <mergeCell ref="BS86:BS89"/>
    <mergeCell ref="BW86:BW89"/>
    <mergeCell ref="DT81:DU81"/>
    <mergeCell ref="EB88:EC88"/>
    <mergeCell ref="ED88:EE88"/>
    <mergeCell ref="DP89:DQ89"/>
    <mergeCell ref="DR89:DS89"/>
    <mergeCell ref="DT89:DU89"/>
    <mergeCell ref="DZ89:EA89"/>
    <mergeCell ref="EB89:EC89"/>
    <mergeCell ref="ED89:EE89"/>
    <mergeCell ref="DP86:DU86"/>
    <mergeCell ref="DZ86:EE86"/>
    <mergeCell ref="DP87:DU87"/>
    <mergeCell ref="DZ87:EE87"/>
    <mergeCell ref="DP88:DQ88"/>
    <mergeCell ref="DR88:DS88"/>
    <mergeCell ref="DT88:DU88"/>
    <mergeCell ref="DZ88:EA88"/>
    <mergeCell ref="BH16:BI16"/>
    <mergeCell ref="BJ16:BK16"/>
    <mergeCell ref="BL16:BM16"/>
    <mergeCell ref="BH17:BI17"/>
    <mergeCell ref="BJ17:BK17"/>
    <mergeCell ref="BL17:BM17"/>
    <mergeCell ref="BH6:BJ6"/>
    <mergeCell ref="BK6:BM6"/>
    <mergeCell ref="BH7:BM7"/>
    <mergeCell ref="BH8:BI8"/>
    <mergeCell ref="BJ8:BK8"/>
    <mergeCell ref="BL8:BM8"/>
    <mergeCell ref="BH69:BM69"/>
    <mergeCell ref="BH70:BI70"/>
    <mergeCell ref="BJ70:BK70"/>
    <mergeCell ref="BL70:BM70"/>
    <mergeCell ref="BH71:BI71"/>
    <mergeCell ref="BJ71:BK71"/>
    <mergeCell ref="BL71:BM71"/>
    <mergeCell ref="BL26:BM26"/>
    <mergeCell ref="BH27:BI27"/>
    <mergeCell ref="BJ27:BK27"/>
    <mergeCell ref="BL27:BM27"/>
    <mergeCell ref="BH60:BJ60"/>
    <mergeCell ref="BK60:BM60"/>
    <mergeCell ref="BH61:BM61"/>
    <mergeCell ref="BH62:BI62"/>
    <mergeCell ref="BJ62:BK62"/>
    <mergeCell ref="BL62:BM62"/>
    <mergeCell ref="BK32:BM32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23A4-6510-492E-8DA6-FD03E38F0A0C}">
  <sheetPr>
    <tabColor rgb="FF00B050"/>
  </sheetPr>
  <dimension ref="B2:EE100"/>
  <sheetViews>
    <sheetView topLeftCell="A34" zoomScale="85" zoomScaleNormal="85" zoomScaleSheetLayoutView="100" workbookViewId="0">
      <selection activeCell="X48" sqref="X48"/>
    </sheetView>
  </sheetViews>
  <sheetFormatPr defaultRowHeight="14.4" x14ac:dyDescent="0.3"/>
  <cols>
    <col min="1" max="1" width="3.109375" customWidth="1"/>
    <col min="2" max="2" width="3.88671875" customWidth="1"/>
    <col min="3" max="3" width="1.109375" customWidth="1"/>
    <col min="4" max="4" width="2.44140625" customWidth="1"/>
    <col min="5" max="6" width="2.21875" customWidth="1"/>
    <col min="7" max="7" width="2.44140625" customWidth="1"/>
    <col min="8" max="9" width="0.88671875" customWidth="1"/>
    <col min="10" max="15" width="3.33203125" customWidth="1"/>
    <col min="16" max="19" width="0.88671875" customWidth="1"/>
    <col min="20" max="25" width="3.33203125" customWidth="1"/>
    <col min="26" max="29" width="0.88671875" customWidth="1"/>
    <col min="30" max="35" width="3.33203125" customWidth="1"/>
    <col min="36" max="39" width="0.88671875" customWidth="1"/>
    <col min="40" max="45" width="3.33203125" customWidth="1"/>
    <col min="46" max="49" width="0.88671875" customWidth="1"/>
    <col min="50" max="55" width="3.33203125" customWidth="1"/>
    <col min="56" max="59" width="0.88671875" customWidth="1"/>
    <col min="60" max="65" width="3.33203125" customWidth="1"/>
    <col min="66" max="69" width="0.88671875" customWidth="1"/>
    <col min="70" max="75" width="3.33203125" customWidth="1"/>
    <col min="76" max="79" width="0.88671875" customWidth="1"/>
    <col min="80" max="85" width="3.33203125" customWidth="1"/>
    <col min="86" max="89" width="0.88671875" customWidth="1"/>
    <col min="90" max="95" width="3.33203125" customWidth="1"/>
    <col min="96" max="99" width="0.88671875" customWidth="1"/>
    <col min="100" max="105" width="3.33203125" customWidth="1"/>
    <col min="106" max="109" width="0.88671875" customWidth="1"/>
    <col min="110" max="115" width="3.33203125" customWidth="1"/>
    <col min="116" max="119" width="0.88671875" customWidth="1"/>
    <col min="120" max="125" width="3.33203125" customWidth="1"/>
    <col min="126" max="129" width="0.88671875" customWidth="1"/>
    <col min="130" max="135" width="3.33203125" customWidth="1"/>
    <col min="136" max="139" width="0.88671875" customWidth="1"/>
  </cols>
  <sheetData>
    <row r="2" spans="2:135" s="12" customFormat="1" ht="33.6" x14ac:dyDescent="0.65">
      <c r="B2" s="104" t="s">
        <v>272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</row>
    <row r="4" spans="2:135" x14ac:dyDescent="0.3">
      <c r="BL4" s="4"/>
    </row>
    <row r="5" spans="2:135" ht="10.050000000000001" customHeight="1" thickBot="1" x14ac:dyDescent="0.35">
      <c r="B5" s="118" t="s">
        <v>4</v>
      </c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2:135" x14ac:dyDescent="0.3">
      <c r="B6" s="118"/>
      <c r="C6" s="1"/>
      <c r="D6" s="119" t="s">
        <v>5</v>
      </c>
      <c r="E6" s="11"/>
      <c r="F6" s="11"/>
      <c r="G6" s="2"/>
      <c r="H6" s="2"/>
      <c r="I6" s="2"/>
      <c r="J6" s="24" t="s">
        <v>257</v>
      </c>
      <c r="K6" s="25"/>
      <c r="L6" s="26"/>
      <c r="M6" s="38">
        <v>251</v>
      </c>
      <c r="N6" s="39"/>
      <c r="O6" s="40"/>
      <c r="P6" s="4"/>
      <c r="Q6" s="4"/>
      <c r="R6" s="4"/>
      <c r="S6" s="4"/>
      <c r="T6" s="24" t="s">
        <v>119</v>
      </c>
      <c r="U6" s="25"/>
      <c r="V6" s="26"/>
      <c r="W6" s="38" t="s">
        <v>109</v>
      </c>
      <c r="X6" s="39"/>
      <c r="Y6" s="40"/>
      <c r="Z6" s="4"/>
      <c r="AA6" s="4"/>
      <c r="AB6" s="4"/>
      <c r="AC6" s="4"/>
      <c r="AD6" s="24" t="s">
        <v>181</v>
      </c>
      <c r="AE6" s="25"/>
      <c r="AF6" s="26"/>
      <c r="AG6" s="38">
        <v>111</v>
      </c>
      <c r="AH6" s="39"/>
      <c r="AI6" s="40"/>
      <c r="AJ6" s="4"/>
      <c r="AK6" s="4"/>
      <c r="AL6" s="4"/>
      <c r="AM6" s="4"/>
      <c r="AN6" s="24" t="s">
        <v>90</v>
      </c>
      <c r="AO6" s="25"/>
      <c r="AP6" s="26"/>
      <c r="AQ6" s="27" t="s">
        <v>164</v>
      </c>
      <c r="AR6" s="28"/>
      <c r="AS6" s="29"/>
      <c r="AT6" s="4"/>
      <c r="AU6" s="4"/>
      <c r="AV6" s="4"/>
      <c r="AW6" s="4"/>
      <c r="AX6" s="24" t="s">
        <v>19</v>
      </c>
      <c r="AY6" s="25"/>
      <c r="AZ6" s="26"/>
      <c r="BA6" s="27" t="s">
        <v>33</v>
      </c>
      <c r="BB6" s="28"/>
      <c r="BC6" s="29"/>
      <c r="BD6" s="4"/>
      <c r="BE6" s="4"/>
      <c r="BF6" s="4"/>
      <c r="BG6" s="4"/>
      <c r="BH6" s="24" t="s">
        <v>122</v>
      </c>
      <c r="BI6" s="25"/>
      <c r="BJ6" s="26"/>
      <c r="BK6" s="38" t="s">
        <v>109</v>
      </c>
      <c r="BL6" s="39"/>
      <c r="BM6" s="40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DP6" s="123"/>
      <c r="DQ6" s="124"/>
      <c r="DR6" s="124"/>
      <c r="DS6" s="124"/>
      <c r="DT6" s="125"/>
      <c r="DU6" s="126"/>
      <c r="DZ6" s="123"/>
      <c r="EA6" s="124"/>
      <c r="EB6" s="124"/>
      <c r="EC6" s="124"/>
      <c r="ED6" s="125"/>
      <c r="EE6" s="126"/>
    </row>
    <row r="7" spans="2:135" ht="48.75" customHeight="1" x14ac:dyDescent="0.3">
      <c r="B7" s="118"/>
      <c r="C7" s="1"/>
      <c r="D7" s="119"/>
      <c r="E7" s="120" t="s">
        <v>16</v>
      </c>
      <c r="F7" s="120" t="s">
        <v>17</v>
      </c>
      <c r="G7" s="13">
        <f>SUM(N8,X8,AH8,AR8,BB8,BL8)</f>
        <v>810</v>
      </c>
      <c r="H7" s="2"/>
      <c r="I7" s="2"/>
      <c r="J7" s="94" t="s">
        <v>258</v>
      </c>
      <c r="K7" s="95"/>
      <c r="L7" s="95"/>
      <c r="M7" s="95"/>
      <c r="N7" s="96"/>
      <c r="O7" s="97"/>
      <c r="P7" s="4"/>
      <c r="Q7" s="4"/>
      <c r="R7" s="4"/>
      <c r="S7" s="4"/>
      <c r="T7" s="114" t="s">
        <v>120</v>
      </c>
      <c r="U7" s="115"/>
      <c r="V7" s="115"/>
      <c r="W7" s="115"/>
      <c r="X7" s="116"/>
      <c r="Y7" s="117"/>
      <c r="Z7" s="4"/>
      <c r="AA7" s="4"/>
      <c r="AB7" s="4"/>
      <c r="AC7" s="4"/>
      <c r="AD7" s="30" t="s">
        <v>180</v>
      </c>
      <c r="AE7" s="31"/>
      <c r="AF7" s="31"/>
      <c r="AG7" s="31"/>
      <c r="AH7" s="32"/>
      <c r="AI7" s="33"/>
      <c r="AJ7" s="4"/>
      <c r="AK7" s="4"/>
      <c r="AL7" s="4"/>
      <c r="AM7" s="4"/>
      <c r="AN7" s="30" t="s">
        <v>165</v>
      </c>
      <c r="AO7" s="31"/>
      <c r="AP7" s="31"/>
      <c r="AQ7" s="31"/>
      <c r="AR7" s="32"/>
      <c r="AS7" s="33"/>
      <c r="AT7" s="4"/>
      <c r="AU7" s="4"/>
      <c r="AV7" s="4"/>
      <c r="AW7" s="4"/>
      <c r="AX7" s="53" t="s">
        <v>32</v>
      </c>
      <c r="AY7" s="54"/>
      <c r="AZ7" s="54"/>
      <c r="BA7" s="54"/>
      <c r="BB7" s="55"/>
      <c r="BC7" s="56"/>
      <c r="BD7" s="4"/>
      <c r="BE7" s="4"/>
      <c r="BF7" s="4"/>
      <c r="BG7" s="4"/>
      <c r="BH7" s="114" t="s">
        <v>123</v>
      </c>
      <c r="BI7" s="115"/>
      <c r="BJ7" s="115"/>
      <c r="BK7" s="115"/>
      <c r="BL7" s="116"/>
      <c r="BM7" s="117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DP7" s="127"/>
      <c r="DQ7" s="128"/>
      <c r="DR7" s="128"/>
      <c r="DS7" s="128"/>
      <c r="DT7" s="129"/>
      <c r="DU7" s="130"/>
      <c r="DZ7" s="127"/>
      <c r="EA7" s="128"/>
      <c r="EB7" s="128"/>
      <c r="EC7" s="128"/>
      <c r="ED7" s="129"/>
      <c r="EE7" s="130"/>
    </row>
    <row r="8" spans="2:135" ht="15.6" customHeight="1" x14ac:dyDescent="0.3">
      <c r="B8" s="118"/>
      <c r="C8" s="1"/>
      <c r="D8" s="119"/>
      <c r="E8" s="120"/>
      <c r="F8" s="120"/>
      <c r="G8" s="105"/>
      <c r="H8" s="121"/>
      <c r="I8" s="122"/>
      <c r="J8" s="98">
        <v>3</v>
      </c>
      <c r="K8" s="99"/>
      <c r="L8" s="100">
        <v>4</v>
      </c>
      <c r="M8" s="99"/>
      <c r="N8" s="100">
        <v>150</v>
      </c>
      <c r="O8" s="101"/>
      <c r="P8" s="4"/>
      <c r="Q8" s="4"/>
      <c r="R8" s="4"/>
      <c r="S8" s="4"/>
      <c r="T8" s="110">
        <v>2</v>
      </c>
      <c r="U8" s="111"/>
      <c r="V8" s="108">
        <v>2</v>
      </c>
      <c r="W8" s="111"/>
      <c r="X8" s="108">
        <v>90</v>
      </c>
      <c r="Y8" s="109"/>
      <c r="Z8" s="4"/>
      <c r="AA8" s="4"/>
      <c r="AB8" s="4"/>
      <c r="AC8" s="4"/>
      <c r="AD8" s="34">
        <v>3</v>
      </c>
      <c r="AE8" s="35"/>
      <c r="AF8" s="36">
        <v>4</v>
      </c>
      <c r="AG8" s="35"/>
      <c r="AH8" s="36">
        <v>150</v>
      </c>
      <c r="AI8" s="37"/>
      <c r="AJ8" s="4"/>
      <c r="AK8" s="4"/>
      <c r="AL8" s="4"/>
      <c r="AM8" s="4"/>
      <c r="AN8" s="34">
        <v>3</v>
      </c>
      <c r="AO8" s="35"/>
      <c r="AP8" s="36">
        <v>4</v>
      </c>
      <c r="AQ8" s="35"/>
      <c r="AR8" s="36">
        <v>150</v>
      </c>
      <c r="AS8" s="37"/>
      <c r="AT8" s="4"/>
      <c r="AU8" s="4"/>
      <c r="AV8" s="4"/>
      <c r="AW8" s="4"/>
      <c r="AX8" s="57">
        <v>3</v>
      </c>
      <c r="AY8" s="58"/>
      <c r="AZ8" s="59">
        <v>5</v>
      </c>
      <c r="BA8" s="58"/>
      <c r="BB8" s="59">
        <v>180</v>
      </c>
      <c r="BC8" s="91"/>
      <c r="BD8" s="4"/>
      <c r="BE8" s="4"/>
      <c r="BF8" s="4"/>
      <c r="BG8" s="4"/>
      <c r="BH8" s="110">
        <v>2</v>
      </c>
      <c r="BI8" s="111"/>
      <c r="BJ8" s="108">
        <v>2</v>
      </c>
      <c r="BK8" s="111"/>
      <c r="BL8" s="108">
        <v>90</v>
      </c>
      <c r="BM8" s="109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DP8" s="66"/>
      <c r="DQ8" s="67"/>
      <c r="DR8" s="131"/>
      <c r="DS8" s="67"/>
      <c r="DT8" s="131"/>
      <c r="DU8" s="132"/>
      <c r="DZ8" s="66"/>
      <c r="EA8" s="67"/>
      <c r="EB8" s="131"/>
      <c r="EC8" s="67"/>
      <c r="ED8" s="131"/>
      <c r="EE8" s="132"/>
    </row>
    <row r="9" spans="2:135" ht="15" thickBot="1" x14ac:dyDescent="0.35">
      <c r="B9" s="118"/>
      <c r="C9" s="1"/>
      <c r="D9" s="119"/>
      <c r="E9" s="11">
        <f>SUM(J8,T8,AD8,AN8,AX8,BH8,BR8)</f>
        <v>16</v>
      </c>
      <c r="F9" s="11">
        <f>SUM(J9:BW9)</f>
        <v>21</v>
      </c>
      <c r="G9" s="105"/>
      <c r="H9" s="2"/>
      <c r="I9" s="2"/>
      <c r="J9" s="72">
        <v>3</v>
      </c>
      <c r="K9" s="73"/>
      <c r="L9" s="68">
        <v>0</v>
      </c>
      <c r="M9" s="73"/>
      <c r="N9" s="68">
        <v>1</v>
      </c>
      <c r="O9" s="69"/>
      <c r="P9" s="4"/>
      <c r="Q9" s="4"/>
      <c r="R9" s="4"/>
      <c r="S9" s="4"/>
      <c r="T9" s="112">
        <v>2</v>
      </c>
      <c r="U9" s="113"/>
      <c r="V9" s="106">
        <v>0</v>
      </c>
      <c r="W9" s="113"/>
      <c r="X9" s="106">
        <v>0</v>
      </c>
      <c r="Y9" s="107"/>
      <c r="Z9" s="4"/>
      <c r="AA9" s="4"/>
      <c r="AB9" s="4"/>
      <c r="AC9" s="4"/>
      <c r="AD9" s="20">
        <v>3</v>
      </c>
      <c r="AE9" s="21"/>
      <c r="AF9" s="22">
        <v>1</v>
      </c>
      <c r="AG9" s="21"/>
      <c r="AH9" s="22">
        <v>0</v>
      </c>
      <c r="AI9" s="23"/>
      <c r="AJ9" s="4"/>
      <c r="AK9" s="4"/>
      <c r="AL9" s="4"/>
      <c r="AM9" s="4"/>
      <c r="AN9" s="20">
        <v>2</v>
      </c>
      <c r="AO9" s="21"/>
      <c r="AP9" s="22">
        <v>0</v>
      </c>
      <c r="AQ9" s="21"/>
      <c r="AR9" s="22">
        <v>2</v>
      </c>
      <c r="AS9" s="23"/>
      <c r="AT9" s="4"/>
      <c r="AU9" s="4"/>
      <c r="AV9" s="4"/>
      <c r="AW9" s="4"/>
      <c r="AX9" s="92">
        <v>2</v>
      </c>
      <c r="AY9" s="93"/>
      <c r="AZ9" s="70">
        <v>0</v>
      </c>
      <c r="BA9" s="93"/>
      <c r="BB9" s="70">
        <v>3</v>
      </c>
      <c r="BC9" s="71"/>
      <c r="BD9" s="4"/>
      <c r="BE9" s="4"/>
      <c r="BF9" s="4"/>
      <c r="BG9" s="4"/>
      <c r="BH9" s="112">
        <v>2</v>
      </c>
      <c r="BI9" s="113"/>
      <c r="BJ9" s="106">
        <v>0</v>
      </c>
      <c r="BK9" s="113"/>
      <c r="BL9" s="106">
        <v>0</v>
      </c>
      <c r="BM9" s="107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DP9" s="133"/>
      <c r="DQ9" s="134"/>
      <c r="DR9" s="135"/>
      <c r="DS9" s="134"/>
      <c r="DT9" s="135"/>
      <c r="DU9" s="136"/>
      <c r="DZ9" s="133"/>
      <c r="EA9" s="134"/>
      <c r="EB9" s="135"/>
      <c r="EC9" s="134"/>
      <c r="ED9" s="135"/>
      <c r="EE9" s="136"/>
    </row>
    <row r="10" spans="2:135" ht="10.050000000000001" customHeight="1" x14ac:dyDescent="0.3">
      <c r="B10" s="118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2:135" ht="10.050000000000001" customHeight="1" x14ac:dyDescent="0.3">
      <c r="B11" s="118"/>
      <c r="C11" s="3"/>
    </row>
    <row r="12" spans="2:135" ht="10.050000000000001" customHeight="1" x14ac:dyDescent="0.3">
      <c r="B12" s="118"/>
      <c r="C12" s="3"/>
    </row>
    <row r="13" spans="2:135" ht="10.050000000000001" customHeight="1" thickBot="1" x14ac:dyDescent="0.35">
      <c r="B13" s="118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2:135" x14ac:dyDescent="0.3">
      <c r="B14" s="118"/>
      <c r="C14" s="1"/>
      <c r="D14" s="119" t="s">
        <v>6</v>
      </c>
      <c r="E14" s="11"/>
      <c r="F14" s="11"/>
      <c r="G14" s="2"/>
      <c r="H14" s="2"/>
      <c r="I14" s="2"/>
      <c r="J14" s="24" t="s">
        <v>127</v>
      </c>
      <c r="K14" s="25"/>
      <c r="L14" s="26"/>
      <c r="M14" s="38" t="s">
        <v>110</v>
      </c>
      <c r="N14" s="39"/>
      <c r="O14" s="40"/>
      <c r="P14" s="4"/>
      <c r="Q14" s="4"/>
      <c r="R14" s="4"/>
      <c r="S14" s="4"/>
      <c r="T14" s="24" t="s">
        <v>114</v>
      </c>
      <c r="U14" s="25"/>
      <c r="V14" s="26"/>
      <c r="W14" s="38">
        <v>112</v>
      </c>
      <c r="X14" s="39"/>
      <c r="Y14" s="40"/>
      <c r="Z14" s="4"/>
      <c r="AA14" s="4"/>
      <c r="AB14" s="4"/>
      <c r="AC14" s="4"/>
      <c r="AD14" s="24" t="s">
        <v>114</v>
      </c>
      <c r="AE14" s="25"/>
      <c r="AF14" s="26"/>
      <c r="AG14" s="38">
        <v>131</v>
      </c>
      <c r="AH14" s="39"/>
      <c r="AI14" s="40"/>
      <c r="AJ14" s="4"/>
      <c r="AK14" s="4"/>
      <c r="AL14" s="4"/>
      <c r="AM14" s="4"/>
      <c r="AN14" s="24" t="s">
        <v>19</v>
      </c>
      <c r="AO14" s="25"/>
      <c r="AP14" s="26"/>
      <c r="AQ14" s="38">
        <v>315</v>
      </c>
      <c r="AR14" s="39"/>
      <c r="AS14" s="40"/>
      <c r="AT14" s="4"/>
      <c r="AU14" s="4"/>
      <c r="AV14" s="4"/>
      <c r="AW14" s="4"/>
      <c r="AX14" s="24" t="s">
        <v>19</v>
      </c>
      <c r="AY14" s="25"/>
      <c r="AZ14" s="26"/>
      <c r="BA14" s="27" t="s">
        <v>35</v>
      </c>
      <c r="BB14" s="28"/>
      <c r="BC14" s="29"/>
      <c r="BD14" s="4"/>
      <c r="BE14" s="4"/>
      <c r="BF14" s="4"/>
      <c r="BG14" s="4"/>
      <c r="BH14" s="24" t="s">
        <v>121</v>
      </c>
      <c r="BI14" s="25"/>
      <c r="BJ14" s="26"/>
      <c r="BK14" s="38" t="s">
        <v>110</v>
      </c>
      <c r="BL14" s="39"/>
      <c r="BM14" s="40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DP14" s="123"/>
      <c r="DQ14" s="124"/>
      <c r="DR14" s="124"/>
      <c r="DS14" s="124"/>
      <c r="DT14" s="125"/>
      <c r="DU14" s="126"/>
      <c r="DZ14" s="123"/>
      <c r="EA14" s="124"/>
      <c r="EB14" s="124"/>
      <c r="EC14" s="124"/>
      <c r="ED14" s="125"/>
      <c r="EE14" s="126"/>
    </row>
    <row r="15" spans="2:135" ht="48.75" customHeight="1" x14ac:dyDescent="0.3">
      <c r="B15" s="118"/>
      <c r="C15" s="1"/>
      <c r="D15" s="119"/>
      <c r="E15" s="120" t="s">
        <v>16</v>
      </c>
      <c r="F15" s="120" t="s">
        <v>17</v>
      </c>
      <c r="G15" s="13">
        <f>SUM(N16,X16,AH16,AR16,BB16,BL16)</f>
        <v>855</v>
      </c>
      <c r="H15" s="2"/>
      <c r="I15" s="2"/>
      <c r="J15" s="114" t="s">
        <v>128</v>
      </c>
      <c r="K15" s="115"/>
      <c r="L15" s="115"/>
      <c r="M15" s="115"/>
      <c r="N15" s="116"/>
      <c r="O15" s="117"/>
      <c r="P15" s="4"/>
      <c r="Q15" s="4"/>
      <c r="R15" s="4"/>
      <c r="S15" s="4"/>
      <c r="T15" s="30" t="s">
        <v>126</v>
      </c>
      <c r="U15" s="31"/>
      <c r="V15" s="31"/>
      <c r="W15" s="31"/>
      <c r="X15" s="32"/>
      <c r="Y15" s="33"/>
      <c r="Z15" s="4"/>
      <c r="AA15" s="4"/>
      <c r="AB15" s="4"/>
      <c r="AC15" s="4"/>
      <c r="AD15" s="30" t="s">
        <v>189</v>
      </c>
      <c r="AE15" s="31"/>
      <c r="AF15" s="31"/>
      <c r="AG15" s="31"/>
      <c r="AH15" s="32"/>
      <c r="AI15" s="33"/>
      <c r="AJ15" s="4"/>
      <c r="AK15" s="4"/>
      <c r="AL15" s="4"/>
      <c r="AM15" s="4"/>
      <c r="AN15" s="164" t="s">
        <v>26</v>
      </c>
      <c r="AO15" s="165"/>
      <c r="AP15" s="165"/>
      <c r="AQ15" s="165"/>
      <c r="AR15" s="165"/>
      <c r="AS15" s="166"/>
      <c r="AT15" s="4"/>
      <c r="AU15" s="4"/>
      <c r="AV15" s="4"/>
      <c r="AW15" s="4"/>
      <c r="AX15" s="53" t="s">
        <v>34</v>
      </c>
      <c r="AY15" s="54"/>
      <c r="AZ15" s="54"/>
      <c r="BA15" s="54"/>
      <c r="BB15" s="55"/>
      <c r="BC15" s="56"/>
      <c r="BD15" s="4"/>
      <c r="BE15" s="4"/>
      <c r="BF15" s="4"/>
      <c r="BG15" s="4"/>
      <c r="BH15" s="114" t="s">
        <v>21</v>
      </c>
      <c r="BI15" s="115"/>
      <c r="BJ15" s="115"/>
      <c r="BK15" s="115"/>
      <c r="BL15" s="116"/>
      <c r="BM15" s="117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DP15" s="127"/>
      <c r="DQ15" s="128"/>
      <c r="DR15" s="128"/>
      <c r="DS15" s="128"/>
      <c r="DT15" s="129"/>
      <c r="DU15" s="130"/>
      <c r="DZ15" s="127"/>
      <c r="EA15" s="128"/>
      <c r="EB15" s="128"/>
      <c r="EC15" s="128"/>
      <c r="ED15" s="129"/>
      <c r="EE15" s="130"/>
    </row>
    <row r="16" spans="2:135" x14ac:dyDescent="0.3">
      <c r="B16" s="118"/>
      <c r="C16" s="1"/>
      <c r="D16" s="119"/>
      <c r="E16" s="120"/>
      <c r="F16" s="120"/>
      <c r="G16" s="105"/>
      <c r="H16" s="121"/>
      <c r="I16" s="122"/>
      <c r="J16" s="110">
        <v>2</v>
      </c>
      <c r="K16" s="111"/>
      <c r="L16" s="108">
        <v>2</v>
      </c>
      <c r="M16" s="111"/>
      <c r="N16" s="108">
        <v>90</v>
      </c>
      <c r="O16" s="109"/>
      <c r="P16" s="4"/>
      <c r="Q16" s="4"/>
      <c r="R16" s="4"/>
      <c r="S16" s="4"/>
      <c r="T16" s="34">
        <v>3</v>
      </c>
      <c r="U16" s="35"/>
      <c r="V16" s="36">
        <v>4</v>
      </c>
      <c r="W16" s="35"/>
      <c r="X16" s="36">
        <v>150</v>
      </c>
      <c r="Y16" s="37"/>
      <c r="Z16" s="4"/>
      <c r="AA16" s="4"/>
      <c r="AB16" s="4"/>
      <c r="AC16" s="4"/>
      <c r="AD16" s="34">
        <v>3</v>
      </c>
      <c r="AE16" s="35"/>
      <c r="AF16" s="36">
        <v>5</v>
      </c>
      <c r="AG16" s="35"/>
      <c r="AH16" s="36">
        <v>195</v>
      </c>
      <c r="AI16" s="37"/>
      <c r="AJ16" s="4"/>
      <c r="AK16" s="4"/>
      <c r="AL16" s="4"/>
      <c r="AM16" s="4"/>
      <c r="AN16" s="34">
        <v>3</v>
      </c>
      <c r="AO16" s="35"/>
      <c r="AP16" s="36">
        <v>4</v>
      </c>
      <c r="AQ16" s="35"/>
      <c r="AR16" s="36">
        <v>150</v>
      </c>
      <c r="AS16" s="37"/>
      <c r="AT16" s="4"/>
      <c r="AU16" s="4"/>
      <c r="AV16" s="4"/>
      <c r="AW16" s="4"/>
      <c r="AX16" s="57">
        <v>3</v>
      </c>
      <c r="AY16" s="58"/>
      <c r="AZ16" s="59">
        <v>5</v>
      </c>
      <c r="BA16" s="58"/>
      <c r="BB16" s="59">
        <v>180</v>
      </c>
      <c r="BC16" s="91"/>
      <c r="BD16" s="4"/>
      <c r="BE16" s="4"/>
      <c r="BF16" s="4"/>
      <c r="BG16" s="4"/>
      <c r="BH16" s="110">
        <v>2</v>
      </c>
      <c r="BI16" s="111"/>
      <c r="BJ16" s="108">
        <v>2</v>
      </c>
      <c r="BK16" s="111"/>
      <c r="BL16" s="108">
        <v>90</v>
      </c>
      <c r="BM16" s="109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DP16" s="66"/>
      <c r="DQ16" s="67"/>
      <c r="DR16" s="131"/>
      <c r="DS16" s="67"/>
      <c r="DT16" s="131"/>
      <c r="DU16" s="132"/>
      <c r="DZ16" s="66"/>
      <c r="EA16" s="67"/>
      <c r="EB16" s="131"/>
      <c r="EC16" s="67"/>
      <c r="ED16" s="131"/>
      <c r="EE16" s="132"/>
    </row>
    <row r="17" spans="2:135" ht="15" thickBot="1" x14ac:dyDescent="0.35">
      <c r="B17" s="118"/>
      <c r="C17" s="1"/>
      <c r="D17" s="119"/>
      <c r="E17" s="11">
        <f>SUM(J16,T16,AD16,AN16,AX16,BH16,BR16)</f>
        <v>16</v>
      </c>
      <c r="F17" s="11">
        <f>SUM(J17:BW17)</f>
        <v>22</v>
      </c>
      <c r="G17" s="105"/>
      <c r="H17" s="2"/>
      <c r="I17" s="2"/>
      <c r="J17" s="112">
        <v>2</v>
      </c>
      <c r="K17" s="113"/>
      <c r="L17" s="106">
        <v>0</v>
      </c>
      <c r="M17" s="113"/>
      <c r="N17" s="106">
        <v>0</v>
      </c>
      <c r="O17" s="107"/>
      <c r="P17" s="4"/>
      <c r="Q17" s="4"/>
      <c r="R17" s="4"/>
      <c r="S17" s="4"/>
      <c r="T17" s="20">
        <v>3</v>
      </c>
      <c r="U17" s="21"/>
      <c r="V17" s="22">
        <v>1</v>
      </c>
      <c r="W17" s="21"/>
      <c r="X17" s="22">
        <v>0</v>
      </c>
      <c r="Y17" s="23"/>
      <c r="Z17" s="4"/>
      <c r="AA17" s="4"/>
      <c r="AB17" s="4"/>
      <c r="AC17" s="4"/>
      <c r="AD17" s="20">
        <v>2</v>
      </c>
      <c r="AE17" s="21"/>
      <c r="AF17" s="22">
        <v>2</v>
      </c>
      <c r="AG17" s="21"/>
      <c r="AH17" s="22">
        <v>1</v>
      </c>
      <c r="AI17" s="23"/>
      <c r="AJ17" s="4"/>
      <c r="AK17" s="4"/>
      <c r="AL17" s="4"/>
      <c r="AM17" s="4"/>
      <c r="AN17" s="20">
        <v>2</v>
      </c>
      <c r="AO17" s="21"/>
      <c r="AP17" s="22">
        <v>2</v>
      </c>
      <c r="AQ17" s="21"/>
      <c r="AR17" s="22">
        <v>0</v>
      </c>
      <c r="AS17" s="23"/>
      <c r="AT17" s="4"/>
      <c r="AU17" s="4"/>
      <c r="AV17" s="4"/>
      <c r="AW17" s="4"/>
      <c r="AX17" s="92">
        <v>2</v>
      </c>
      <c r="AY17" s="93"/>
      <c r="AZ17" s="70">
        <v>0</v>
      </c>
      <c r="BA17" s="93"/>
      <c r="BB17" s="70">
        <v>3</v>
      </c>
      <c r="BC17" s="71"/>
      <c r="BD17" s="4"/>
      <c r="BE17" s="4"/>
      <c r="BF17" s="4"/>
      <c r="BG17" s="4"/>
      <c r="BH17" s="112">
        <v>2</v>
      </c>
      <c r="BI17" s="113"/>
      <c r="BJ17" s="106">
        <v>0</v>
      </c>
      <c r="BK17" s="113"/>
      <c r="BL17" s="106">
        <v>0</v>
      </c>
      <c r="BM17" s="107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DP17" s="133"/>
      <c r="DQ17" s="134"/>
      <c r="DR17" s="135"/>
      <c r="DS17" s="134"/>
      <c r="DT17" s="135"/>
      <c r="DU17" s="136"/>
      <c r="DZ17" s="133"/>
      <c r="EA17" s="134"/>
      <c r="EB17" s="135"/>
      <c r="EC17" s="134"/>
      <c r="ED17" s="135"/>
      <c r="EE17" s="136"/>
    </row>
    <row r="18" spans="2:135" ht="10.050000000000001" customHeight="1" x14ac:dyDescent="0.3">
      <c r="B18" s="118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135" ht="10.050000000000001" customHeight="1" x14ac:dyDescent="0.3"/>
    <row r="20" spans="2:135" ht="10.050000000000001" customHeight="1" x14ac:dyDescent="0.3"/>
    <row r="21" spans="2:135" ht="10.050000000000001" customHeight="1" x14ac:dyDescent="0.3"/>
    <row r="22" spans="2:135" ht="10.050000000000001" customHeight="1" x14ac:dyDescent="0.3"/>
    <row r="23" spans="2:135" ht="10.050000000000001" customHeight="1" thickBot="1" x14ac:dyDescent="0.35">
      <c r="B23" s="118" t="s">
        <v>3</v>
      </c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135" ht="14.4" customHeight="1" x14ac:dyDescent="0.3">
      <c r="B24" s="118"/>
      <c r="C24" s="1"/>
      <c r="D24" s="119" t="s">
        <v>5</v>
      </c>
      <c r="E24" s="11"/>
      <c r="F24" s="11"/>
      <c r="G24" s="2"/>
      <c r="H24" s="2"/>
      <c r="I24" s="2"/>
      <c r="J24" s="24" t="s">
        <v>114</v>
      </c>
      <c r="K24" s="25"/>
      <c r="L24" s="26"/>
      <c r="M24" s="38">
        <v>212</v>
      </c>
      <c r="N24" s="39"/>
      <c r="O24" s="40"/>
      <c r="P24" s="4"/>
      <c r="Q24" s="4"/>
      <c r="R24" s="4"/>
      <c r="S24" s="4"/>
      <c r="T24" s="24" t="s">
        <v>19</v>
      </c>
      <c r="U24" s="25"/>
      <c r="V24" s="26"/>
      <c r="W24" s="38">
        <v>131</v>
      </c>
      <c r="X24" s="102"/>
      <c r="Y24" s="103"/>
      <c r="Z24" s="4"/>
      <c r="AA24" s="4"/>
      <c r="AB24" s="4"/>
      <c r="AC24" s="4"/>
      <c r="AD24" s="24" t="s">
        <v>129</v>
      </c>
      <c r="AE24" s="25"/>
      <c r="AF24" s="26"/>
      <c r="AG24" s="38" t="s">
        <v>110</v>
      </c>
      <c r="AH24" s="39"/>
      <c r="AI24" s="40"/>
      <c r="AJ24" s="4"/>
      <c r="AK24" s="4"/>
      <c r="AL24" s="4"/>
      <c r="AM24" s="4"/>
      <c r="AN24" s="24" t="s">
        <v>114</v>
      </c>
      <c r="AO24" s="25"/>
      <c r="AP24" s="26"/>
      <c r="AQ24" s="38">
        <v>231</v>
      </c>
      <c r="AR24" s="39"/>
      <c r="AS24" s="40"/>
      <c r="AT24" s="4"/>
      <c r="AU24" s="4"/>
      <c r="AV24" s="4"/>
      <c r="AW24" s="4"/>
      <c r="AX24" s="24" t="s">
        <v>19</v>
      </c>
      <c r="AY24" s="25"/>
      <c r="AZ24" s="26"/>
      <c r="BA24" s="38">
        <v>111</v>
      </c>
      <c r="BB24" s="102"/>
      <c r="BC24" s="103"/>
      <c r="BD24" s="4"/>
      <c r="BE24" s="4"/>
      <c r="BF24" s="4"/>
      <c r="BG24" s="4"/>
      <c r="BH24" s="24" t="s">
        <v>131</v>
      </c>
      <c r="BI24" s="25"/>
      <c r="BJ24" s="26"/>
      <c r="BK24" s="38" t="s">
        <v>110</v>
      </c>
      <c r="BL24" s="39"/>
      <c r="BM24" s="40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DP24" s="123"/>
      <c r="DQ24" s="124"/>
      <c r="DR24" s="124"/>
      <c r="DS24" s="124"/>
      <c r="DT24" s="125"/>
      <c r="DU24" s="126"/>
      <c r="DZ24" s="123"/>
      <c r="EA24" s="124"/>
      <c r="EB24" s="124"/>
      <c r="EC24" s="124"/>
      <c r="ED24" s="125"/>
      <c r="EE24" s="126"/>
    </row>
    <row r="25" spans="2:135" ht="48.75" customHeight="1" x14ac:dyDescent="0.3">
      <c r="B25" s="118"/>
      <c r="C25" s="1"/>
      <c r="D25" s="119"/>
      <c r="E25" s="120" t="s">
        <v>16</v>
      </c>
      <c r="F25" s="120" t="s">
        <v>17</v>
      </c>
      <c r="G25" s="13">
        <f>SUM(N26,AR26,BB26,X26,AH26,BL26)</f>
        <v>900</v>
      </c>
      <c r="H25" s="2"/>
      <c r="I25" s="2"/>
      <c r="J25" s="30" t="s">
        <v>182</v>
      </c>
      <c r="K25" s="31"/>
      <c r="L25" s="31"/>
      <c r="M25" s="31"/>
      <c r="N25" s="32"/>
      <c r="O25" s="33"/>
      <c r="P25" s="4"/>
      <c r="Q25" s="4"/>
      <c r="R25" s="4"/>
      <c r="S25" s="4"/>
      <c r="T25" s="53" t="s">
        <v>37</v>
      </c>
      <c r="U25" s="54"/>
      <c r="V25" s="54"/>
      <c r="W25" s="54"/>
      <c r="X25" s="55"/>
      <c r="Y25" s="56"/>
      <c r="Z25" s="4"/>
      <c r="AA25" s="4"/>
      <c r="AB25" s="4"/>
      <c r="AC25" s="4"/>
      <c r="AD25" s="114" t="s">
        <v>130</v>
      </c>
      <c r="AE25" s="115"/>
      <c r="AF25" s="115"/>
      <c r="AG25" s="115"/>
      <c r="AH25" s="116"/>
      <c r="AI25" s="117"/>
      <c r="AJ25" s="4"/>
      <c r="AK25" s="4"/>
      <c r="AL25" s="4"/>
      <c r="AM25" s="4"/>
      <c r="AN25" s="30" t="s">
        <v>199</v>
      </c>
      <c r="AO25" s="31"/>
      <c r="AP25" s="31"/>
      <c r="AQ25" s="31"/>
      <c r="AR25" s="32"/>
      <c r="AS25" s="33"/>
      <c r="AT25" s="4"/>
      <c r="AU25" s="4"/>
      <c r="AV25" s="4"/>
      <c r="AW25" s="4"/>
      <c r="AX25" s="53" t="s">
        <v>36</v>
      </c>
      <c r="AY25" s="54"/>
      <c r="AZ25" s="54"/>
      <c r="BA25" s="54"/>
      <c r="BB25" s="55"/>
      <c r="BC25" s="56"/>
      <c r="BD25" s="4"/>
      <c r="BE25" s="4"/>
      <c r="BF25" s="4"/>
      <c r="BG25" s="4"/>
      <c r="BH25" s="114" t="s">
        <v>20</v>
      </c>
      <c r="BI25" s="115"/>
      <c r="BJ25" s="115"/>
      <c r="BK25" s="115"/>
      <c r="BL25" s="116"/>
      <c r="BM25" s="117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DP25" s="127"/>
      <c r="DQ25" s="128"/>
      <c r="DR25" s="128"/>
      <c r="DS25" s="128"/>
      <c r="DT25" s="129"/>
      <c r="DU25" s="130"/>
      <c r="DZ25" s="127"/>
      <c r="EA25" s="128"/>
      <c r="EB25" s="128"/>
      <c r="EC25" s="128"/>
      <c r="ED25" s="129"/>
      <c r="EE25" s="130"/>
    </row>
    <row r="26" spans="2:135" x14ac:dyDescent="0.3">
      <c r="B26" s="118"/>
      <c r="C26" s="1"/>
      <c r="D26" s="119"/>
      <c r="E26" s="120"/>
      <c r="F26" s="120"/>
      <c r="G26" s="105"/>
      <c r="H26" s="121"/>
      <c r="I26" s="122"/>
      <c r="J26" s="34">
        <v>3</v>
      </c>
      <c r="K26" s="35"/>
      <c r="L26" s="36">
        <v>4</v>
      </c>
      <c r="M26" s="35"/>
      <c r="N26" s="36">
        <v>150</v>
      </c>
      <c r="O26" s="37"/>
      <c r="P26" s="4"/>
      <c r="Q26" s="4"/>
      <c r="R26" s="4"/>
      <c r="S26" s="4"/>
      <c r="T26" s="57">
        <v>3</v>
      </c>
      <c r="U26" s="58"/>
      <c r="V26" s="59">
        <v>6</v>
      </c>
      <c r="W26" s="58"/>
      <c r="X26" s="59">
        <v>195</v>
      </c>
      <c r="Y26" s="91"/>
      <c r="Z26" s="4"/>
      <c r="AA26" s="4"/>
      <c r="AB26" s="4"/>
      <c r="AC26" s="4"/>
      <c r="AD26" s="110">
        <v>2</v>
      </c>
      <c r="AE26" s="111"/>
      <c r="AF26" s="108">
        <v>2</v>
      </c>
      <c r="AG26" s="111"/>
      <c r="AH26" s="108">
        <v>90</v>
      </c>
      <c r="AI26" s="109"/>
      <c r="AJ26" s="4"/>
      <c r="AK26" s="4"/>
      <c r="AL26" s="4"/>
      <c r="AM26" s="4"/>
      <c r="AN26" s="34">
        <v>3</v>
      </c>
      <c r="AO26" s="35"/>
      <c r="AP26" s="36">
        <v>5</v>
      </c>
      <c r="AQ26" s="35"/>
      <c r="AR26" s="36">
        <v>195</v>
      </c>
      <c r="AS26" s="37"/>
      <c r="AT26" s="4"/>
      <c r="AU26" s="4"/>
      <c r="AV26" s="4"/>
      <c r="AW26" s="4"/>
      <c r="AX26" s="57">
        <v>3</v>
      </c>
      <c r="AY26" s="58"/>
      <c r="AZ26" s="59">
        <v>5</v>
      </c>
      <c r="BA26" s="58"/>
      <c r="BB26" s="59">
        <v>180</v>
      </c>
      <c r="BC26" s="91"/>
      <c r="BD26" s="4"/>
      <c r="BE26" s="4"/>
      <c r="BF26" s="4"/>
      <c r="BG26" s="4"/>
      <c r="BH26" s="110">
        <v>2</v>
      </c>
      <c r="BI26" s="111"/>
      <c r="BJ26" s="108">
        <v>2</v>
      </c>
      <c r="BK26" s="111"/>
      <c r="BL26" s="108">
        <v>90</v>
      </c>
      <c r="BM26" s="109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DP26" s="66"/>
      <c r="DQ26" s="67"/>
      <c r="DR26" s="131"/>
      <c r="DS26" s="67"/>
      <c r="DT26" s="131"/>
      <c r="DU26" s="132"/>
      <c r="DZ26" s="66"/>
      <c r="EA26" s="67"/>
      <c r="EB26" s="131"/>
      <c r="EC26" s="67"/>
      <c r="ED26" s="131"/>
      <c r="EE26" s="132"/>
    </row>
    <row r="27" spans="2:135" ht="22.35" customHeight="1" thickBot="1" x14ac:dyDescent="0.35">
      <c r="B27" s="118"/>
      <c r="C27" s="1"/>
      <c r="D27" s="119"/>
      <c r="E27" s="11">
        <f>SUM(J26,,AN26,AX26,T26,AD26,BH26)</f>
        <v>16</v>
      </c>
      <c r="F27" s="11">
        <f>SUM(J27:BQ27)</f>
        <v>24</v>
      </c>
      <c r="G27" s="105"/>
      <c r="H27" s="2"/>
      <c r="I27" s="2"/>
      <c r="J27" s="20">
        <v>2</v>
      </c>
      <c r="K27" s="21"/>
      <c r="L27" s="22">
        <v>0</v>
      </c>
      <c r="M27" s="21"/>
      <c r="N27" s="22">
        <v>2</v>
      </c>
      <c r="O27" s="23"/>
      <c r="P27" s="4"/>
      <c r="Q27" s="4"/>
      <c r="R27" s="4"/>
      <c r="S27" s="4"/>
      <c r="T27" s="92">
        <v>2</v>
      </c>
      <c r="U27" s="93"/>
      <c r="V27" s="70">
        <v>2</v>
      </c>
      <c r="W27" s="93"/>
      <c r="X27" s="70">
        <v>2</v>
      </c>
      <c r="Y27" s="71"/>
      <c r="Z27" s="4"/>
      <c r="AA27" s="4"/>
      <c r="AB27" s="4"/>
      <c r="AC27" s="4"/>
      <c r="AD27" s="112">
        <v>2</v>
      </c>
      <c r="AE27" s="113"/>
      <c r="AF27" s="106">
        <v>0</v>
      </c>
      <c r="AG27" s="113"/>
      <c r="AH27" s="106">
        <v>0</v>
      </c>
      <c r="AI27" s="107"/>
      <c r="AJ27" s="4"/>
      <c r="AK27" s="4"/>
      <c r="AL27" s="4"/>
      <c r="AM27" s="4"/>
      <c r="AN27" s="20">
        <v>2</v>
      </c>
      <c r="AO27" s="21"/>
      <c r="AP27" s="22">
        <v>1</v>
      </c>
      <c r="AQ27" s="21"/>
      <c r="AR27" s="22">
        <v>2</v>
      </c>
      <c r="AS27" s="23"/>
      <c r="AT27" s="4"/>
      <c r="AU27" s="4"/>
      <c r="AV27" s="4"/>
      <c r="AW27" s="4"/>
      <c r="AX27" s="92">
        <v>2</v>
      </c>
      <c r="AY27" s="93"/>
      <c r="AZ27" s="70">
        <v>0</v>
      </c>
      <c r="BA27" s="93"/>
      <c r="BB27" s="70">
        <v>3</v>
      </c>
      <c r="BC27" s="71"/>
      <c r="BD27" s="4"/>
      <c r="BE27" s="4"/>
      <c r="BF27" s="4"/>
      <c r="BG27" s="4"/>
      <c r="BH27" s="112">
        <v>2</v>
      </c>
      <c r="BI27" s="113"/>
      <c r="BJ27" s="106">
        <v>0</v>
      </c>
      <c r="BK27" s="113"/>
      <c r="BL27" s="106">
        <v>0</v>
      </c>
      <c r="BM27" s="107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DP27" s="133"/>
      <c r="DQ27" s="134"/>
      <c r="DR27" s="135"/>
      <c r="DS27" s="134"/>
      <c r="DT27" s="135"/>
      <c r="DU27" s="136"/>
      <c r="DZ27" s="133"/>
      <c r="EA27" s="134"/>
      <c r="EB27" s="135"/>
      <c r="EC27" s="134"/>
      <c r="ED27" s="135"/>
      <c r="EE27" s="136"/>
    </row>
    <row r="28" spans="2:135" ht="10.050000000000001" customHeight="1" x14ac:dyDescent="0.3">
      <c r="B28" s="118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135" ht="10.050000000000001" customHeight="1" x14ac:dyDescent="0.3">
      <c r="B29" s="118"/>
      <c r="C29" s="3"/>
    </row>
    <row r="30" spans="2:135" ht="10.050000000000001" customHeight="1" x14ac:dyDescent="0.3">
      <c r="B30" s="118"/>
      <c r="C30" s="3"/>
    </row>
    <row r="31" spans="2:135" ht="10.050000000000001" customHeight="1" thickBot="1" x14ac:dyDescent="0.35">
      <c r="B31" s="118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135" x14ac:dyDescent="0.3">
      <c r="B32" s="118"/>
      <c r="C32" s="1"/>
      <c r="D32" s="119" t="s">
        <v>6</v>
      </c>
      <c r="E32" s="11"/>
      <c r="F32" s="11"/>
      <c r="G32" s="2"/>
      <c r="H32" s="2"/>
      <c r="I32" s="2"/>
      <c r="J32" s="24" t="s">
        <v>19</v>
      </c>
      <c r="K32" s="25"/>
      <c r="L32" s="26"/>
      <c r="M32" s="38">
        <v>132</v>
      </c>
      <c r="N32" s="39"/>
      <c r="O32" s="40"/>
      <c r="P32" s="4"/>
      <c r="Q32" s="4"/>
      <c r="R32" s="4"/>
      <c r="S32" s="4"/>
      <c r="T32" s="24" t="s">
        <v>19</v>
      </c>
      <c r="U32" s="25"/>
      <c r="V32" s="26"/>
      <c r="W32" s="38">
        <v>192</v>
      </c>
      <c r="X32" s="39"/>
      <c r="Y32" s="40"/>
      <c r="Z32" s="4"/>
      <c r="AA32" s="4"/>
      <c r="AB32" s="4"/>
      <c r="AC32" s="4"/>
      <c r="AD32" s="24" t="s">
        <v>114</v>
      </c>
      <c r="AE32" s="25"/>
      <c r="AF32" s="26"/>
      <c r="AG32" s="38">
        <v>315</v>
      </c>
      <c r="AH32" s="39"/>
      <c r="AI32" s="40"/>
      <c r="AJ32" s="4"/>
      <c r="AK32" s="4"/>
      <c r="AL32" s="4"/>
      <c r="AM32" s="4"/>
      <c r="AN32" s="24" t="s">
        <v>19</v>
      </c>
      <c r="AO32" s="25"/>
      <c r="AP32" s="26"/>
      <c r="AQ32" s="38">
        <v>221</v>
      </c>
      <c r="AR32" s="102"/>
      <c r="AS32" s="103"/>
      <c r="AT32" s="4"/>
      <c r="AU32" s="4"/>
      <c r="AV32" s="4"/>
      <c r="AW32" s="4"/>
      <c r="AX32" s="24" t="s">
        <v>19</v>
      </c>
      <c r="AY32" s="25"/>
      <c r="AZ32" s="26"/>
      <c r="BA32" s="38">
        <v>211</v>
      </c>
      <c r="BB32" s="102"/>
      <c r="BC32" s="103"/>
      <c r="BD32" s="4"/>
      <c r="BE32" s="4"/>
      <c r="BF32" s="4"/>
      <c r="BG32" s="4"/>
      <c r="BH32" s="24" t="s">
        <v>19</v>
      </c>
      <c r="BI32" s="25"/>
      <c r="BJ32" s="26"/>
      <c r="BK32" s="38">
        <v>241</v>
      </c>
      <c r="BL32" s="102"/>
      <c r="BM32" s="103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DP32" s="123"/>
      <c r="DQ32" s="124"/>
      <c r="DR32" s="124"/>
      <c r="DS32" s="124"/>
      <c r="DT32" s="125"/>
      <c r="DU32" s="126"/>
      <c r="DZ32" s="123"/>
      <c r="EA32" s="124"/>
      <c r="EB32" s="124"/>
      <c r="EC32" s="124"/>
      <c r="ED32" s="125"/>
      <c r="EE32" s="126"/>
    </row>
    <row r="33" spans="2:135" ht="48.75" customHeight="1" x14ac:dyDescent="0.3">
      <c r="B33" s="118"/>
      <c r="C33" s="1"/>
      <c r="D33" s="119"/>
      <c r="E33" s="120" t="s">
        <v>16</v>
      </c>
      <c r="F33" s="120" t="s">
        <v>17</v>
      </c>
      <c r="G33" s="13">
        <f>SUM(N34,X34,AH34,AR34,BB34,BL34)</f>
        <v>870</v>
      </c>
      <c r="H33" s="2"/>
      <c r="I33" s="2"/>
      <c r="J33" s="53" t="s">
        <v>198</v>
      </c>
      <c r="K33" s="54"/>
      <c r="L33" s="54"/>
      <c r="M33" s="54"/>
      <c r="N33" s="55"/>
      <c r="O33" s="56"/>
      <c r="P33" s="4"/>
      <c r="Q33" s="4"/>
      <c r="R33" s="4"/>
      <c r="S33" s="4"/>
      <c r="T33" s="41" t="s">
        <v>260</v>
      </c>
      <c r="U33" s="42"/>
      <c r="V33" s="42"/>
      <c r="W33" s="42"/>
      <c r="X33" s="43"/>
      <c r="Y33" s="44"/>
      <c r="Z33" s="4"/>
      <c r="AA33" s="4"/>
      <c r="AB33" s="4"/>
      <c r="AC33" s="4"/>
      <c r="AD33" s="30" t="s">
        <v>259</v>
      </c>
      <c r="AE33" s="31"/>
      <c r="AF33" s="31"/>
      <c r="AG33" s="31"/>
      <c r="AH33" s="32"/>
      <c r="AI33" s="33"/>
      <c r="AJ33" s="4"/>
      <c r="AK33" s="4"/>
      <c r="AL33" s="4"/>
      <c r="AM33" s="4"/>
      <c r="AN33" s="53" t="s">
        <v>43</v>
      </c>
      <c r="AO33" s="54"/>
      <c r="AP33" s="54"/>
      <c r="AQ33" s="54"/>
      <c r="AR33" s="55"/>
      <c r="AS33" s="56"/>
      <c r="AT33" s="4"/>
      <c r="AU33" s="4"/>
      <c r="AV33" s="4"/>
      <c r="AW33" s="4"/>
      <c r="AX33" s="94" t="s">
        <v>201</v>
      </c>
      <c r="AY33" s="95"/>
      <c r="AZ33" s="95"/>
      <c r="BA33" s="95"/>
      <c r="BB33" s="96"/>
      <c r="BC33" s="97"/>
      <c r="BD33" s="4"/>
      <c r="BE33" s="4"/>
      <c r="BF33" s="4"/>
      <c r="BG33" s="4"/>
      <c r="BH33" s="94" t="s">
        <v>214</v>
      </c>
      <c r="BI33" s="95"/>
      <c r="BJ33" s="95"/>
      <c r="BK33" s="95"/>
      <c r="BL33" s="96"/>
      <c r="BM33" s="97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DP33" s="127"/>
      <c r="DQ33" s="128"/>
      <c r="DR33" s="128"/>
      <c r="DS33" s="128"/>
      <c r="DT33" s="129"/>
      <c r="DU33" s="130"/>
      <c r="DZ33" s="127"/>
      <c r="EA33" s="128"/>
      <c r="EB33" s="128"/>
      <c r="EC33" s="128"/>
      <c r="ED33" s="129"/>
      <c r="EE33" s="130"/>
    </row>
    <row r="34" spans="2:135" x14ac:dyDescent="0.3">
      <c r="B34" s="118"/>
      <c r="C34" s="1"/>
      <c r="D34" s="119"/>
      <c r="E34" s="120"/>
      <c r="F34" s="120"/>
      <c r="G34" s="105"/>
      <c r="H34" s="121"/>
      <c r="I34" s="122"/>
      <c r="J34" s="57">
        <v>3</v>
      </c>
      <c r="K34" s="58"/>
      <c r="L34" s="59">
        <v>5</v>
      </c>
      <c r="M34" s="58"/>
      <c r="N34" s="59">
        <v>165</v>
      </c>
      <c r="O34" s="91"/>
      <c r="P34" s="4"/>
      <c r="Q34" s="4"/>
      <c r="R34" s="4"/>
      <c r="S34" s="4"/>
      <c r="T34" s="45">
        <v>2</v>
      </c>
      <c r="U34" s="46"/>
      <c r="V34" s="47">
        <v>2</v>
      </c>
      <c r="W34" s="46"/>
      <c r="X34" s="47">
        <v>60</v>
      </c>
      <c r="Y34" s="48"/>
      <c r="Z34" s="4"/>
      <c r="AA34" s="4"/>
      <c r="AB34" s="4"/>
      <c r="AC34" s="4"/>
      <c r="AD34" s="34">
        <v>3</v>
      </c>
      <c r="AE34" s="35"/>
      <c r="AF34" s="36">
        <v>4</v>
      </c>
      <c r="AG34" s="35"/>
      <c r="AH34" s="36">
        <v>150</v>
      </c>
      <c r="AI34" s="37"/>
      <c r="AJ34" s="4"/>
      <c r="AK34" s="4"/>
      <c r="AL34" s="4"/>
      <c r="AM34" s="4"/>
      <c r="AN34" s="57">
        <v>3</v>
      </c>
      <c r="AO34" s="58"/>
      <c r="AP34" s="59">
        <v>5</v>
      </c>
      <c r="AQ34" s="58"/>
      <c r="AR34" s="59">
        <v>180</v>
      </c>
      <c r="AS34" s="91"/>
      <c r="AT34" s="4"/>
      <c r="AU34" s="4"/>
      <c r="AV34" s="4"/>
      <c r="AW34" s="4"/>
      <c r="AX34" s="98">
        <v>3</v>
      </c>
      <c r="AY34" s="99"/>
      <c r="AZ34" s="100">
        <v>5</v>
      </c>
      <c r="BA34" s="99"/>
      <c r="BB34" s="100">
        <v>165</v>
      </c>
      <c r="BC34" s="101"/>
      <c r="BD34" s="4"/>
      <c r="BE34" s="4"/>
      <c r="BF34" s="4"/>
      <c r="BG34" s="4"/>
      <c r="BH34" s="98">
        <v>3</v>
      </c>
      <c r="BI34" s="99"/>
      <c r="BJ34" s="100">
        <v>5</v>
      </c>
      <c r="BK34" s="99"/>
      <c r="BL34" s="100">
        <v>150</v>
      </c>
      <c r="BM34" s="101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DP34" s="66"/>
      <c r="DQ34" s="67"/>
      <c r="DR34" s="131"/>
      <c r="DS34" s="67"/>
      <c r="DT34" s="131"/>
      <c r="DU34" s="132"/>
      <c r="DZ34" s="66"/>
      <c r="EA34" s="67"/>
      <c r="EB34" s="131"/>
      <c r="EC34" s="67"/>
      <c r="ED34" s="131"/>
      <c r="EE34" s="132"/>
    </row>
    <row r="35" spans="2:135" ht="15" thickBot="1" x14ac:dyDescent="0.35">
      <c r="B35" s="118"/>
      <c r="C35" s="1"/>
      <c r="D35" s="119"/>
      <c r="E35" s="11">
        <f>SUM(J34,T34,AD34,AN34,AX34,BH34,BR3)</f>
        <v>17</v>
      </c>
      <c r="F35" s="11">
        <f>L34+V34+AF34+AP34+AZ34+BJ34</f>
        <v>26</v>
      </c>
      <c r="G35" s="105"/>
      <c r="H35" s="2"/>
      <c r="I35" s="2"/>
      <c r="J35" s="92">
        <v>2</v>
      </c>
      <c r="K35" s="93"/>
      <c r="L35" s="70">
        <v>1</v>
      </c>
      <c r="M35" s="93"/>
      <c r="N35" s="70">
        <v>2</v>
      </c>
      <c r="O35" s="71"/>
      <c r="P35" s="4"/>
      <c r="Q35" s="4"/>
      <c r="R35" s="4"/>
      <c r="S35" s="4"/>
      <c r="T35" s="49">
        <v>2</v>
      </c>
      <c r="U35" s="50"/>
      <c r="V35" s="51">
        <v>0</v>
      </c>
      <c r="W35" s="50"/>
      <c r="X35" s="51">
        <v>0</v>
      </c>
      <c r="Y35" s="52"/>
      <c r="Z35" s="4"/>
      <c r="AA35" s="4"/>
      <c r="AB35" s="4"/>
      <c r="AC35" s="4"/>
      <c r="AD35" s="20">
        <v>2</v>
      </c>
      <c r="AE35" s="21"/>
      <c r="AF35" s="22">
        <v>2</v>
      </c>
      <c r="AG35" s="21"/>
      <c r="AH35" s="22">
        <v>0</v>
      </c>
      <c r="AI35" s="23"/>
      <c r="AJ35" s="4"/>
      <c r="AK35" s="4"/>
      <c r="AL35" s="4"/>
      <c r="AM35" s="4"/>
      <c r="AN35" s="92">
        <v>2</v>
      </c>
      <c r="AO35" s="93"/>
      <c r="AP35" s="70">
        <v>1</v>
      </c>
      <c r="AQ35" s="93"/>
      <c r="AR35" s="70">
        <v>2</v>
      </c>
      <c r="AS35" s="71"/>
      <c r="AT35" s="4"/>
      <c r="AU35" s="4"/>
      <c r="AV35" s="4"/>
      <c r="AW35" s="4"/>
      <c r="AX35" s="72">
        <v>2</v>
      </c>
      <c r="AY35" s="73"/>
      <c r="AZ35" s="68">
        <v>1</v>
      </c>
      <c r="BA35" s="73"/>
      <c r="BB35" s="68">
        <v>2</v>
      </c>
      <c r="BC35" s="69"/>
      <c r="BD35" s="4"/>
      <c r="BE35" s="4"/>
      <c r="BF35" s="4"/>
      <c r="BG35" s="4"/>
      <c r="BH35" s="72">
        <v>2</v>
      </c>
      <c r="BI35" s="73"/>
      <c r="BJ35" s="68">
        <v>1</v>
      </c>
      <c r="BK35" s="73"/>
      <c r="BL35" s="68">
        <v>2</v>
      </c>
      <c r="BM35" s="69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DP35" s="133"/>
      <c r="DQ35" s="134"/>
      <c r="DR35" s="135"/>
      <c r="DS35" s="134"/>
      <c r="DT35" s="135"/>
      <c r="DU35" s="136"/>
      <c r="DZ35" s="133"/>
      <c r="EA35" s="134"/>
      <c r="EB35" s="135"/>
      <c r="EC35" s="134"/>
      <c r="ED35" s="135"/>
      <c r="EE35" s="136"/>
    </row>
    <row r="36" spans="2:135" ht="10.050000000000001" customHeight="1" x14ac:dyDescent="0.3">
      <c r="B36" s="118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2:135" ht="10.050000000000001" customHeight="1" x14ac:dyDescent="0.3"/>
    <row r="38" spans="2:135" ht="10.050000000000001" customHeight="1" x14ac:dyDescent="0.3"/>
    <row r="39" spans="2:135" ht="10.050000000000001" customHeight="1" x14ac:dyDescent="0.3"/>
    <row r="40" spans="2:135" ht="10.050000000000001" customHeight="1" x14ac:dyDescent="0.3"/>
    <row r="41" spans="2:135" ht="10.050000000000001" customHeight="1" thickBot="1" x14ac:dyDescent="0.35">
      <c r="B41" s="118" t="s">
        <v>2</v>
      </c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2:135" x14ac:dyDescent="0.3">
      <c r="B42" s="118"/>
      <c r="C42" s="1"/>
      <c r="D42" s="119" t="s">
        <v>5</v>
      </c>
      <c r="E42" s="11"/>
      <c r="F42" s="11"/>
      <c r="G42" s="2"/>
      <c r="H42" s="2"/>
      <c r="I42" s="2"/>
      <c r="J42" s="24" t="s">
        <v>133</v>
      </c>
      <c r="K42" s="25"/>
      <c r="L42" s="26"/>
      <c r="M42" s="38" t="s">
        <v>110</v>
      </c>
      <c r="N42" s="39"/>
      <c r="O42" s="40"/>
      <c r="P42" s="4"/>
      <c r="Q42" s="4"/>
      <c r="R42" s="4"/>
      <c r="S42" s="4"/>
      <c r="T42" s="24" t="s">
        <v>19</v>
      </c>
      <c r="U42" s="25"/>
      <c r="V42" s="26"/>
      <c r="W42" s="38">
        <v>232</v>
      </c>
      <c r="X42" s="102"/>
      <c r="Y42" s="103"/>
      <c r="Z42" s="4"/>
      <c r="AA42" s="4"/>
      <c r="AB42" s="4"/>
      <c r="AC42" s="4"/>
      <c r="AD42" s="24" t="s">
        <v>19</v>
      </c>
      <c r="AE42" s="25"/>
      <c r="AF42" s="26"/>
      <c r="AG42" s="38">
        <v>262</v>
      </c>
      <c r="AH42" s="102"/>
      <c r="AI42" s="103"/>
      <c r="AJ42" s="4"/>
      <c r="AK42" s="4"/>
      <c r="AL42" s="4"/>
      <c r="AM42" s="4"/>
      <c r="AN42" s="24" t="s">
        <v>257</v>
      </c>
      <c r="AO42" s="25"/>
      <c r="AP42" s="26"/>
      <c r="AQ42" s="38">
        <v>356</v>
      </c>
      <c r="AR42" s="102"/>
      <c r="AS42" s="103"/>
      <c r="AT42" s="4"/>
      <c r="AU42" s="4"/>
      <c r="AV42" s="4"/>
      <c r="AW42" s="4"/>
      <c r="AX42" s="24" t="s">
        <v>48</v>
      </c>
      <c r="AY42" s="25"/>
      <c r="AZ42" s="26"/>
      <c r="BA42" s="38">
        <v>122</v>
      </c>
      <c r="BB42" s="102"/>
      <c r="BC42" s="103"/>
      <c r="BD42" s="4"/>
      <c r="BE42" s="4"/>
      <c r="BF42" s="4"/>
      <c r="BG42" s="4"/>
      <c r="BH42" s="24" t="s">
        <v>19</v>
      </c>
      <c r="BI42" s="25"/>
      <c r="BJ42" s="26"/>
      <c r="BK42" s="38">
        <v>251</v>
      </c>
      <c r="BL42" s="102"/>
      <c r="BM42" s="103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DP42" s="123"/>
      <c r="DQ42" s="124"/>
      <c r="DR42" s="124"/>
      <c r="DS42" s="124"/>
      <c r="DT42" s="125"/>
      <c r="DU42" s="126"/>
      <c r="DZ42" s="123"/>
      <c r="EA42" s="124"/>
      <c r="EB42" s="124"/>
      <c r="EC42" s="124"/>
      <c r="ED42" s="125"/>
      <c r="EE42" s="126"/>
    </row>
    <row r="43" spans="2:135" ht="48.75" customHeight="1" x14ac:dyDescent="0.3">
      <c r="B43" s="118"/>
      <c r="C43" s="1"/>
      <c r="D43" s="119"/>
      <c r="E43" s="120" t="s">
        <v>16</v>
      </c>
      <c r="F43" s="120" t="s">
        <v>17</v>
      </c>
      <c r="G43" s="13">
        <f>SUM(N44,X44,AH44,AR44,BB44,BL44)</f>
        <v>945</v>
      </c>
      <c r="H43" s="2"/>
      <c r="I43" s="2"/>
      <c r="J43" s="114" t="s">
        <v>132</v>
      </c>
      <c r="K43" s="115"/>
      <c r="L43" s="115"/>
      <c r="M43" s="115"/>
      <c r="N43" s="116"/>
      <c r="O43" s="117"/>
      <c r="P43" s="4"/>
      <c r="Q43" s="4"/>
      <c r="R43" s="4"/>
      <c r="S43" s="4"/>
      <c r="T43" s="53" t="s">
        <v>262</v>
      </c>
      <c r="U43" s="54"/>
      <c r="V43" s="54"/>
      <c r="W43" s="54"/>
      <c r="X43" s="55"/>
      <c r="Y43" s="56"/>
      <c r="Z43" s="4"/>
      <c r="AA43" s="4"/>
      <c r="AB43" s="4"/>
      <c r="AC43" s="4"/>
      <c r="AD43" s="182" t="s">
        <v>263</v>
      </c>
      <c r="AE43" s="183"/>
      <c r="AF43" s="183"/>
      <c r="AG43" s="183"/>
      <c r="AH43" s="184"/>
      <c r="AI43" s="185"/>
      <c r="AJ43" s="4"/>
      <c r="AK43" s="4"/>
      <c r="AL43" s="4"/>
      <c r="AM43" s="4"/>
      <c r="AN43" s="94" t="s">
        <v>261</v>
      </c>
      <c r="AO43" s="95"/>
      <c r="AP43" s="95"/>
      <c r="AQ43" s="95"/>
      <c r="AR43" s="96"/>
      <c r="AS43" s="97"/>
      <c r="AT43" s="4"/>
      <c r="AU43" s="4"/>
      <c r="AV43" s="4"/>
      <c r="AW43" s="4"/>
      <c r="AX43" s="146" t="s">
        <v>264</v>
      </c>
      <c r="AY43" s="147"/>
      <c r="AZ43" s="147"/>
      <c r="BA43" s="147"/>
      <c r="BB43" s="148"/>
      <c r="BC43" s="149"/>
      <c r="BD43" s="4"/>
      <c r="BE43" s="4"/>
      <c r="BF43" s="4"/>
      <c r="BG43" s="4"/>
      <c r="BH43" s="53" t="s">
        <v>237</v>
      </c>
      <c r="BI43" s="54"/>
      <c r="BJ43" s="54"/>
      <c r="BK43" s="54"/>
      <c r="BL43" s="55"/>
      <c r="BM43" s="56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DP43" s="127"/>
      <c r="DQ43" s="128"/>
      <c r="DR43" s="128"/>
      <c r="DS43" s="128"/>
      <c r="DT43" s="129"/>
      <c r="DU43" s="130"/>
      <c r="DZ43" s="127"/>
      <c r="EA43" s="128"/>
      <c r="EB43" s="128"/>
      <c r="EC43" s="128"/>
      <c r="ED43" s="129"/>
      <c r="EE43" s="130"/>
    </row>
    <row r="44" spans="2:135" ht="14.55" customHeight="1" x14ac:dyDescent="0.3">
      <c r="B44" s="118"/>
      <c r="C44" s="1"/>
      <c r="D44" s="119"/>
      <c r="E44" s="120"/>
      <c r="F44" s="120"/>
      <c r="G44" s="105"/>
      <c r="H44" s="121"/>
      <c r="I44" s="122"/>
      <c r="J44" s="110">
        <v>2</v>
      </c>
      <c r="K44" s="111"/>
      <c r="L44" s="108">
        <v>2</v>
      </c>
      <c r="M44" s="111"/>
      <c r="N44" s="108">
        <v>90</v>
      </c>
      <c r="O44" s="109"/>
      <c r="P44" s="4"/>
      <c r="Q44" s="4"/>
      <c r="R44" s="4"/>
      <c r="S44" s="4"/>
      <c r="T44" s="57">
        <v>3</v>
      </c>
      <c r="U44" s="58"/>
      <c r="V44" s="59">
        <v>5</v>
      </c>
      <c r="W44" s="58"/>
      <c r="X44" s="59">
        <v>180</v>
      </c>
      <c r="Y44" s="91"/>
      <c r="Z44" s="4"/>
      <c r="AA44" s="4"/>
      <c r="AB44" s="4"/>
      <c r="AC44" s="4"/>
      <c r="AD44" s="57">
        <v>3</v>
      </c>
      <c r="AE44" s="58"/>
      <c r="AF44" s="59">
        <v>5</v>
      </c>
      <c r="AG44" s="58"/>
      <c r="AH44" s="59">
        <v>180</v>
      </c>
      <c r="AI44" s="91"/>
      <c r="AJ44" s="4"/>
      <c r="AK44" s="4"/>
      <c r="AL44" s="4"/>
      <c r="AM44" s="4"/>
      <c r="AN44" s="98">
        <v>3</v>
      </c>
      <c r="AO44" s="99"/>
      <c r="AP44" s="100">
        <v>3</v>
      </c>
      <c r="AQ44" s="99"/>
      <c r="AR44" s="100">
        <v>135</v>
      </c>
      <c r="AS44" s="101"/>
      <c r="AT44" s="4"/>
      <c r="AU44" s="4"/>
      <c r="AV44" s="4"/>
      <c r="AW44" s="4"/>
      <c r="AX44" s="138">
        <v>3</v>
      </c>
      <c r="AY44" s="139"/>
      <c r="AZ44" s="140">
        <v>5</v>
      </c>
      <c r="BA44" s="139"/>
      <c r="BB44" s="140">
        <v>180</v>
      </c>
      <c r="BC44" s="141"/>
      <c r="BD44" s="4"/>
      <c r="BE44" s="4"/>
      <c r="BF44" s="4"/>
      <c r="BG44" s="4"/>
      <c r="BH44" s="57">
        <v>3</v>
      </c>
      <c r="BI44" s="58"/>
      <c r="BJ44" s="59">
        <v>5</v>
      </c>
      <c r="BK44" s="58"/>
      <c r="BL44" s="59">
        <v>180</v>
      </c>
      <c r="BM44" s="91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DP44" s="66"/>
      <c r="DQ44" s="67"/>
      <c r="DR44" s="131"/>
      <c r="DS44" s="67"/>
      <c r="DT44" s="131"/>
      <c r="DU44" s="132"/>
      <c r="DZ44" s="66"/>
      <c r="EA44" s="67"/>
      <c r="EB44" s="131"/>
      <c r="EC44" s="67"/>
      <c r="ED44" s="131"/>
      <c r="EE44" s="132"/>
    </row>
    <row r="45" spans="2:135" ht="15" thickBot="1" x14ac:dyDescent="0.35">
      <c r="B45" s="118"/>
      <c r="C45" s="1"/>
      <c r="D45" s="119"/>
      <c r="E45" s="11">
        <f>SUM(J44,T44,AD44,AN44,AX44,BH44)</f>
        <v>17</v>
      </c>
      <c r="F45" s="11">
        <f>SUM(J45:BM45)</f>
        <v>25</v>
      </c>
      <c r="G45" s="105"/>
      <c r="H45" s="2"/>
      <c r="I45" s="2"/>
      <c r="J45" s="112">
        <v>2</v>
      </c>
      <c r="K45" s="113"/>
      <c r="L45" s="106">
        <v>0</v>
      </c>
      <c r="M45" s="113"/>
      <c r="N45" s="106">
        <v>0</v>
      </c>
      <c r="O45" s="107"/>
      <c r="P45" s="4"/>
      <c r="Q45" s="4"/>
      <c r="R45" s="4"/>
      <c r="S45" s="4"/>
      <c r="T45" s="92">
        <v>2</v>
      </c>
      <c r="U45" s="93"/>
      <c r="V45" s="70">
        <v>1</v>
      </c>
      <c r="W45" s="93"/>
      <c r="X45" s="70">
        <v>2</v>
      </c>
      <c r="Y45" s="71"/>
      <c r="Z45" s="4"/>
      <c r="AA45" s="4"/>
      <c r="AB45" s="4"/>
      <c r="AC45" s="4"/>
      <c r="AD45" s="92">
        <v>2</v>
      </c>
      <c r="AE45" s="93"/>
      <c r="AF45" s="70">
        <v>1</v>
      </c>
      <c r="AG45" s="93"/>
      <c r="AH45" s="70">
        <v>2</v>
      </c>
      <c r="AI45" s="71"/>
      <c r="AJ45" s="4"/>
      <c r="AK45" s="4"/>
      <c r="AL45" s="4"/>
      <c r="AM45" s="4"/>
      <c r="AN45" s="72">
        <v>3</v>
      </c>
      <c r="AO45" s="73"/>
      <c r="AP45" s="68">
        <v>0</v>
      </c>
      <c r="AQ45" s="73"/>
      <c r="AR45" s="68">
        <v>0</v>
      </c>
      <c r="AS45" s="69"/>
      <c r="AT45" s="4"/>
      <c r="AU45" s="4"/>
      <c r="AV45" s="4"/>
      <c r="AW45" s="4"/>
      <c r="AX45" s="142">
        <v>2</v>
      </c>
      <c r="AY45" s="143"/>
      <c r="AZ45" s="144">
        <v>1</v>
      </c>
      <c r="BA45" s="143"/>
      <c r="BB45" s="144">
        <v>2</v>
      </c>
      <c r="BC45" s="145"/>
      <c r="BD45" s="4"/>
      <c r="BE45" s="4"/>
      <c r="BF45" s="4"/>
      <c r="BG45" s="4"/>
      <c r="BH45" s="92">
        <v>2</v>
      </c>
      <c r="BI45" s="93"/>
      <c r="BJ45" s="70">
        <v>1</v>
      </c>
      <c r="BK45" s="93"/>
      <c r="BL45" s="70">
        <v>2</v>
      </c>
      <c r="BM45" s="71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DP45" s="133"/>
      <c r="DQ45" s="134"/>
      <c r="DR45" s="135"/>
      <c r="DS45" s="134"/>
      <c r="DT45" s="135"/>
      <c r="DU45" s="136"/>
      <c r="DZ45" s="133"/>
      <c r="EA45" s="134"/>
      <c r="EB45" s="135"/>
      <c r="EC45" s="134"/>
      <c r="ED45" s="135"/>
      <c r="EE45" s="136"/>
    </row>
    <row r="46" spans="2:135" ht="10.050000000000001" customHeight="1" x14ac:dyDescent="0.3">
      <c r="B46" s="118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2:135" ht="10.050000000000001" customHeight="1" x14ac:dyDescent="0.3">
      <c r="B47" s="118"/>
      <c r="C47" s="3"/>
    </row>
    <row r="48" spans="2:135" ht="10.050000000000001" customHeight="1" x14ac:dyDescent="0.3">
      <c r="B48" s="118"/>
      <c r="C48" s="3"/>
    </row>
    <row r="49" spans="2:135" ht="10.050000000000001" customHeight="1" thickBot="1" x14ac:dyDescent="0.35">
      <c r="B49" s="118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2:135" x14ac:dyDescent="0.3">
      <c r="B50" s="118"/>
      <c r="C50" s="1"/>
      <c r="D50" s="119" t="s">
        <v>6</v>
      </c>
      <c r="E50" s="11"/>
      <c r="F50" s="11"/>
      <c r="G50" s="2"/>
      <c r="H50" s="2"/>
      <c r="I50" s="2"/>
      <c r="J50" s="24" t="s">
        <v>19</v>
      </c>
      <c r="K50" s="25"/>
      <c r="L50" s="26"/>
      <c r="M50" s="38">
        <v>293</v>
      </c>
      <c r="N50" s="39"/>
      <c r="O50" s="40"/>
      <c r="P50" s="4"/>
      <c r="Q50" s="4"/>
      <c r="R50" s="4"/>
      <c r="S50" s="4"/>
      <c r="T50" s="24" t="s">
        <v>135</v>
      </c>
      <c r="U50" s="25"/>
      <c r="V50" s="26"/>
      <c r="W50" s="38" t="s">
        <v>111</v>
      </c>
      <c r="X50" s="39"/>
      <c r="Y50" s="40"/>
      <c r="Z50" s="4"/>
      <c r="AA50" s="4"/>
      <c r="AB50" s="4"/>
      <c r="AC50" s="4"/>
      <c r="AD50" s="24" t="s">
        <v>19</v>
      </c>
      <c r="AE50" s="25"/>
      <c r="AF50" s="26"/>
      <c r="AG50" s="38">
        <v>344</v>
      </c>
      <c r="AH50" s="102"/>
      <c r="AI50" s="103"/>
      <c r="AJ50" s="4"/>
      <c r="AK50" s="4"/>
      <c r="AL50" s="4"/>
      <c r="AM50" s="4"/>
      <c r="AN50" s="24" t="s">
        <v>19</v>
      </c>
      <c r="AO50" s="25"/>
      <c r="AP50" s="26"/>
      <c r="AQ50" s="38">
        <v>321</v>
      </c>
      <c r="AR50" s="102"/>
      <c r="AS50" s="103"/>
      <c r="AT50" s="4"/>
      <c r="AU50" s="4"/>
      <c r="AV50" s="4"/>
      <c r="AW50" s="4"/>
      <c r="AX50" s="24" t="s">
        <v>19</v>
      </c>
      <c r="AY50" s="25"/>
      <c r="AZ50" s="26"/>
      <c r="BA50" s="38">
        <v>324</v>
      </c>
      <c r="BB50" s="102"/>
      <c r="BC50" s="103"/>
      <c r="BD50" s="4"/>
      <c r="BE50" s="4"/>
      <c r="BF50" s="4"/>
      <c r="BG50" s="4"/>
      <c r="BH50" s="24" t="s">
        <v>136</v>
      </c>
      <c r="BI50" s="25"/>
      <c r="BJ50" s="26"/>
      <c r="BK50" s="38" t="s">
        <v>111</v>
      </c>
      <c r="BL50" s="39"/>
      <c r="BM50" s="40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DP50" s="123"/>
      <c r="DQ50" s="124"/>
      <c r="DR50" s="124"/>
      <c r="DS50" s="124"/>
      <c r="DT50" s="125"/>
      <c r="DU50" s="126"/>
      <c r="DZ50" s="123"/>
      <c r="EA50" s="124"/>
      <c r="EB50" s="124"/>
      <c r="EC50" s="124"/>
      <c r="ED50" s="125"/>
      <c r="EE50" s="126"/>
    </row>
    <row r="51" spans="2:135" ht="48.75" customHeight="1" x14ac:dyDescent="0.3">
      <c r="B51" s="118"/>
      <c r="C51" s="1"/>
      <c r="D51" s="119"/>
      <c r="E51" s="120" t="s">
        <v>16</v>
      </c>
      <c r="F51" s="120" t="s">
        <v>17</v>
      </c>
      <c r="G51" s="13">
        <f>SUM(N52,X52,AH52,AR52,BB52,BL52)</f>
        <v>870</v>
      </c>
      <c r="H51" s="2"/>
      <c r="I51" s="2"/>
      <c r="J51" s="41" t="s">
        <v>265</v>
      </c>
      <c r="K51" s="42"/>
      <c r="L51" s="42"/>
      <c r="M51" s="42"/>
      <c r="N51" s="43"/>
      <c r="O51" s="44"/>
      <c r="P51" s="4"/>
      <c r="Q51" s="4"/>
      <c r="R51" s="4"/>
      <c r="S51" s="4"/>
      <c r="T51" s="114" t="s">
        <v>134</v>
      </c>
      <c r="U51" s="115"/>
      <c r="V51" s="115"/>
      <c r="W51" s="115"/>
      <c r="X51" s="116"/>
      <c r="Y51" s="117"/>
      <c r="Z51" s="4"/>
      <c r="AA51" s="4"/>
      <c r="AB51" s="4"/>
      <c r="AC51" s="4"/>
      <c r="AD51" s="53" t="s">
        <v>204</v>
      </c>
      <c r="AE51" s="54"/>
      <c r="AF51" s="54"/>
      <c r="AG51" s="54"/>
      <c r="AH51" s="55"/>
      <c r="AI51" s="56"/>
      <c r="AJ51" s="4"/>
      <c r="AK51" s="4"/>
      <c r="AL51" s="4"/>
      <c r="AM51" s="4"/>
      <c r="AN51" s="94" t="s">
        <v>266</v>
      </c>
      <c r="AO51" s="95"/>
      <c r="AP51" s="95"/>
      <c r="AQ51" s="95"/>
      <c r="AR51" s="96"/>
      <c r="AS51" s="97"/>
      <c r="AT51" s="4"/>
      <c r="AU51" s="4"/>
      <c r="AV51" s="4"/>
      <c r="AW51" s="4"/>
      <c r="AX51" s="94" t="s">
        <v>267</v>
      </c>
      <c r="AY51" s="95"/>
      <c r="AZ51" s="95"/>
      <c r="BA51" s="95"/>
      <c r="BB51" s="96"/>
      <c r="BC51" s="97"/>
      <c r="BD51" s="4"/>
      <c r="BE51" s="4"/>
      <c r="BF51" s="4"/>
      <c r="BG51" s="4"/>
      <c r="BH51" s="76" t="s">
        <v>138</v>
      </c>
      <c r="BI51" s="77"/>
      <c r="BJ51" s="77"/>
      <c r="BK51" s="77"/>
      <c r="BL51" s="77"/>
      <c r="BM51" s="78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DP51" s="127"/>
      <c r="DQ51" s="128"/>
      <c r="DR51" s="128"/>
      <c r="DS51" s="128"/>
      <c r="DT51" s="129"/>
      <c r="DU51" s="130"/>
      <c r="DZ51" s="127"/>
      <c r="EA51" s="128"/>
      <c r="EB51" s="128"/>
      <c r="EC51" s="128"/>
      <c r="ED51" s="129"/>
      <c r="EE51" s="130"/>
    </row>
    <row r="52" spans="2:135" x14ac:dyDescent="0.3">
      <c r="B52" s="118"/>
      <c r="C52" s="1"/>
      <c r="D52" s="119"/>
      <c r="E52" s="120"/>
      <c r="F52" s="120"/>
      <c r="G52" s="105"/>
      <c r="H52" s="121"/>
      <c r="I52" s="122"/>
      <c r="J52" s="45">
        <v>2</v>
      </c>
      <c r="K52" s="46"/>
      <c r="L52" s="47">
        <v>2</v>
      </c>
      <c r="M52" s="46"/>
      <c r="N52" s="47">
        <v>60</v>
      </c>
      <c r="O52" s="48"/>
      <c r="P52" s="4"/>
      <c r="Q52" s="4"/>
      <c r="R52" s="4"/>
      <c r="S52" s="4"/>
      <c r="T52" s="110">
        <v>2</v>
      </c>
      <c r="U52" s="111"/>
      <c r="V52" s="108">
        <v>2</v>
      </c>
      <c r="W52" s="111"/>
      <c r="X52" s="108">
        <v>90</v>
      </c>
      <c r="Y52" s="109"/>
      <c r="Z52" s="4"/>
      <c r="AA52" s="4"/>
      <c r="AB52" s="4"/>
      <c r="AC52" s="4"/>
      <c r="AD52" s="57">
        <v>3</v>
      </c>
      <c r="AE52" s="58"/>
      <c r="AF52" s="59">
        <v>5</v>
      </c>
      <c r="AG52" s="58"/>
      <c r="AH52" s="59">
        <v>180</v>
      </c>
      <c r="AI52" s="91"/>
      <c r="AJ52" s="4"/>
      <c r="AK52" s="4"/>
      <c r="AL52" s="4"/>
      <c r="AM52" s="4"/>
      <c r="AN52" s="98">
        <v>3</v>
      </c>
      <c r="AO52" s="99"/>
      <c r="AP52" s="100">
        <v>5</v>
      </c>
      <c r="AQ52" s="99"/>
      <c r="AR52" s="100">
        <v>180</v>
      </c>
      <c r="AS52" s="101"/>
      <c r="AT52" s="4"/>
      <c r="AU52" s="4"/>
      <c r="AV52" s="4"/>
      <c r="AW52" s="4"/>
      <c r="AX52" s="98">
        <v>3</v>
      </c>
      <c r="AY52" s="99"/>
      <c r="AZ52" s="100">
        <v>5</v>
      </c>
      <c r="BA52" s="99"/>
      <c r="BB52" s="100">
        <v>180</v>
      </c>
      <c r="BC52" s="101"/>
      <c r="BD52" s="4"/>
      <c r="BE52" s="4"/>
      <c r="BF52" s="4"/>
      <c r="BG52" s="4"/>
      <c r="BH52" s="79">
        <v>3</v>
      </c>
      <c r="BI52" s="80"/>
      <c r="BJ52" s="81">
        <v>5</v>
      </c>
      <c r="BK52" s="80"/>
      <c r="BL52" s="81">
        <v>180</v>
      </c>
      <c r="BM52" s="82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DP52" s="66"/>
      <c r="DQ52" s="67"/>
      <c r="DR52" s="131"/>
      <c r="DS52" s="67"/>
      <c r="DT52" s="131"/>
      <c r="DU52" s="132"/>
      <c r="DZ52" s="66"/>
      <c r="EA52" s="67"/>
      <c r="EB52" s="131"/>
      <c r="EC52" s="67"/>
      <c r="ED52" s="131"/>
      <c r="EE52" s="132"/>
    </row>
    <row r="53" spans="2:135" ht="15" thickBot="1" x14ac:dyDescent="0.35">
      <c r="B53" s="118"/>
      <c r="C53" s="1"/>
      <c r="D53" s="119"/>
      <c r="E53" s="11">
        <f>SUM(J52,T52,AD52,AN52,AX52,BH52)</f>
        <v>16</v>
      </c>
      <c r="F53" s="11">
        <f>SUM(J53:BM53)</f>
        <v>24</v>
      </c>
      <c r="G53" s="105"/>
      <c r="H53" s="2"/>
      <c r="I53" s="2"/>
      <c r="J53" s="49">
        <v>2</v>
      </c>
      <c r="K53" s="50"/>
      <c r="L53" s="51">
        <v>0</v>
      </c>
      <c r="M53" s="50"/>
      <c r="N53" s="51">
        <v>0</v>
      </c>
      <c r="O53" s="52"/>
      <c r="P53" s="4"/>
      <c r="Q53" s="4"/>
      <c r="R53" s="4"/>
      <c r="S53" s="4"/>
      <c r="T53" s="112">
        <v>2</v>
      </c>
      <c r="U53" s="113"/>
      <c r="V53" s="106">
        <v>0</v>
      </c>
      <c r="W53" s="113"/>
      <c r="X53" s="106">
        <v>0</v>
      </c>
      <c r="Y53" s="107"/>
      <c r="Z53" s="4"/>
      <c r="AA53" s="4"/>
      <c r="AB53" s="4"/>
      <c r="AC53" s="4"/>
      <c r="AD53" s="92">
        <v>2</v>
      </c>
      <c r="AE53" s="93"/>
      <c r="AF53" s="70">
        <v>1</v>
      </c>
      <c r="AG53" s="93"/>
      <c r="AH53" s="70">
        <v>2</v>
      </c>
      <c r="AI53" s="71"/>
      <c r="AJ53" s="4"/>
      <c r="AK53" s="4"/>
      <c r="AL53" s="4"/>
      <c r="AM53" s="4"/>
      <c r="AN53" s="72">
        <v>2</v>
      </c>
      <c r="AO53" s="73"/>
      <c r="AP53" s="68">
        <v>1</v>
      </c>
      <c r="AQ53" s="73"/>
      <c r="AR53" s="68">
        <v>2</v>
      </c>
      <c r="AS53" s="69"/>
      <c r="AT53" s="4"/>
      <c r="AU53" s="4"/>
      <c r="AV53" s="4"/>
      <c r="AW53" s="4"/>
      <c r="AX53" s="72">
        <v>2</v>
      </c>
      <c r="AY53" s="73"/>
      <c r="AZ53" s="68">
        <v>1</v>
      </c>
      <c r="BA53" s="73"/>
      <c r="BB53" s="68">
        <v>2</v>
      </c>
      <c r="BC53" s="69"/>
      <c r="BD53" s="4"/>
      <c r="BE53" s="4"/>
      <c r="BF53" s="4"/>
      <c r="BG53" s="4"/>
      <c r="BH53" s="83">
        <v>2</v>
      </c>
      <c r="BI53" s="84"/>
      <c r="BJ53" s="85">
        <v>1</v>
      </c>
      <c r="BK53" s="84"/>
      <c r="BL53" s="85">
        <v>2</v>
      </c>
      <c r="BM53" s="86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DP53" s="133"/>
      <c r="DQ53" s="134"/>
      <c r="DR53" s="135"/>
      <c r="DS53" s="134"/>
      <c r="DT53" s="135"/>
      <c r="DU53" s="136"/>
      <c r="DZ53" s="133"/>
      <c r="EA53" s="134"/>
      <c r="EB53" s="135"/>
      <c r="EC53" s="134"/>
      <c r="ED53" s="135"/>
      <c r="EE53" s="136"/>
    </row>
    <row r="54" spans="2:135" ht="10.050000000000001" customHeight="1" x14ac:dyDescent="0.3">
      <c r="B54" s="118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2:135" ht="10.050000000000001" customHeight="1" x14ac:dyDescent="0.3"/>
    <row r="56" spans="2:135" ht="10.050000000000001" customHeight="1" x14ac:dyDescent="0.3"/>
    <row r="57" spans="2:135" ht="10.050000000000001" customHeight="1" x14ac:dyDescent="0.3"/>
    <row r="58" spans="2:135" ht="10.050000000000001" customHeight="1" x14ac:dyDescent="0.3"/>
    <row r="59" spans="2:135" ht="10.050000000000001" customHeight="1" thickBot="1" x14ac:dyDescent="0.35">
      <c r="B59" s="118" t="s">
        <v>1</v>
      </c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2:135" x14ac:dyDescent="0.3">
      <c r="B60" s="118"/>
      <c r="C60" s="1"/>
      <c r="D60" s="119" t="s">
        <v>5</v>
      </c>
      <c r="E60" s="11"/>
      <c r="F60" s="11"/>
      <c r="G60" s="2"/>
      <c r="H60" s="2"/>
      <c r="I60" s="2"/>
      <c r="J60" s="24" t="s">
        <v>137</v>
      </c>
      <c r="K60" s="25"/>
      <c r="L60" s="26"/>
      <c r="M60" s="38" t="s">
        <v>111</v>
      </c>
      <c r="N60" s="39"/>
      <c r="O60" s="40"/>
      <c r="P60" s="4"/>
      <c r="Q60" s="4"/>
      <c r="R60" s="4"/>
      <c r="S60" s="4"/>
      <c r="T60" s="24" t="s">
        <v>19</v>
      </c>
      <c r="U60" s="25"/>
      <c r="V60" s="26"/>
      <c r="W60" s="38">
        <v>325</v>
      </c>
      <c r="X60" s="39"/>
      <c r="Y60" s="40"/>
      <c r="Z60" s="4"/>
      <c r="AA60" s="4"/>
      <c r="AB60" s="4"/>
      <c r="AC60" s="4"/>
      <c r="AD60" s="24" t="s">
        <v>19</v>
      </c>
      <c r="AE60" s="25"/>
      <c r="AF60" s="26"/>
      <c r="AG60" s="38">
        <v>363</v>
      </c>
      <c r="AH60" s="102"/>
      <c r="AI60" s="103"/>
      <c r="AJ60" s="4"/>
      <c r="AK60" s="4"/>
      <c r="AL60" s="4"/>
      <c r="AM60" s="4"/>
      <c r="AN60" s="24" t="s">
        <v>19</v>
      </c>
      <c r="AO60" s="25"/>
      <c r="AP60" s="26"/>
      <c r="AQ60" s="38">
        <v>361</v>
      </c>
      <c r="AR60" s="39"/>
      <c r="AS60" s="40"/>
      <c r="AT60" s="4"/>
      <c r="AU60" s="4"/>
      <c r="AV60" s="4"/>
      <c r="AW60" s="4"/>
      <c r="AX60" s="24" t="s">
        <v>19</v>
      </c>
      <c r="AY60" s="25"/>
      <c r="AZ60" s="26"/>
      <c r="BA60" s="38">
        <v>493</v>
      </c>
      <c r="BB60" s="39"/>
      <c r="BC60" s="40"/>
      <c r="BD60" s="4"/>
      <c r="BE60" s="4"/>
      <c r="BF60" s="4"/>
      <c r="BG60" s="4"/>
      <c r="BH60" s="24" t="s">
        <v>141</v>
      </c>
      <c r="BI60" s="25"/>
      <c r="BJ60" s="26"/>
      <c r="BK60" s="38" t="s">
        <v>111</v>
      </c>
      <c r="BL60" s="39"/>
      <c r="BM60" s="40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DP60" s="123"/>
      <c r="DQ60" s="124"/>
      <c r="DR60" s="124"/>
      <c r="DS60" s="124"/>
      <c r="DT60" s="125"/>
      <c r="DU60" s="126"/>
      <c r="DZ60" s="123"/>
      <c r="EA60" s="124"/>
      <c r="EB60" s="124"/>
      <c r="EC60" s="124"/>
      <c r="ED60" s="125"/>
      <c r="EE60" s="126"/>
    </row>
    <row r="61" spans="2:135" ht="48.75" customHeight="1" x14ac:dyDescent="0.3">
      <c r="B61" s="118"/>
      <c r="C61" s="1"/>
      <c r="D61" s="119"/>
      <c r="E61" s="120" t="s">
        <v>16</v>
      </c>
      <c r="F61" s="120" t="s">
        <v>17</v>
      </c>
      <c r="G61" s="13">
        <f>SUM(N62,X62,AH62,AR62,BB62,BL62)</f>
        <v>990</v>
      </c>
      <c r="H61" s="2"/>
      <c r="I61" s="2"/>
      <c r="J61" s="76" t="s">
        <v>139</v>
      </c>
      <c r="K61" s="77"/>
      <c r="L61" s="77"/>
      <c r="M61" s="77"/>
      <c r="N61" s="77"/>
      <c r="O61" s="78"/>
      <c r="P61" s="4"/>
      <c r="Q61" s="4"/>
      <c r="R61" s="4"/>
      <c r="S61" s="4"/>
      <c r="T61" s="161" t="s">
        <v>268</v>
      </c>
      <c r="U61" s="162"/>
      <c r="V61" s="162"/>
      <c r="W61" s="162"/>
      <c r="X61" s="162"/>
      <c r="Y61" s="163"/>
      <c r="Z61" s="4"/>
      <c r="AA61" s="4"/>
      <c r="AB61" s="4"/>
      <c r="AC61" s="4"/>
      <c r="AD61" s="94" t="s">
        <v>72</v>
      </c>
      <c r="AE61" s="95"/>
      <c r="AF61" s="95"/>
      <c r="AG61" s="95"/>
      <c r="AH61" s="96"/>
      <c r="AI61" s="97"/>
      <c r="AJ61" s="4"/>
      <c r="AK61" s="4"/>
      <c r="AL61" s="4"/>
      <c r="AM61" s="4"/>
      <c r="AN61" s="53" t="s">
        <v>269</v>
      </c>
      <c r="AO61" s="54"/>
      <c r="AP61" s="54"/>
      <c r="AQ61" s="54"/>
      <c r="AR61" s="55"/>
      <c r="AS61" s="56"/>
      <c r="AT61" s="4"/>
      <c r="AU61" s="4"/>
      <c r="AV61" s="4"/>
      <c r="AW61" s="4"/>
      <c r="AX61" s="41" t="s">
        <v>63</v>
      </c>
      <c r="AY61" s="42"/>
      <c r="AZ61" s="42"/>
      <c r="BA61" s="42"/>
      <c r="BB61" s="43"/>
      <c r="BC61" s="44"/>
      <c r="BD61" s="4"/>
      <c r="BE61" s="4"/>
      <c r="BF61" s="4"/>
      <c r="BG61" s="4"/>
      <c r="BH61" s="114" t="s">
        <v>142</v>
      </c>
      <c r="BI61" s="115"/>
      <c r="BJ61" s="115"/>
      <c r="BK61" s="115"/>
      <c r="BL61" s="116"/>
      <c r="BM61" s="117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DP61" s="127"/>
      <c r="DQ61" s="128"/>
      <c r="DR61" s="128"/>
      <c r="DS61" s="128"/>
      <c r="DT61" s="129"/>
      <c r="DU61" s="130"/>
      <c r="DZ61" s="127"/>
      <c r="EA61" s="128"/>
      <c r="EB61" s="128"/>
      <c r="EC61" s="128"/>
      <c r="ED61" s="129"/>
      <c r="EE61" s="130"/>
    </row>
    <row r="62" spans="2:135" x14ac:dyDescent="0.3">
      <c r="B62" s="118"/>
      <c r="C62" s="1"/>
      <c r="D62" s="119"/>
      <c r="E62" s="120"/>
      <c r="F62" s="120"/>
      <c r="G62" s="105"/>
      <c r="H62" s="121"/>
      <c r="I62" s="122"/>
      <c r="J62" s="79">
        <v>3</v>
      </c>
      <c r="K62" s="80"/>
      <c r="L62" s="81">
        <v>5</v>
      </c>
      <c r="M62" s="80"/>
      <c r="N62" s="81">
        <v>180</v>
      </c>
      <c r="O62" s="82"/>
      <c r="P62" s="4"/>
      <c r="Q62" s="4"/>
      <c r="R62" s="4"/>
      <c r="S62" s="4"/>
      <c r="T62" s="98">
        <v>3</v>
      </c>
      <c r="U62" s="99"/>
      <c r="V62" s="100">
        <v>5</v>
      </c>
      <c r="W62" s="99"/>
      <c r="X62" s="100">
        <v>180</v>
      </c>
      <c r="Y62" s="101"/>
      <c r="Z62" s="4"/>
      <c r="AA62" s="4"/>
      <c r="AB62" s="4"/>
      <c r="AC62" s="4"/>
      <c r="AD62" s="98">
        <v>3</v>
      </c>
      <c r="AE62" s="99"/>
      <c r="AF62" s="100">
        <v>5</v>
      </c>
      <c r="AG62" s="99"/>
      <c r="AH62" s="100">
        <v>180</v>
      </c>
      <c r="AI62" s="101"/>
      <c r="AJ62" s="4"/>
      <c r="AK62" s="4"/>
      <c r="AL62" s="4"/>
      <c r="AM62" s="4"/>
      <c r="AN62" s="57">
        <v>3</v>
      </c>
      <c r="AO62" s="58"/>
      <c r="AP62" s="59">
        <v>5</v>
      </c>
      <c r="AQ62" s="58"/>
      <c r="AR62" s="59">
        <v>180</v>
      </c>
      <c r="AS62" s="91"/>
      <c r="AT62" s="4"/>
      <c r="AU62" s="4"/>
      <c r="AV62" s="4"/>
      <c r="AW62" s="4"/>
      <c r="AX62" s="45">
        <v>3</v>
      </c>
      <c r="AY62" s="46"/>
      <c r="AZ62" s="47">
        <v>5</v>
      </c>
      <c r="BA62" s="46"/>
      <c r="BB62" s="47">
        <v>180</v>
      </c>
      <c r="BC62" s="48"/>
      <c r="BD62" s="4"/>
      <c r="BE62" s="4"/>
      <c r="BF62" s="4"/>
      <c r="BG62" s="4"/>
      <c r="BH62" s="110">
        <v>2</v>
      </c>
      <c r="BI62" s="111"/>
      <c r="BJ62" s="108">
        <v>2</v>
      </c>
      <c r="BK62" s="111"/>
      <c r="BL62" s="108">
        <v>90</v>
      </c>
      <c r="BM62" s="109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DP62" s="66"/>
      <c r="DQ62" s="67"/>
      <c r="DR62" s="131"/>
      <c r="DS62" s="67"/>
      <c r="DT62" s="131"/>
      <c r="DU62" s="132"/>
      <c r="DZ62" s="66"/>
      <c r="EA62" s="67"/>
      <c r="EB62" s="131"/>
      <c r="EC62" s="67"/>
      <c r="ED62" s="131"/>
      <c r="EE62" s="132"/>
    </row>
    <row r="63" spans="2:135" ht="15" thickBot="1" x14ac:dyDescent="0.35">
      <c r="B63" s="118"/>
      <c r="C63" s="1"/>
      <c r="D63" s="119"/>
      <c r="E63" s="11">
        <f>SUM(J62,T62,AD62,AN62,AX62,BH62)</f>
        <v>17</v>
      </c>
      <c r="F63" s="11">
        <f>SUM(L62,V62,AF62,AP62,AZ62,BJ62)</f>
        <v>27</v>
      </c>
      <c r="G63" s="105"/>
      <c r="H63" s="2"/>
      <c r="I63" s="2"/>
      <c r="J63" s="83">
        <v>2</v>
      </c>
      <c r="K63" s="84"/>
      <c r="L63" s="85">
        <v>1</v>
      </c>
      <c r="M63" s="84"/>
      <c r="N63" s="85">
        <v>2</v>
      </c>
      <c r="O63" s="86"/>
      <c r="P63" s="4"/>
      <c r="Q63" s="4"/>
      <c r="R63" s="4"/>
      <c r="S63" s="4"/>
      <c r="T63" s="72">
        <v>2</v>
      </c>
      <c r="U63" s="73"/>
      <c r="V63" s="68">
        <v>1</v>
      </c>
      <c r="W63" s="73"/>
      <c r="X63" s="68">
        <v>2</v>
      </c>
      <c r="Y63" s="69"/>
      <c r="Z63" s="4"/>
      <c r="AA63" s="4"/>
      <c r="AB63" s="4"/>
      <c r="AC63" s="4"/>
      <c r="AD63" s="72">
        <v>2</v>
      </c>
      <c r="AE63" s="73"/>
      <c r="AF63" s="68">
        <v>1</v>
      </c>
      <c r="AG63" s="73"/>
      <c r="AH63" s="68">
        <v>2</v>
      </c>
      <c r="AI63" s="69"/>
      <c r="AJ63" s="4"/>
      <c r="AK63" s="4"/>
      <c r="AL63" s="4"/>
      <c r="AM63" s="4"/>
      <c r="AN63" s="92">
        <v>2</v>
      </c>
      <c r="AO63" s="93"/>
      <c r="AP63" s="70">
        <v>1</v>
      </c>
      <c r="AQ63" s="93"/>
      <c r="AR63" s="70">
        <v>2</v>
      </c>
      <c r="AS63" s="71"/>
      <c r="AT63" s="4"/>
      <c r="AU63" s="4"/>
      <c r="AV63" s="4"/>
      <c r="AW63" s="4"/>
      <c r="AX63" s="49">
        <v>2</v>
      </c>
      <c r="AY63" s="50"/>
      <c r="AZ63" s="51">
        <v>0</v>
      </c>
      <c r="BA63" s="50"/>
      <c r="BB63" s="51">
        <v>3</v>
      </c>
      <c r="BC63" s="52"/>
      <c r="BD63" s="4"/>
      <c r="BE63" s="4"/>
      <c r="BF63" s="4"/>
      <c r="BG63" s="4"/>
      <c r="BH63" s="112">
        <v>2</v>
      </c>
      <c r="BI63" s="113"/>
      <c r="BJ63" s="106">
        <v>0</v>
      </c>
      <c r="BK63" s="113"/>
      <c r="BL63" s="106">
        <v>0</v>
      </c>
      <c r="BM63" s="107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DP63" s="133"/>
      <c r="DQ63" s="134"/>
      <c r="DR63" s="135"/>
      <c r="DS63" s="134"/>
      <c r="DT63" s="135"/>
      <c r="DU63" s="136"/>
      <c r="DZ63" s="133"/>
      <c r="EA63" s="134"/>
      <c r="EB63" s="135"/>
      <c r="EC63" s="134"/>
      <c r="ED63" s="135"/>
      <c r="EE63" s="136"/>
    </row>
    <row r="64" spans="2:135" ht="10.050000000000001" customHeight="1" x14ac:dyDescent="0.3">
      <c r="B64" s="118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2:135" ht="10.050000000000001" customHeight="1" x14ac:dyDescent="0.3">
      <c r="B65" s="118"/>
      <c r="C65" s="3"/>
    </row>
    <row r="66" spans="2:135" ht="10.050000000000001" customHeight="1" x14ac:dyDescent="0.3">
      <c r="B66" s="118"/>
      <c r="C66" s="3"/>
    </row>
    <row r="67" spans="2:135" ht="10.050000000000001" customHeight="1" thickBot="1" x14ac:dyDescent="0.35">
      <c r="B67" s="118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2:135" x14ac:dyDescent="0.3">
      <c r="B68" s="118"/>
      <c r="C68" s="1"/>
      <c r="D68" s="119" t="s">
        <v>6</v>
      </c>
      <c r="E68" s="11"/>
      <c r="F68" s="11"/>
      <c r="G68" s="2"/>
      <c r="H68" s="2"/>
      <c r="I68" s="2"/>
      <c r="J68" s="24" t="s">
        <v>19</v>
      </c>
      <c r="K68" s="25"/>
      <c r="L68" s="26"/>
      <c r="M68" s="38">
        <v>353</v>
      </c>
      <c r="N68" s="102"/>
      <c r="O68" s="103"/>
      <c r="P68" s="4"/>
      <c r="Q68" s="4"/>
      <c r="R68" s="4"/>
      <c r="S68" s="4"/>
      <c r="T68" s="24" t="s">
        <v>252</v>
      </c>
      <c r="U68" s="25"/>
      <c r="V68" s="26"/>
      <c r="W68" s="38" t="s">
        <v>112</v>
      </c>
      <c r="X68" s="39"/>
      <c r="Y68" s="40"/>
      <c r="Z68" s="4"/>
      <c r="AA68" s="4"/>
      <c r="AB68" s="4"/>
      <c r="AC68" s="4"/>
      <c r="AD68" s="24" t="s">
        <v>254</v>
      </c>
      <c r="AE68" s="25"/>
      <c r="AF68" s="26"/>
      <c r="AG68" s="38" t="s">
        <v>112</v>
      </c>
      <c r="AH68" s="39"/>
      <c r="AI68" s="40"/>
      <c r="AJ68" s="4"/>
      <c r="AK68" s="4"/>
      <c r="AL68" s="4"/>
      <c r="AM68" s="4"/>
      <c r="AN68" s="24" t="s">
        <v>19</v>
      </c>
      <c r="AO68" s="25"/>
      <c r="AP68" s="26"/>
      <c r="AQ68" s="38">
        <v>463</v>
      </c>
      <c r="AR68" s="39"/>
      <c r="AS68" s="40"/>
      <c r="AT68" s="4"/>
      <c r="AU68" s="4"/>
      <c r="AV68" s="4"/>
      <c r="AW68" s="4"/>
      <c r="AX68" s="24" t="s">
        <v>19</v>
      </c>
      <c r="AY68" s="25"/>
      <c r="AZ68" s="26"/>
      <c r="BA68" s="38">
        <v>494</v>
      </c>
      <c r="BB68" s="39"/>
      <c r="BC68" s="40"/>
      <c r="BD68" s="4"/>
      <c r="BE68" s="4"/>
      <c r="BF68" s="4"/>
      <c r="BG68" s="4"/>
      <c r="BH68" s="24" t="s">
        <v>144</v>
      </c>
      <c r="BI68" s="25"/>
      <c r="BJ68" s="26"/>
      <c r="BK68" s="38" t="s">
        <v>110</v>
      </c>
      <c r="BL68" s="39"/>
      <c r="BM68" s="40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DP68" s="123"/>
      <c r="DQ68" s="124"/>
      <c r="DR68" s="124"/>
      <c r="DS68" s="124"/>
      <c r="DT68" s="125"/>
      <c r="DU68" s="126"/>
      <c r="DZ68" s="123"/>
      <c r="EA68" s="124"/>
      <c r="EB68" s="124"/>
      <c r="EC68" s="124"/>
      <c r="ED68" s="125"/>
      <c r="EE68" s="126"/>
    </row>
    <row r="69" spans="2:135" ht="48.75" customHeight="1" x14ac:dyDescent="0.3">
      <c r="B69" s="118"/>
      <c r="C69" s="1"/>
      <c r="D69" s="119"/>
      <c r="E69" s="120" t="s">
        <v>16</v>
      </c>
      <c r="F69" s="120" t="s">
        <v>17</v>
      </c>
      <c r="G69" s="13">
        <f>SUM(N70,X70,AH70,AR70,BB70,BL70)</f>
        <v>990</v>
      </c>
      <c r="H69" s="2"/>
      <c r="I69" s="2"/>
      <c r="J69" s="94" t="s">
        <v>270</v>
      </c>
      <c r="K69" s="95"/>
      <c r="L69" s="95"/>
      <c r="M69" s="95"/>
      <c r="N69" s="96"/>
      <c r="O69" s="97"/>
      <c r="P69" s="4"/>
      <c r="Q69" s="4"/>
      <c r="R69" s="4"/>
      <c r="S69" s="4"/>
      <c r="T69" s="76" t="s">
        <v>140</v>
      </c>
      <c r="U69" s="77"/>
      <c r="V69" s="77"/>
      <c r="W69" s="77"/>
      <c r="X69" s="77"/>
      <c r="Y69" s="78"/>
      <c r="Z69" s="4"/>
      <c r="AA69" s="4"/>
      <c r="AB69" s="4"/>
      <c r="AC69" s="4"/>
      <c r="AD69" s="76" t="s">
        <v>143</v>
      </c>
      <c r="AE69" s="77"/>
      <c r="AF69" s="77"/>
      <c r="AG69" s="77"/>
      <c r="AH69" s="77"/>
      <c r="AI69" s="78"/>
      <c r="AJ69" s="4"/>
      <c r="AK69" s="4"/>
      <c r="AL69" s="4"/>
      <c r="AM69" s="4"/>
      <c r="AN69" s="94" t="s">
        <v>271</v>
      </c>
      <c r="AO69" s="95"/>
      <c r="AP69" s="95"/>
      <c r="AQ69" s="95"/>
      <c r="AR69" s="96"/>
      <c r="AS69" s="97"/>
      <c r="AT69" s="4"/>
      <c r="AU69" s="4"/>
      <c r="AV69" s="4"/>
      <c r="AW69" s="4"/>
      <c r="AX69" s="41" t="s">
        <v>64</v>
      </c>
      <c r="AY69" s="42"/>
      <c r="AZ69" s="42"/>
      <c r="BA69" s="42"/>
      <c r="BB69" s="43"/>
      <c r="BC69" s="44"/>
      <c r="BD69" s="4"/>
      <c r="BE69" s="4"/>
      <c r="BF69" s="4"/>
      <c r="BG69" s="4"/>
      <c r="BH69" s="181" t="s">
        <v>106</v>
      </c>
      <c r="BI69" s="173"/>
      <c r="BJ69" s="173"/>
      <c r="BK69" s="173"/>
      <c r="BL69" s="173"/>
      <c r="BM69" s="17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DP69" s="127"/>
      <c r="DQ69" s="128"/>
      <c r="DR69" s="128"/>
      <c r="DS69" s="128"/>
      <c r="DT69" s="129"/>
      <c r="DU69" s="130"/>
      <c r="DZ69" s="127"/>
      <c r="EA69" s="128"/>
      <c r="EB69" s="128"/>
      <c r="EC69" s="128"/>
      <c r="ED69" s="129"/>
      <c r="EE69" s="130"/>
    </row>
    <row r="70" spans="2:135" x14ac:dyDescent="0.3">
      <c r="B70" s="118"/>
      <c r="C70" s="1"/>
      <c r="D70" s="119"/>
      <c r="E70" s="120"/>
      <c r="F70" s="120"/>
      <c r="G70" s="105"/>
      <c r="H70" s="121"/>
      <c r="I70" s="122"/>
      <c r="J70" s="98">
        <v>3</v>
      </c>
      <c r="K70" s="99"/>
      <c r="L70" s="100">
        <v>5</v>
      </c>
      <c r="M70" s="99"/>
      <c r="N70" s="100">
        <v>180</v>
      </c>
      <c r="O70" s="101"/>
      <c r="P70" s="4"/>
      <c r="Q70" s="4"/>
      <c r="R70" s="4"/>
      <c r="S70" s="4"/>
      <c r="T70" s="79">
        <v>3</v>
      </c>
      <c r="U70" s="80"/>
      <c r="V70" s="81">
        <v>5</v>
      </c>
      <c r="W70" s="80"/>
      <c r="X70" s="81">
        <v>180</v>
      </c>
      <c r="Y70" s="82"/>
      <c r="Z70" s="4"/>
      <c r="AA70" s="4"/>
      <c r="AB70" s="4"/>
      <c r="AC70" s="4"/>
      <c r="AD70" s="79">
        <v>3</v>
      </c>
      <c r="AE70" s="80"/>
      <c r="AF70" s="81">
        <v>5</v>
      </c>
      <c r="AG70" s="80"/>
      <c r="AH70" s="81">
        <v>180</v>
      </c>
      <c r="AI70" s="82"/>
      <c r="AJ70" s="4"/>
      <c r="AK70" s="4"/>
      <c r="AL70" s="4"/>
      <c r="AM70" s="4"/>
      <c r="AN70" s="98">
        <v>3</v>
      </c>
      <c r="AO70" s="99"/>
      <c r="AP70" s="100">
        <v>5</v>
      </c>
      <c r="AQ70" s="99"/>
      <c r="AR70" s="100">
        <v>180</v>
      </c>
      <c r="AS70" s="101"/>
      <c r="AT70" s="4"/>
      <c r="AU70" s="4"/>
      <c r="AV70" s="4"/>
      <c r="AW70" s="4"/>
      <c r="AX70" s="45">
        <v>3</v>
      </c>
      <c r="AY70" s="46"/>
      <c r="AZ70" s="47">
        <v>5</v>
      </c>
      <c r="BA70" s="46"/>
      <c r="BB70" s="47">
        <v>180</v>
      </c>
      <c r="BC70" s="48"/>
      <c r="BD70" s="4"/>
      <c r="BE70" s="4"/>
      <c r="BF70" s="4"/>
      <c r="BG70" s="4"/>
      <c r="BH70" s="110">
        <v>2</v>
      </c>
      <c r="BI70" s="111"/>
      <c r="BJ70" s="108">
        <v>2</v>
      </c>
      <c r="BK70" s="111"/>
      <c r="BL70" s="108">
        <v>90</v>
      </c>
      <c r="BM70" s="109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DP70" s="66"/>
      <c r="DQ70" s="67"/>
      <c r="DR70" s="131"/>
      <c r="DS70" s="67"/>
      <c r="DT70" s="131"/>
      <c r="DU70" s="132"/>
      <c r="DZ70" s="66"/>
      <c r="EA70" s="67"/>
      <c r="EB70" s="131"/>
      <c r="EC70" s="67"/>
      <c r="ED70" s="131"/>
      <c r="EE70" s="132"/>
    </row>
    <row r="71" spans="2:135" ht="15" thickBot="1" x14ac:dyDescent="0.35">
      <c r="B71" s="118"/>
      <c r="C71" s="1"/>
      <c r="D71" s="119"/>
      <c r="E71" s="11">
        <f>SUM(J70,T70,AD70,AN70,AX70,BH70)</f>
        <v>17</v>
      </c>
      <c r="F71" s="11">
        <f>L70+V70+AF70+AP70+AZ70+BJ70</f>
        <v>27</v>
      </c>
      <c r="G71" s="105"/>
      <c r="H71" s="2"/>
      <c r="I71" s="2"/>
      <c r="J71" s="72">
        <v>2</v>
      </c>
      <c r="K71" s="73"/>
      <c r="L71" s="68">
        <v>1</v>
      </c>
      <c r="M71" s="73"/>
      <c r="N71" s="68">
        <v>2</v>
      </c>
      <c r="O71" s="69"/>
      <c r="P71" s="4"/>
      <c r="Q71" s="4"/>
      <c r="R71" s="4"/>
      <c r="S71" s="4"/>
      <c r="T71" s="83">
        <v>2</v>
      </c>
      <c r="U71" s="84"/>
      <c r="V71" s="85">
        <v>1</v>
      </c>
      <c r="W71" s="84"/>
      <c r="X71" s="85">
        <v>2</v>
      </c>
      <c r="Y71" s="86"/>
      <c r="Z71" s="4"/>
      <c r="AA71" s="4"/>
      <c r="AB71" s="4"/>
      <c r="AC71" s="4"/>
      <c r="AD71" s="83">
        <v>2</v>
      </c>
      <c r="AE71" s="84"/>
      <c r="AF71" s="85">
        <v>1</v>
      </c>
      <c r="AG71" s="84"/>
      <c r="AH71" s="85">
        <v>2</v>
      </c>
      <c r="AI71" s="86"/>
      <c r="AJ71" s="4"/>
      <c r="AK71" s="4"/>
      <c r="AL71" s="4"/>
      <c r="AM71" s="4"/>
      <c r="AN71" s="72">
        <v>2</v>
      </c>
      <c r="AO71" s="73"/>
      <c r="AP71" s="68">
        <v>1</v>
      </c>
      <c r="AQ71" s="73"/>
      <c r="AR71" s="68">
        <v>2</v>
      </c>
      <c r="AS71" s="69"/>
      <c r="AT71" s="4"/>
      <c r="AU71" s="4"/>
      <c r="AV71" s="4"/>
      <c r="AW71" s="4"/>
      <c r="AX71" s="49">
        <v>2</v>
      </c>
      <c r="AY71" s="50"/>
      <c r="AZ71" s="51">
        <v>0</v>
      </c>
      <c r="BA71" s="50"/>
      <c r="BB71" s="51">
        <v>3</v>
      </c>
      <c r="BC71" s="52"/>
      <c r="BD71" s="4"/>
      <c r="BE71" s="4"/>
      <c r="BF71" s="4"/>
      <c r="BG71" s="4"/>
      <c r="BH71" s="112">
        <v>2</v>
      </c>
      <c r="BI71" s="113"/>
      <c r="BJ71" s="106">
        <v>0</v>
      </c>
      <c r="BK71" s="113"/>
      <c r="BL71" s="106">
        <v>0</v>
      </c>
      <c r="BM71" s="107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DP71" s="133"/>
      <c r="DQ71" s="134"/>
      <c r="DR71" s="135"/>
      <c r="DS71" s="134"/>
      <c r="DT71" s="135"/>
      <c r="DU71" s="136"/>
      <c r="DZ71" s="133"/>
      <c r="EA71" s="134"/>
      <c r="EB71" s="135"/>
      <c r="EC71" s="134"/>
      <c r="ED71" s="135"/>
      <c r="EE71" s="136"/>
    </row>
    <row r="72" spans="2:135" ht="10.050000000000001" customHeight="1" x14ac:dyDescent="0.3">
      <c r="B72" s="118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2:135" ht="10.050000000000001" customHeight="1" x14ac:dyDescent="0.3"/>
    <row r="74" spans="2:135" ht="10.050000000000001" customHeight="1" x14ac:dyDescent="0.3"/>
    <row r="75" spans="2:135" ht="10.050000000000001" customHeight="1" x14ac:dyDescent="0.3"/>
    <row r="76" spans="2:135" ht="10.050000000000001" customHeight="1" thickBot="1" x14ac:dyDescent="0.35"/>
    <row r="77" spans="2:135" ht="10.050000000000001" customHeight="1" thickTop="1" thickBot="1" x14ac:dyDescent="0.35">
      <c r="BI77" s="63" t="s">
        <v>15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6"/>
    </row>
    <row r="78" spans="2:135" ht="15" customHeight="1" x14ac:dyDescent="0.3">
      <c r="BI78" s="64"/>
      <c r="BJ78" s="137" t="s">
        <v>65</v>
      </c>
      <c r="BK78" s="17"/>
      <c r="BL78" s="16"/>
      <c r="BR78" s="123" t="s">
        <v>7</v>
      </c>
      <c r="BS78" s="124"/>
      <c r="BT78" s="124"/>
      <c r="BU78" s="124"/>
      <c r="BV78" s="125"/>
      <c r="BW78" s="126"/>
      <c r="CA78" s="8"/>
      <c r="DP78" s="123"/>
      <c r="DQ78" s="124"/>
      <c r="DR78" s="124"/>
      <c r="DS78" s="124"/>
      <c r="DT78" s="125"/>
      <c r="DU78" s="126"/>
      <c r="DZ78" s="123"/>
      <c r="EA78" s="124"/>
      <c r="EB78" s="124"/>
      <c r="EC78" s="124"/>
      <c r="ED78" s="125"/>
      <c r="EE78" s="126"/>
    </row>
    <row r="79" spans="2:135" ht="48.75" customHeight="1" x14ac:dyDescent="0.3">
      <c r="BI79" s="64"/>
      <c r="BJ79" s="137"/>
      <c r="BK79" s="17"/>
      <c r="BL79" s="16"/>
      <c r="BR79" s="127" t="s">
        <v>8</v>
      </c>
      <c r="BS79" s="128"/>
      <c r="BT79" s="128"/>
      <c r="BU79" s="128"/>
      <c r="BV79" s="129"/>
      <c r="BW79" s="130"/>
      <c r="CA79" s="8"/>
      <c r="DP79" s="127"/>
      <c r="DQ79" s="128"/>
      <c r="DR79" s="128"/>
      <c r="DS79" s="128"/>
      <c r="DT79" s="129"/>
      <c r="DU79" s="130"/>
      <c r="DZ79" s="127"/>
      <c r="EA79" s="128"/>
      <c r="EB79" s="128"/>
      <c r="EC79" s="128"/>
      <c r="ED79" s="129"/>
      <c r="EE79" s="130"/>
    </row>
    <row r="80" spans="2:135" x14ac:dyDescent="0.3">
      <c r="BI80" s="64"/>
      <c r="BJ80" s="137"/>
      <c r="BK80" s="17"/>
      <c r="BL80" s="16"/>
      <c r="BR80" s="66" t="s">
        <v>9</v>
      </c>
      <c r="BS80" s="67"/>
      <c r="BT80" s="131" t="s">
        <v>18</v>
      </c>
      <c r="BU80" s="67"/>
      <c r="BV80" s="131" t="s">
        <v>10</v>
      </c>
      <c r="BW80" s="132"/>
      <c r="CA80" s="8"/>
      <c r="DP80" s="66"/>
      <c r="DQ80" s="67"/>
      <c r="DR80" s="131"/>
      <c r="DS80" s="67"/>
      <c r="DT80" s="131"/>
      <c r="DU80" s="132"/>
      <c r="DZ80" s="66"/>
      <c r="EA80" s="67"/>
      <c r="EB80" s="131"/>
      <c r="EC80" s="67"/>
      <c r="ED80" s="131"/>
      <c r="EE80" s="132"/>
    </row>
    <row r="81" spans="44:135" ht="15" thickBot="1" x14ac:dyDescent="0.35">
      <c r="BI81" s="64"/>
      <c r="BJ81" s="137"/>
      <c r="BK81" s="17"/>
      <c r="BL81" s="16"/>
      <c r="BR81" s="133" t="s">
        <v>11</v>
      </c>
      <c r="BS81" s="134"/>
      <c r="BT81" s="135" t="s">
        <v>12</v>
      </c>
      <c r="BU81" s="134"/>
      <c r="BV81" s="135" t="s">
        <v>13</v>
      </c>
      <c r="BW81" s="136"/>
      <c r="CA81" s="8"/>
      <c r="DP81" s="133"/>
      <c r="DQ81" s="134"/>
      <c r="DR81" s="135"/>
      <c r="DS81" s="134"/>
      <c r="DT81" s="135"/>
      <c r="DU81" s="136"/>
      <c r="DZ81" s="133"/>
      <c r="EA81" s="134"/>
      <c r="EB81" s="135"/>
      <c r="EC81" s="134"/>
      <c r="ED81" s="135"/>
      <c r="EE81" s="136"/>
    </row>
    <row r="82" spans="44:135" ht="10.050000000000001" customHeight="1" x14ac:dyDescent="0.3">
      <c r="BI82" s="64"/>
      <c r="BL82" s="16"/>
      <c r="CA82" s="8"/>
    </row>
    <row r="83" spans="44:135" ht="10.050000000000001" customHeight="1" x14ac:dyDescent="0.3">
      <c r="BI83" s="64"/>
      <c r="BL83" s="16"/>
      <c r="CA83" s="8"/>
    </row>
    <row r="84" spans="44:135" ht="10.050000000000001" customHeight="1" x14ac:dyDescent="0.3">
      <c r="BI84" s="64"/>
      <c r="BJ84" s="90"/>
      <c r="BL84" s="15"/>
      <c r="BN84" s="18"/>
      <c r="BO84" s="18"/>
      <c r="BP84" s="18"/>
      <c r="BQ84" s="18"/>
      <c r="BS84" s="60"/>
      <c r="BU84" s="75" t="s">
        <v>30</v>
      </c>
      <c r="BW84" s="61"/>
      <c r="CA84" s="8"/>
    </row>
    <row r="85" spans="44:135" ht="10.050000000000001" customHeight="1" thickBot="1" x14ac:dyDescent="0.35">
      <c r="BI85" s="64"/>
      <c r="BJ85" s="90"/>
      <c r="BL85" s="74" t="s">
        <v>22</v>
      </c>
      <c r="BN85" s="18"/>
      <c r="BO85" s="18"/>
      <c r="BP85" s="18"/>
      <c r="BQ85" s="18"/>
      <c r="BS85" s="60"/>
      <c r="BU85" s="75"/>
      <c r="BW85" s="61"/>
      <c r="CA85" s="8"/>
    </row>
    <row r="86" spans="44:135" ht="15" customHeight="1" x14ac:dyDescent="0.3">
      <c r="BI86" s="64"/>
      <c r="BJ86" s="90" t="s">
        <v>31</v>
      </c>
      <c r="BK86" s="7"/>
      <c r="BL86" s="74"/>
      <c r="BM86" s="7"/>
      <c r="BN86" s="62" t="s">
        <v>14</v>
      </c>
      <c r="BO86" s="62"/>
      <c r="BP86" s="62"/>
      <c r="BQ86" s="62"/>
      <c r="BR86" s="7"/>
      <c r="BS86" s="60" t="s">
        <v>46</v>
      </c>
      <c r="BT86" s="7"/>
      <c r="BU86" s="75"/>
      <c r="BV86" s="7"/>
      <c r="BW86" s="61" t="s">
        <v>62</v>
      </c>
      <c r="CA86" s="8"/>
      <c r="DP86" s="123"/>
      <c r="DQ86" s="124"/>
      <c r="DR86" s="124"/>
      <c r="DS86" s="124"/>
      <c r="DT86" s="125"/>
      <c r="DU86" s="126"/>
      <c r="DZ86" s="123"/>
      <c r="EA86" s="124"/>
      <c r="EB86" s="124"/>
      <c r="EC86" s="124"/>
      <c r="ED86" s="125"/>
      <c r="EE86" s="126"/>
    </row>
    <row r="87" spans="44:135" ht="48.75" customHeight="1" x14ac:dyDescent="0.3">
      <c r="BI87" s="64"/>
      <c r="BJ87" s="90"/>
      <c r="BK87" s="7"/>
      <c r="BL87" s="74"/>
      <c r="BM87" s="7"/>
      <c r="BN87" s="62"/>
      <c r="BO87" s="62"/>
      <c r="BP87" s="62"/>
      <c r="BQ87" s="62"/>
      <c r="BR87" s="7"/>
      <c r="BS87" s="60"/>
      <c r="BT87" s="7"/>
      <c r="BU87" s="75"/>
      <c r="BV87" s="7"/>
      <c r="BW87" s="61"/>
      <c r="CA87" s="8"/>
      <c r="DP87" s="127"/>
      <c r="DQ87" s="128"/>
      <c r="DR87" s="128"/>
      <c r="DS87" s="128"/>
      <c r="DT87" s="129"/>
      <c r="DU87" s="130"/>
      <c r="DZ87" s="127"/>
      <c r="EA87" s="128"/>
      <c r="EB87" s="128"/>
      <c r="EC87" s="128"/>
      <c r="ED87" s="129"/>
      <c r="EE87" s="130"/>
    </row>
    <row r="88" spans="44:135" x14ac:dyDescent="0.3">
      <c r="BI88" s="64"/>
      <c r="BJ88" s="90"/>
      <c r="BK88" s="7"/>
      <c r="BL88" s="74"/>
      <c r="BM88" s="7"/>
      <c r="BN88" s="62"/>
      <c r="BO88" s="62"/>
      <c r="BP88" s="62"/>
      <c r="BQ88" s="62"/>
      <c r="BR88" s="7"/>
      <c r="BS88" s="60"/>
      <c r="BT88" s="7"/>
      <c r="BU88" s="75"/>
      <c r="BV88" s="7"/>
      <c r="BW88" s="61"/>
      <c r="CA88" s="8"/>
      <c r="DP88" s="66"/>
      <c r="DQ88" s="67"/>
      <c r="DR88" s="131"/>
      <c r="DS88" s="67"/>
      <c r="DT88" s="131"/>
      <c r="DU88" s="132"/>
      <c r="DZ88" s="66"/>
      <c r="EA88" s="67"/>
      <c r="EB88" s="131"/>
      <c r="EC88" s="67"/>
      <c r="ED88" s="131"/>
      <c r="EE88" s="132"/>
    </row>
    <row r="89" spans="44:135" ht="15" thickBot="1" x14ac:dyDescent="0.35">
      <c r="BI89" s="64"/>
      <c r="BJ89" s="90"/>
      <c r="BK89" s="7"/>
      <c r="BL89" s="74"/>
      <c r="BM89" s="7"/>
      <c r="BN89" s="62"/>
      <c r="BO89" s="62"/>
      <c r="BP89" s="62"/>
      <c r="BQ89" s="62"/>
      <c r="BR89" s="7"/>
      <c r="BS89" s="60"/>
      <c r="BT89" s="7"/>
      <c r="BU89" s="75"/>
      <c r="BV89" s="7"/>
      <c r="BW89" s="61"/>
      <c r="CA89" s="8"/>
      <c r="DP89" s="133"/>
      <c r="DQ89" s="134"/>
      <c r="DR89" s="135"/>
      <c r="DS89" s="134"/>
      <c r="DT89" s="135"/>
      <c r="DU89" s="136"/>
      <c r="DZ89" s="133"/>
      <c r="EA89" s="134"/>
      <c r="EB89" s="135"/>
      <c r="EC89" s="134"/>
      <c r="ED89" s="135"/>
      <c r="EE89" s="136"/>
    </row>
    <row r="90" spans="44:135" ht="10.050000000000001" customHeight="1" thickBot="1" x14ac:dyDescent="0.35">
      <c r="BI90" s="65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10"/>
    </row>
    <row r="91" spans="44:135" ht="10.050000000000001" customHeight="1" thickTop="1" x14ac:dyDescent="0.3">
      <c r="AR91" s="4"/>
      <c r="AS91" s="4"/>
      <c r="AT91" s="4"/>
      <c r="AU91" s="4"/>
      <c r="AV91" s="4"/>
    </row>
    <row r="92" spans="44:135" ht="10.050000000000001" customHeight="1" x14ac:dyDescent="0.3"/>
    <row r="93" spans="44:135" ht="10.050000000000001" customHeight="1" x14ac:dyDescent="0.3"/>
    <row r="100" ht="48.75" customHeight="1" x14ac:dyDescent="0.3"/>
  </sheetData>
  <mergeCells count="656">
    <mergeCell ref="B2:CA2"/>
    <mergeCell ref="B5:B18"/>
    <mergeCell ref="D6:D9"/>
    <mergeCell ref="J6:L6"/>
    <mergeCell ref="M6:O6"/>
    <mergeCell ref="T6:V6"/>
    <mergeCell ref="W6:Y6"/>
    <mergeCell ref="AD6:AF6"/>
    <mergeCell ref="AG6:AI6"/>
    <mergeCell ref="AN6:AP6"/>
    <mergeCell ref="DZ6:EE6"/>
    <mergeCell ref="E7:E8"/>
    <mergeCell ref="F7:F8"/>
    <mergeCell ref="J7:O7"/>
    <mergeCell ref="T7:Y7"/>
    <mergeCell ref="AD7:AI7"/>
    <mergeCell ref="AN7:AS7"/>
    <mergeCell ref="AX7:BC7"/>
    <mergeCell ref="BH7:BM7"/>
    <mergeCell ref="DP7:DU7"/>
    <mergeCell ref="AQ6:AS6"/>
    <mergeCell ref="AX6:AZ6"/>
    <mergeCell ref="BA6:BC6"/>
    <mergeCell ref="BH6:BJ6"/>
    <mergeCell ref="BK6:BM6"/>
    <mergeCell ref="DP6:DU6"/>
    <mergeCell ref="DZ7:EE7"/>
    <mergeCell ref="G8:G9"/>
    <mergeCell ref="H8:I8"/>
    <mergeCell ref="J8:K8"/>
    <mergeCell ref="L8:M8"/>
    <mergeCell ref="N8:O8"/>
    <mergeCell ref="T8:U8"/>
    <mergeCell ref="V8:W8"/>
    <mergeCell ref="X8:Y8"/>
    <mergeCell ref="AD8:AE8"/>
    <mergeCell ref="DR8:DS8"/>
    <mergeCell ref="DT8:DU8"/>
    <mergeCell ref="DZ8:EA8"/>
    <mergeCell ref="EB8:EC8"/>
    <mergeCell ref="ED8:EE8"/>
    <mergeCell ref="J9:K9"/>
    <mergeCell ref="L9:M9"/>
    <mergeCell ref="N9:O9"/>
    <mergeCell ref="T9:U9"/>
    <mergeCell ref="V9:W9"/>
    <mergeCell ref="AZ8:BA8"/>
    <mergeCell ref="BB8:BC8"/>
    <mergeCell ref="BH8:BI8"/>
    <mergeCell ref="BJ8:BK8"/>
    <mergeCell ref="BL8:BM8"/>
    <mergeCell ref="DP8:DQ8"/>
    <mergeCell ref="AF8:AG8"/>
    <mergeCell ref="AH8:AI8"/>
    <mergeCell ref="AN8:AO8"/>
    <mergeCell ref="AP8:AQ8"/>
    <mergeCell ref="AR8:AS8"/>
    <mergeCell ref="AX8:AY8"/>
    <mergeCell ref="AZ9:BA9"/>
    <mergeCell ref="BB9:BC9"/>
    <mergeCell ref="BH9:BI9"/>
    <mergeCell ref="BJ9:BK9"/>
    <mergeCell ref="X9:Y9"/>
    <mergeCell ref="AD9:AE9"/>
    <mergeCell ref="AF9:AG9"/>
    <mergeCell ref="AH9:AI9"/>
    <mergeCell ref="AN9:AO9"/>
    <mergeCell ref="AP9:AQ9"/>
    <mergeCell ref="AX14:AZ14"/>
    <mergeCell ref="BA14:BC14"/>
    <mergeCell ref="BH14:BJ14"/>
    <mergeCell ref="BK14:BM14"/>
    <mergeCell ref="DP14:DU14"/>
    <mergeCell ref="DZ14:EE14"/>
    <mergeCell ref="ED9:EE9"/>
    <mergeCell ref="D14:D17"/>
    <mergeCell ref="J14:L14"/>
    <mergeCell ref="M14:O14"/>
    <mergeCell ref="T14:V14"/>
    <mergeCell ref="W14:Y14"/>
    <mergeCell ref="AD14:AF14"/>
    <mergeCell ref="AG14:AI14"/>
    <mergeCell ref="AN14:AP14"/>
    <mergeCell ref="AQ14:AS14"/>
    <mergeCell ref="BL9:BM9"/>
    <mergeCell ref="DP9:DQ9"/>
    <mergeCell ref="DR9:DS9"/>
    <mergeCell ref="DT9:DU9"/>
    <mergeCell ref="DZ9:EA9"/>
    <mergeCell ref="EB9:EC9"/>
    <mergeCell ref="AR9:AS9"/>
    <mergeCell ref="AX9:AY9"/>
    <mergeCell ref="E15:E16"/>
    <mergeCell ref="F15:F16"/>
    <mergeCell ref="J15:O15"/>
    <mergeCell ref="T15:Y15"/>
    <mergeCell ref="AD15:AI15"/>
    <mergeCell ref="AN15:AS15"/>
    <mergeCell ref="V16:W16"/>
    <mergeCell ref="X16:Y16"/>
    <mergeCell ref="AD16:AE16"/>
    <mergeCell ref="AF16:AG16"/>
    <mergeCell ref="AX15:BC15"/>
    <mergeCell ref="BH15:BM15"/>
    <mergeCell ref="DP15:DU15"/>
    <mergeCell ref="DZ15:EE15"/>
    <mergeCell ref="G16:G17"/>
    <mergeCell ref="H16:I16"/>
    <mergeCell ref="J16:K16"/>
    <mergeCell ref="L16:M16"/>
    <mergeCell ref="N16:O16"/>
    <mergeCell ref="T16:U16"/>
    <mergeCell ref="ED16:EE16"/>
    <mergeCell ref="J17:K17"/>
    <mergeCell ref="L17:M17"/>
    <mergeCell ref="N17:O17"/>
    <mergeCell ref="T17:U17"/>
    <mergeCell ref="V17:W17"/>
    <mergeCell ref="X17:Y17"/>
    <mergeCell ref="BB16:BC16"/>
    <mergeCell ref="BH16:BI16"/>
    <mergeCell ref="BJ16:BK16"/>
    <mergeCell ref="BL16:BM16"/>
    <mergeCell ref="DP16:DQ16"/>
    <mergeCell ref="DR16:DS16"/>
    <mergeCell ref="AH16:AI16"/>
    <mergeCell ref="AN16:AO16"/>
    <mergeCell ref="AP16:AQ16"/>
    <mergeCell ref="AR16:AS16"/>
    <mergeCell ref="AX16:AY16"/>
    <mergeCell ref="AZ16:BA16"/>
    <mergeCell ref="AD17:AE17"/>
    <mergeCell ref="AF17:AG17"/>
    <mergeCell ref="AH17:AI17"/>
    <mergeCell ref="AN17:AO17"/>
    <mergeCell ref="AP17:AQ17"/>
    <mergeCell ref="AR17:AS17"/>
    <mergeCell ref="DT16:DU16"/>
    <mergeCell ref="DZ16:EA16"/>
    <mergeCell ref="EB16:EC16"/>
    <mergeCell ref="DP17:DQ17"/>
    <mergeCell ref="DR17:DS17"/>
    <mergeCell ref="DT17:DU17"/>
    <mergeCell ref="DZ17:EA17"/>
    <mergeCell ref="EB17:EC17"/>
    <mergeCell ref="ED17:EE17"/>
    <mergeCell ref="AX17:AY17"/>
    <mergeCell ref="AZ17:BA17"/>
    <mergeCell ref="BB17:BC17"/>
    <mergeCell ref="BH17:BI17"/>
    <mergeCell ref="BJ17:BK17"/>
    <mergeCell ref="BL17:BM17"/>
    <mergeCell ref="BH24:BJ24"/>
    <mergeCell ref="BK24:BM24"/>
    <mergeCell ref="DP24:DU24"/>
    <mergeCell ref="DZ24:EE24"/>
    <mergeCell ref="E25:E26"/>
    <mergeCell ref="F25:F26"/>
    <mergeCell ref="J25:O25"/>
    <mergeCell ref="T25:Y25"/>
    <mergeCell ref="AD25:AI25"/>
    <mergeCell ref="AN25:AS25"/>
    <mergeCell ref="AD24:AF24"/>
    <mergeCell ref="AG24:AI24"/>
    <mergeCell ref="AN24:AP24"/>
    <mergeCell ref="AQ24:AS24"/>
    <mergeCell ref="AX24:AZ24"/>
    <mergeCell ref="BA24:BC24"/>
    <mergeCell ref="J24:L24"/>
    <mergeCell ref="M24:O24"/>
    <mergeCell ref="T24:V24"/>
    <mergeCell ref="W24:Y24"/>
    <mergeCell ref="V26:W26"/>
    <mergeCell ref="X26:Y26"/>
    <mergeCell ref="AX25:BC25"/>
    <mergeCell ref="BH25:BM25"/>
    <mergeCell ref="DP25:DU25"/>
    <mergeCell ref="DZ25:EE25"/>
    <mergeCell ref="G26:G27"/>
    <mergeCell ref="H26:I26"/>
    <mergeCell ref="J26:K26"/>
    <mergeCell ref="L26:M26"/>
    <mergeCell ref="N26:O26"/>
    <mergeCell ref="T26:U26"/>
    <mergeCell ref="J27:K27"/>
    <mergeCell ref="L27:M27"/>
    <mergeCell ref="ED26:EE26"/>
    <mergeCell ref="AX26:AY26"/>
    <mergeCell ref="AZ26:BA26"/>
    <mergeCell ref="BB26:BC26"/>
    <mergeCell ref="BH26:BI26"/>
    <mergeCell ref="BJ26:BK26"/>
    <mergeCell ref="BL26:BM26"/>
    <mergeCell ref="AD26:AE26"/>
    <mergeCell ref="AF26:AG26"/>
    <mergeCell ref="AH26:AI26"/>
    <mergeCell ref="AN26:AO26"/>
    <mergeCell ref="AP26:AQ26"/>
    <mergeCell ref="AR26:AS26"/>
    <mergeCell ref="V27:W27"/>
    <mergeCell ref="X27:Y27"/>
    <mergeCell ref="AD27:AE27"/>
    <mergeCell ref="AF27:AG27"/>
    <mergeCell ref="DP26:DQ26"/>
    <mergeCell ref="DR26:DS26"/>
    <mergeCell ref="DT26:DU26"/>
    <mergeCell ref="DZ26:EA26"/>
    <mergeCell ref="EB26:EC26"/>
    <mergeCell ref="DT27:DU27"/>
    <mergeCell ref="DZ27:EA27"/>
    <mergeCell ref="EB27:EC27"/>
    <mergeCell ref="ED27:EE27"/>
    <mergeCell ref="D32:D35"/>
    <mergeCell ref="J32:L32"/>
    <mergeCell ref="M32:O32"/>
    <mergeCell ref="T32:V32"/>
    <mergeCell ref="W32:Y32"/>
    <mergeCell ref="AD32:AF32"/>
    <mergeCell ref="BB27:BC27"/>
    <mergeCell ref="BH27:BI27"/>
    <mergeCell ref="BJ27:BK27"/>
    <mergeCell ref="BL27:BM27"/>
    <mergeCell ref="DP27:DQ27"/>
    <mergeCell ref="DR27:DS27"/>
    <mergeCell ref="AH27:AI27"/>
    <mergeCell ref="AN27:AO27"/>
    <mergeCell ref="AP27:AQ27"/>
    <mergeCell ref="AR27:AS27"/>
    <mergeCell ref="AX27:AY27"/>
    <mergeCell ref="AZ27:BA27"/>
    <mergeCell ref="N27:O27"/>
    <mergeCell ref="T27:U27"/>
    <mergeCell ref="BK32:BM32"/>
    <mergeCell ref="DP32:DU32"/>
    <mergeCell ref="DZ32:EE32"/>
    <mergeCell ref="E33:E34"/>
    <mergeCell ref="F33:F34"/>
    <mergeCell ref="J33:O33"/>
    <mergeCell ref="T33:Y33"/>
    <mergeCell ref="AD33:AI33"/>
    <mergeCell ref="AN33:AS33"/>
    <mergeCell ref="AX33:BC33"/>
    <mergeCell ref="AG32:AI32"/>
    <mergeCell ref="AN32:AP32"/>
    <mergeCell ref="AQ32:AS32"/>
    <mergeCell ref="AX32:AZ32"/>
    <mergeCell ref="BA32:BC32"/>
    <mergeCell ref="BH32:BJ32"/>
    <mergeCell ref="AF34:AG34"/>
    <mergeCell ref="AH34:AI34"/>
    <mergeCell ref="AN34:AO34"/>
    <mergeCell ref="AP34:AQ34"/>
    <mergeCell ref="BH33:BM33"/>
    <mergeCell ref="DP33:DU33"/>
    <mergeCell ref="DZ33:EE33"/>
    <mergeCell ref="G34:G35"/>
    <mergeCell ref="H34:I34"/>
    <mergeCell ref="J34:K34"/>
    <mergeCell ref="L34:M34"/>
    <mergeCell ref="N34:O34"/>
    <mergeCell ref="T34:U34"/>
    <mergeCell ref="V34:W34"/>
    <mergeCell ref="ED34:EE34"/>
    <mergeCell ref="J35:K35"/>
    <mergeCell ref="L35:M35"/>
    <mergeCell ref="N35:O35"/>
    <mergeCell ref="T35:U35"/>
    <mergeCell ref="V35:W35"/>
    <mergeCell ref="X35:Y35"/>
    <mergeCell ref="AD35:AE35"/>
    <mergeCell ref="AF35:AG35"/>
    <mergeCell ref="AH35:AI35"/>
    <mergeCell ref="BL34:BM34"/>
    <mergeCell ref="DP34:DQ34"/>
    <mergeCell ref="DR34:DS34"/>
    <mergeCell ref="DT34:DU34"/>
    <mergeCell ref="DZ34:EA34"/>
    <mergeCell ref="EB34:EC34"/>
    <mergeCell ref="AR34:AS34"/>
    <mergeCell ref="AX34:AY34"/>
    <mergeCell ref="AZ34:BA34"/>
    <mergeCell ref="BB34:BC34"/>
    <mergeCell ref="BH34:BI34"/>
    <mergeCell ref="BJ34:BK34"/>
    <mergeCell ref="X34:Y34"/>
    <mergeCell ref="AD34:AE34"/>
    <mergeCell ref="DZ35:EA35"/>
    <mergeCell ref="EB35:EC35"/>
    <mergeCell ref="ED35:EE35"/>
    <mergeCell ref="B41:B54"/>
    <mergeCell ref="D42:D45"/>
    <mergeCell ref="J42:L42"/>
    <mergeCell ref="M42:O42"/>
    <mergeCell ref="T42:V42"/>
    <mergeCell ref="W42:Y42"/>
    <mergeCell ref="AD42:AF42"/>
    <mergeCell ref="BH35:BI35"/>
    <mergeCell ref="BJ35:BK35"/>
    <mergeCell ref="BL35:BM35"/>
    <mergeCell ref="DP35:DQ35"/>
    <mergeCell ref="DR35:DS35"/>
    <mergeCell ref="DT35:DU35"/>
    <mergeCell ref="AN35:AO35"/>
    <mergeCell ref="AP35:AQ35"/>
    <mergeCell ref="AR35:AS35"/>
    <mergeCell ref="AX35:AY35"/>
    <mergeCell ref="AZ35:BA35"/>
    <mergeCell ref="BB35:BC35"/>
    <mergeCell ref="B23:B36"/>
    <mergeCell ref="D24:D27"/>
    <mergeCell ref="BK42:BM42"/>
    <mergeCell ref="DP42:DU42"/>
    <mergeCell ref="DZ42:EE42"/>
    <mergeCell ref="E43:E44"/>
    <mergeCell ref="F43:F44"/>
    <mergeCell ref="J43:O43"/>
    <mergeCell ref="T43:Y43"/>
    <mergeCell ref="AD43:AI43"/>
    <mergeCell ref="AN43:AS43"/>
    <mergeCell ref="AX43:BC43"/>
    <mergeCell ref="AG42:AI42"/>
    <mergeCell ref="AN42:AP42"/>
    <mergeCell ref="AQ42:AS42"/>
    <mergeCell ref="AX42:AZ42"/>
    <mergeCell ref="BA42:BC42"/>
    <mergeCell ref="BH42:BJ42"/>
    <mergeCell ref="AF44:AG44"/>
    <mergeCell ref="AH44:AI44"/>
    <mergeCell ref="AN44:AO44"/>
    <mergeCell ref="AP44:AQ44"/>
    <mergeCell ref="BH43:BM43"/>
    <mergeCell ref="DP43:DU43"/>
    <mergeCell ref="DZ43:EE43"/>
    <mergeCell ref="G44:G45"/>
    <mergeCell ref="H44:I44"/>
    <mergeCell ref="J44:K44"/>
    <mergeCell ref="L44:M44"/>
    <mergeCell ref="N44:O44"/>
    <mergeCell ref="T44:U44"/>
    <mergeCell ref="V44:W44"/>
    <mergeCell ref="ED44:EE44"/>
    <mergeCell ref="J45:K45"/>
    <mergeCell ref="L45:M45"/>
    <mergeCell ref="N45:O45"/>
    <mergeCell ref="T45:U45"/>
    <mergeCell ref="V45:W45"/>
    <mergeCell ref="X45:Y45"/>
    <mergeCell ref="AD45:AE45"/>
    <mergeCell ref="AF45:AG45"/>
    <mergeCell ref="AH45:AI45"/>
    <mergeCell ref="BL44:BM44"/>
    <mergeCell ref="DP44:DQ44"/>
    <mergeCell ref="DR44:DS44"/>
    <mergeCell ref="DT44:DU44"/>
    <mergeCell ref="DZ44:EA44"/>
    <mergeCell ref="EB44:EC44"/>
    <mergeCell ref="AR44:AS44"/>
    <mergeCell ref="AX44:AY44"/>
    <mergeCell ref="AZ44:BA44"/>
    <mergeCell ref="BB44:BC44"/>
    <mergeCell ref="BH44:BI44"/>
    <mergeCell ref="BJ44:BK44"/>
    <mergeCell ref="X44:Y44"/>
    <mergeCell ref="AD44:AE44"/>
    <mergeCell ref="DZ45:EA45"/>
    <mergeCell ref="EB45:EC45"/>
    <mergeCell ref="ED45:EE45"/>
    <mergeCell ref="D50:D53"/>
    <mergeCell ref="J50:L50"/>
    <mergeCell ref="M50:O50"/>
    <mergeCell ref="T50:V50"/>
    <mergeCell ref="W50:Y50"/>
    <mergeCell ref="AD50:AF50"/>
    <mergeCell ref="AG50:AI50"/>
    <mergeCell ref="BH45:BI45"/>
    <mergeCell ref="BJ45:BK45"/>
    <mergeCell ref="BL45:BM45"/>
    <mergeCell ref="DP45:DQ45"/>
    <mergeCell ref="DR45:DS45"/>
    <mergeCell ref="DT45:DU45"/>
    <mergeCell ref="AN45:AO45"/>
    <mergeCell ref="AP45:AQ45"/>
    <mergeCell ref="AR45:AS45"/>
    <mergeCell ref="AX45:AY45"/>
    <mergeCell ref="AZ45:BA45"/>
    <mergeCell ref="BB45:BC45"/>
    <mergeCell ref="DP50:DU50"/>
    <mergeCell ref="DZ50:EE50"/>
    <mergeCell ref="E51:E52"/>
    <mergeCell ref="F51:F52"/>
    <mergeCell ref="J51:O51"/>
    <mergeCell ref="T51:Y51"/>
    <mergeCell ref="AD51:AI51"/>
    <mergeCell ref="AN51:AS51"/>
    <mergeCell ref="AX51:BC51"/>
    <mergeCell ref="BH51:BM51"/>
    <mergeCell ref="AN50:AP50"/>
    <mergeCell ref="AQ50:AS50"/>
    <mergeCell ref="AX50:AZ50"/>
    <mergeCell ref="BA50:BC50"/>
    <mergeCell ref="BH50:BJ50"/>
    <mergeCell ref="BK50:BM50"/>
    <mergeCell ref="AD52:AE52"/>
    <mergeCell ref="AF52:AG52"/>
    <mergeCell ref="AH52:AI52"/>
    <mergeCell ref="AN52:AO52"/>
    <mergeCell ref="AP52:AQ52"/>
    <mergeCell ref="AR52:AS52"/>
    <mergeCell ref="DP51:DU51"/>
    <mergeCell ref="DZ51:EE51"/>
    <mergeCell ref="G52:G53"/>
    <mergeCell ref="H52:I52"/>
    <mergeCell ref="J52:K52"/>
    <mergeCell ref="L52:M52"/>
    <mergeCell ref="N52:O52"/>
    <mergeCell ref="T52:U52"/>
    <mergeCell ref="V52:W52"/>
    <mergeCell ref="X52:Y52"/>
    <mergeCell ref="DP52:DQ52"/>
    <mergeCell ref="DR52:DS52"/>
    <mergeCell ref="DT52:DU52"/>
    <mergeCell ref="DZ52:EA52"/>
    <mergeCell ref="EB52:EC52"/>
    <mergeCell ref="ED52:EE52"/>
    <mergeCell ref="AX52:AY52"/>
    <mergeCell ref="AZ52:BA52"/>
    <mergeCell ref="BB52:BC52"/>
    <mergeCell ref="BH52:BI52"/>
    <mergeCell ref="BJ52:BK52"/>
    <mergeCell ref="BL52:BM52"/>
    <mergeCell ref="AD53:AE53"/>
    <mergeCell ref="AF53:AG53"/>
    <mergeCell ref="AH53:AI53"/>
    <mergeCell ref="AN53:AO53"/>
    <mergeCell ref="AP53:AQ53"/>
    <mergeCell ref="AR53:AS53"/>
    <mergeCell ref="J53:K53"/>
    <mergeCell ref="L53:M53"/>
    <mergeCell ref="N53:O53"/>
    <mergeCell ref="T53:U53"/>
    <mergeCell ref="V53:W53"/>
    <mergeCell ref="X53:Y53"/>
    <mergeCell ref="DP53:DQ53"/>
    <mergeCell ref="DR53:DS53"/>
    <mergeCell ref="DT53:DU53"/>
    <mergeCell ref="DZ53:EA53"/>
    <mergeCell ref="EB53:EC53"/>
    <mergeCell ref="ED53:EE53"/>
    <mergeCell ref="AX53:AY53"/>
    <mergeCell ref="AZ53:BA53"/>
    <mergeCell ref="BB53:BC53"/>
    <mergeCell ref="BH53:BI53"/>
    <mergeCell ref="BJ53:BK53"/>
    <mergeCell ref="BL53:BM53"/>
    <mergeCell ref="B59:B72"/>
    <mergeCell ref="D60:D63"/>
    <mergeCell ref="J60:L60"/>
    <mergeCell ref="M60:O60"/>
    <mergeCell ref="T60:V60"/>
    <mergeCell ref="W60:Y60"/>
    <mergeCell ref="V62:W62"/>
    <mergeCell ref="X62:Y62"/>
    <mergeCell ref="J63:K63"/>
    <mergeCell ref="L63:M63"/>
    <mergeCell ref="BH60:BJ60"/>
    <mergeCell ref="BK60:BM60"/>
    <mergeCell ref="DP60:DU60"/>
    <mergeCell ref="DZ60:EE60"/>
    <mergeCell ref="E61:E62"/>
    <mergeCell ref="F61:F62"/>
    <mergeCell ref="J61:O61"/>
    <mergeCell ref="T61:Y61"/>
    <mergeCell ref="AD61:AI61"/>
    <mergeCell ref="AN61:AS61"/>
    <mergeCell ref="AD60:AF60"/>
    <mergeCell ref="AG60:AI60"/>
    <mergeCell ref="AN60:AP60"/>
    <mergeCell ref="AQ60:AS60"/>
    <mergeCell ref="AX60:AZ60"/>
    <mergeCell ref="BA60:BC60"/>
    <mergeCell ref="AX61:BC61"/>
    <mergeCell ref="BH61:BM61"/>
    <mergeCell ref="DP61:DU61"/>
    <mergeCell ref="DZ61:EE61"/>
    <mergeCell ref="G62:G63"/>
    <mergeCell ref="H62:I62"/>
    <mergeCell ref="J62:K62"/>
    <mergeCell ref="L62:M62"/>
    <mergeCell ref="N62:O62"/>
    <mergeCell ref="T62:U62"/>
    <mergeCell ref="ED62:EE62"/>
    <mergeCell ref="AX62:AY62"/>
    <mergeCell ref="AZ62:BA62"/>
    <mergeCell ref="BB62:BC62"/>
    <mergeCell ref="BH62:BI62"/>
    <mergeCell ref="BJ62:BK62"/>
    <mergeCell ref="BL62:BM62"/>
    <mergeCell ref="AD62:AE62"/>
    <mergeCell ref="AF62:AG62"/>
    <mergeCell ref="AH62:AI62"/>
    <mergeCell ref="AN62:AO62"/>
    <mergeCell ref="AP62:AQ62"/>
    <mergeCell ref="AR62:AS62"/>
    <mergeCell ref="V63:W63"/>
    <mergeCell ref="X63:Y63"/>
    <mergeCell ref="AD63:AE63"/>
    <mergeCell ref="AF63:AG63"/>
    <mergeCell ref="DP62:DQ62"/>
    <mergeCell ref="DR62:DS62"/>
    <mergeCell ref="DT62:DU62"/>
    <mergeCell ref="DZ62:EA62"/>
    <mergeCell ref="EB62:EC62"/>
    <mergeCell ref="DT63:DU63"/>
    <mergeCell ref="DZ63:EA63"/>
    <mergeCell ref="EB63:EC63"/>
    <mergeCell ref="ED63:EE63"/>
    <mergeCell ref="D68:D71"/>
    <mergeCell ref="J68:L68"/>
    <mergeCell ref="M68:O68"/>
    <mergeCell ref="T68:V68"/>
    <mergeCell ref="W68:Y68"/>
    <mergeCell ref="AD68:AF68"/>
    <mergeCell ref="BB63:BC63"/>
    <mergeCell ref="BH63:BI63"/>
    <mergeCell ref="BJ63:BK63"/>
    <mergeCell ref="BL63:BM63"/>
    <mergeCell ref="DP63:DQ63"/>
    <mergeCell ref="DR63:DS63"/>
    <mergeCell ref="AH63:AI63"/>
    <mergeCell ref="AN63:AO63"/>
    <mergeCell ref="AP63:AQ63"/>
    <mergeCell ref="AR63:AS63"/>
    <mergeCell ref="AX63:AY63"/>
    <mergeCell ref="AZ63:BA63"/>
    <mergeCell ref="N63:O63"/>
    <mergeCell ref="T63:U63"/>
    <mergeCell ref="BK68:BM68"/>
    <mergeCell ref="DP68:DU68"/>
    <mergeCell ref="DZ68:EE68"/>
    <mergeCell ref="E69:E70"/>
    <mergeCell ref="F69:F70"/>
    <mergeCell ref="J69:O69"/>
    <mergeCell ref="T69:Y69"/>
    <mergeCell ref="AD69:AI69"/>
    <mergeCell ref="AN69:AS69"/>
    <mergeCell ref="AX69:BC69"/>
    <mergeCell ref="AG68:AI68"/>
    <mergeCell ref="AN68:AP68"/>
    <mergeCell ref="AQ68:AS68"/>
    <mergeCell ref="AX68:AZ68"/>
    <mergeCell ref="BA68:BC68"/>
    <mergeCell ref="BH68:BJ68"/>
    <mergeCell ref="BH69:BM69"/>
    <mergeCell ref="DP69:DU69"/>
    <mergeCell ref="DZ69:EE69"/>
    <mergeCell ref="G70:G71"/>
    <mergeCell ref="H70:I70"/>
    <mergeCell ref="J70:K70"/>
    <mergeCell ref="L70:M70"/>
    <mergeCell ref="N70:O70"/>
    <mergeCell ref="T70:U70"/>
    <mergeCell ref="V70:W70"/>
    <mergeCell ref="AZ70:BA70"/>
    <mergeCell ref="BB70:BC70"/>
    <mergeCell ref="BH70:BI70"/>
    <mergeCell ref="BJ70:BK70"/>
    <mergeCell ref="X70:Y70"/>
    <mergeCell ref="AD70:AE70"/>
    <mergeCell ref="AF70:AG70"/>
    <mergeCell ref="AH70:AI70"/>
    <mergeCell ref="AN70:AO70"/>
    <mergeCell ref="AP70:AQ70"/>
    <mergeCell ref="AN71:AO71"/>
    <mergeCell ref="AP71:AQ71"/>
    <mergeCell ref="AR71:AS71"/>
    <mergeCell ref="AX71:AY71"/>
    <mergeCell ref="AZ71:BA71"/>
    <mergeCell ref="BB71:BC71"/>
    <mergeCell ref="ED70:EE70"/>
    <mergeCell ref="J71:K71"/>
    <mergeCell ref="L71:M71"/>
    <mergeCell ref="N71:O71"/>
    <mergeCell ref="T71:U71"/>
    <mergeCell ref="V71:W71"/>
    <mergeCell ref="X71:Y71"/>
    <mergeCell ref="AD71:AE71"/>
    <mergeCell ref="AF71:AG71"/>
    <mergeCell ref="AH71:AI71"/>
    <mergeCell ref="BL70:BM70"/>
    <mergeCell ref="DP70:DQ70"/>
    <mergeCell ref="DR70:DS70"/>
    <mergeCell ref="DT70:DU70"/>
    <mergeCell ref="DZ70:EA70"/>
    <mergeCell ref="EB70:EC70"/>
    <mergeCell ref="AR70:AS70"/>
    <mergeCell ref="AX70:AY70"/>
    <mergeCell ref="DZ71:EA71"/>
    <mergeCell ref="EB71:EC71"/>
    <mergeCell ref="ED71:EE71"/>
    <mergeCell ref="BI77:BI90"/>
    <mergeCell ref="BJ78:BJ81"/>
    <mergeCell ref="BR78:BW78"/>
    <mergeCell ref="DP78:DU78"/>
    <mergeCell ref="DZ78:EE78"/>
    <mergeCell ref="BR79:BW79"/>
    <mergeCell ref="DP79:DU79"/>
    <mergeCell ref="BH71:BI71"/>
    <mergeCell ref="BJ71:BK71"/>
    <mergeCell ref="BL71:BM71"/>
    <mergeCell ref="DP71:DQ71"/>
    <mergeCell ref="DR71:DS71"/>
    <mergeCell ref="DT71:DU71"/>
    <mergeCell ref="DZ79:EE79"/>
    <mergeCell ref="BR80:BS80"/>
    <mergeCell ref="BT80:BU80"/>
    <mergeCell ref="BV80:BW80"/>
    <mergeCell ref="DP80:DQ80"/>
    <mergeCell ref="DR80:DS80"/>
    <mergeCell ref="DT80:DU80"/>
    <mergeCell ref="DZ80:EA80"/>
    <mergeCell ref="EB80:EC80"/>
    <mergeCell ref="ED80:EE80"/>
    <mergeCell ref="DZ81:EA81"/>
    <mergeCell ref="EB81:EC81"/>
    <mergeCell ref="ED81:EE81"/>
    <mergeCell ref="BJ84:BJ85"/>
    <mergeCell ref="BS84:BS85"/>
    <mergeCell ref="BU84:BU89"/>
    <mergeCell ref="BW84:BW85"/>
    <mergeCell ref="BL85:BL89"/>
    <mergeCell ref="BJ86:BJ89"/>
    <mergeCell ref="BN86:BQ89"/>
    <mergeCell ref="BR81:BS81"/>
    <mergeCell ref="BT81:BU81"/>
    <mergeCell ref="BV81:BW81"/>
    <mergeCell ref="DP81:DQ81"/>
    <mergeCell ref="DR81:DS81"/>
    <mergeCell ref="DT81:DU81"/>
    <mergeCell ref="EB88:EC88"/>
    <mergeCell ref="ED88:EE88"/>
    <mergeCell ref="DP89:DQ89"/>
    <mergeCell ref="DR89:DS89"/>
    <mergeCell ref="DT89:DU89"/>
    <mergeCell ref="DZ89:EA89"/>
    <mergeCell ref="EB89:EC89"/>
    <mergeCell ref="ED89:EE89"/>
    <mergeCell ref="BS86:BS89"/>
    <mergeCell ref="BW86:BW89"/>
    <mergeCell ref="DP86:DU86"/>
    <mergeCell ref="DZ86:EE86"/>
    <mergeCell ref="DP87:DU87"/>
    <mergeCell ref="DZ87:EE87"/>
    <mergeCell ref="DP88:DQ88"/>
    <mergeCell ref="DR88:DS88"/>
    <mergeCell ref="DT88:DU88"/>
    <mergeCell ref="DZ88:EA88"/>
  </mergeCells>
  <pageMargins left="0.7" right="0.7" top="0.75" bottom="0.75" header="0.3" footer="0.3"/>
  <pageSetup scale="47" orientation="portrait" r:id="rId1"/>
  <colBreaks count="1" manualBreakCount="1">
    <brk id="7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AIE</vt:lpstr>
      <vt:lpstr>CE-IOT</vt:lpstr>
      <vt:lpstr>CE-Embedded (2)</vt:lpstr>
      <vt:lpstr>CE-Security</vt:lpstr>
      <vt:lpstr>CE-cloud</vt:lpstr>
      <vt:lpstr>CE-Cloud (2)</vt:lpstr>
      <vt:lpstr>CE-HPC</vt:lpstr>
      <vt:lpstr>CE-HPC (2)</vt:lpstr>
      <vt:lpstr>Bio</vt:lpstr>
      <vt:lpstr>CE-Security (2)</vt:lpstr>
      <vt:lpstr>AIE (2)</vt:lpstr>
      <vt:lpstr>AIS</vt:lpstr>
      <vt:lpstr>CS-BD</vt:lpstr>
      <vt:lpstr>CS-BD (2)</vt:lpstr>
      <vt:lpstr>CS-vision</vt:lpstr>
      <vt:lpstr>CS-vision (2)</vt:lpstr>
      <vt:lpstr>CS-SE</vt:lpstr>
      <vt:lpstr>CS-SE (2)</vt:lpstr>
      <vt:lpstr>AIS (2)</vt:lpstr>
      <vt:lpstr>Bio (2)</vt:lpstr>
      <vt:lpstr>IT (2)</vt:lpstr>
      <vt:lpstr>AIE!Print_Area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Mohamed</dc:creator>
  <cp:lastModifiedBy>FCSE-AIU</cp:lastModifiedBy>
  <cp:lastPrinted>2020-01-30T10:29:43Z</cp:lastPrinted>
  <dcterms:created xsi:type="dcterms:W3CDTF">2018-08-11T06:50:37Z</dcterms:created>
  <dcterms:modified xsi:type="dcterms:W3CDTF">2024-04-16T12:50:06Z</dcterms:modified>
</cp:coreProperties>
</file>